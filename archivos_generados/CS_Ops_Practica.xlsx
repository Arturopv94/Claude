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LEEME" sheetId="1" r:id="rId1"/>
    <sheet name="Diccionario" sheetId="2" r:id="rId2"/>
    <sheet name="E1_Lookups" sheetId="3" r:id="rId3"/>
    <sheet name="E2_Agregaciones" sheetId="4" r:id="rId4"/>
    <sheet name="E3_Health_Score" sheetId="5" r:id="rId5"/>
    <sheet name="E4_Auditoria_Reportes" sheetId="6" r:id="rId6"/>
    <sheet name="E5_Limpieza_Datos" sheetId="7" r:id="rId7"/>
    <sheet name="E6_Pivots" sheetId="8" r:id="rId8"/>
    <sheet name="E7_Dinamicas_365" sheetId="9" r:id="rId9"/>
    <sheet name="E8_Tendencias" sheetId="10" r:id="rId10"/>
    <sheet name="E9_Dashboard_CSM" sheetId="11" r:id="rId11"/>
    <sheet name="E10_PowerQuery" sheetId="12" r:id="rId12"/>
    <sheet name="Entrevista" sheetId="13" r:id="rId13"/>
    <sheet name="Accounts" sheetId="14" r:id="rId14"/>
    <sheet name="CSMs" sheetId="15" r:id="rId15"/>
    <sheet name="Usage_Monthly" sheetId="16" r:id="rId16"/>
    <sheet name="Support_Tickets" sheetId="17" r:id="rId17"/>
    <sheet name="NPS" sheetId="18" r:id="rId18"/>
    <sheet name="Report_Catalog" sheetId="19" r:id="rId19"/>
    <sheet name="Report_Usage_Log" sheetId="20" r:id="rId20"/>
    <sheet name="_key" sheetId="21" state="veryHidden" r:id="rId21"/>
  </sheets>
  <definedNames>
    <definedName name="AsOfDate">LEEME!$C$6</definedName>
    <definedName name="CostPerHour">LEEME!$C$8</definedName>
    <definedName name="HS_ARR">E3_Health_Score!$E$8:$E$145</definedName>
    <definedName name="HS_Cat">E3_Health_Score!$T$8:$T$145</definedName>
    <definedName name="HS_CSM">E3_Health_Score!$D$8:$D$145</definedName>
    <definedName name="HS_Days">E3_Health_Score!$N$8:$N$145</definedName>
    <definedName name="HS_ID">E3_Health_Score!$A$8:$A$145</definedName>
    <definedName name="HS_Name">E3_Health_Score!$B$8:$B$145</definedName>
    <definedName name="HS_Score">E3_Health_Score!$S$8:$S$145</definedName>
    <definedName name="HS_Segment">E3_Health_Score!$C$8:$C$145</definedName>
    <definedName name="HS_Tickets">E3_Health_Score!$L$8:$L$145</definedName>
    <definedName name="LastMonth">LEEME!$C$7</definedName>
  </definedNames>
  <calcPr calcId="124519" fullCalcOnLoad="1"/>
</workbook>
</file>

<file path=xl/sharedStrings.xml><?xml version="1.0" encoding="utf-8"?>
<sst xmlns="http://schemas.openxmlformats.org/spreadsheetml/2006/main" count="26966" uniqueCount="5907">
  <si>
    <t>AccountID</t>
  </si>
  <si>
    <t>AccountName</t>
  </si>
  <si>
    <t>Segment</t>
  </si>
  <si>
    <t>Region</t>
  </si>
  <si>
    <t>Industry</t>
  </si>
  <si>
    <t>Product</t>
  </si>
  <si>
    <t>CSM_ID</t>
  </si>
  <si>
    <t>ARR_USD</t>
  </si>
  <si>
    <t>LicensedSeats</t>
  </si>
  <si>
    <t>ContractStart</t>
  </si>
  <si>
    <t>RenewalDate</t>
  </si>
  <si>
    <t>Status</t>
  </si>
  <si>
    <t>ChurnDate</t>
  </si>
  <si>
    <t>ContractualReporting</t>
  </si>
  <si>
    <t>ACC-0001</t>
  </si>
  <si>
    <t>Ironwood Holdings</t>
  </si>
  <si>
    <t>Enterprise</t>
  </si>
  <si>
    <t>APAC</t>
  </si>
  <si>
    <t>Insurance</t>
  </si>
  <si>
    <t>HR Compliance</t>
  </si>
  <si>
    <t>CSM-01</t>
  </si>
  <si>
    <t>Churned</t>
  </si>
  <si>
    <t>Monthly</t>
  </si>
  <si>
    <t>ACC-0002</t>
  </si>
  <si>
    <t>Blue Ridge Financial</t>
  </si>
  <si>
    <t>Mid-Market</t>
  </si>
  <si>
    <t>EMEA</t>
  </si>
  <si>
    <t>CSM-03</t>
  </si>
  <si>
    <t>Active</t>
  </si>
  <si>
    <t>None</t>
  </si>
  <si>
    <t>ACC-0003</t>
  </si>
  <si>
    <t>Vantage Pharma</t>
  </si>
  <si>
    <t>LATAM</t>
  </si>
  <si>
    <t>Energy</t>
  </si>
  <si>
    <t>Legal Spend Mgmt</t>
  </si>
  <si>
    <t>ACC-0004</t>
  </si>
  <si>
    <t>Sterling Financial</t>
  </si>
  <si>
    <t>SMB</t>
  </si>
  <si>
    <t>Healthcare</t>
  </si>
  <si>
    <t>Matter Management</t>
  </si>
  <si>
    <t>CSM-08</t>
  </si>
  <si>
    <t>ACC-0005</t>
  </si>
  <si>
    <t>Aurora Bank</t>
  </si>
  <si>
    <t>North America</t>
  </si>
  <si>
    <t>ACC-0006</t>
  </si>
  <si>
    <t>Harbor Partners</t>
  </si>
  <si>
    <t>CSM-04</t>
  </si>
  <si>
    <t>ACC-0007</t>
  </si>
  <si>
    <t>Crescent Systems</t>
  </si>
  <si>
    <t>Financial Services</t>
  </si>
  <si>
    <t>CSM-06</t>
  </si>
  <si>
    <t>ACC-0008</t>
  </si>
  <si>
    <t>Evergreen Systems</t>
  </si>
  <si>
    <t>Legal Services</t>
  </si>
  <si>
    <t>ACC-0009</t>
  </si>
  <si>
    <t>Coastal Retail</t>
  </si>
  <si>
    <t>Manufacturing</t>
  </si>
  <si>
    <t>ACC-0010</t>
  </si>
  <si>
    <t>Summit Health</t>
  </si>
  <si>
    <t>ACC-0011</t>
  </si>
  <si>
    <t>Summit Legal</t>
  </si>
  <si>
    <t>Contract Lifecycle</t>
  </si>
  <si>
    <t>Quarterly</t>
  </si>
  <si>
    <t>ACC-0012</t>
  </si>
  <si>
    <t>Crescent Manufacturing</t>
  </si>
  <si>
    <t>GRC / Risk</t>
  </si>
  <si>
    <t>ACC-0013</t>
  </si>
  <si>
    <t>Granite Capital</t>
  </si>
  <si>
    <t>Workflow Automation</t>
  </si>
  <si>
    <t>ACC-0014</t>
  </si>
  <si>
    <t>Aurora Capital</t>
  </si>
  <si>
    <t>ACC-0015</t>
  </si>
  <si>
    <t>Cobalt Bank</t>
  </si>
  <si>
    <t>Technology</t>
  </si>
  <si>
    <t>CSM-05</t>
  </si>
  <si>
    <t>ACC-0016</t>
  </si>
  <si>
    <t>Brightpath Group</t>
  </si>
  <si>
    <t>Public Sector</t>
  </si>
  <si>
    <t>ACC-0017</t>
  </si>
  <si>
    <t>Northwind Capital</t>
  </si>
  <si>
    <t>CSM-02</t>
  </si>
  <si>
    <t>ACC-0018</t>
  </si>
  <si>
    <t>Horizon Health</t>
  </si>
  <si>
    <t>ACC-0019</t>
  </si>
  <si>
    <t>Crescent Pharma</t>
  </si>
  <si>
    <t>ACC-0020</t>
  </si>
  <si>
    <t>Pinnacle Logistics</t>
  </si>
  <si>
    <t>ACC-0021</t>
  </si>
  <si>
    <t>Riverbend Health</t>
  </si>
  <si>
    <t>CSM-07</t>
  </si>
  <si>
    <t>ACC-0022</t>
  </si>
  <si>
    <t>Westfield Systems</t>
  </si>
  <si>
    <t>ACC-0023</t>
  </si>
  <si>
    <t>Vantage Holdings</t>
  </si>
  <si>
    <t>ACC-0024</t>
  </si>
  <si>
    <t>Granite Energy</t>
  </si>
  <si>
    <t>ACC-0025</t>
  </si>
  <si>
    <t>Ironwood Partners</t>
  </si>
  <si>
    <t>ACC-0026</t>
  </si>
  <si>
    <t>Aurora Energy</t>
  </si>
  <si>
    <t>ACC-0027</t>
  </si>
  <si>
    <t>Brightpath Insurance</t>
  </si>
  <si>
    <t>ACC-0028</t>
  </si>
  <si>
    <t>Elmstone Holdings</t>
  </si>
  <si>
    <t>ACC-0029</t>
  </si>
  <si>
    <t>Sierra Holdings</t>
  </si>
  <si>
    <t>ACC-0030</t>
  </si>
  <si>
    <t>Liberty Financial</t>
  </si>
  <si>
    <t>ACC-0031</t>
  </si>
  <si>
    <t>Northwind Bank</t>
  </si>
  <si>
    <t>ACC-0032</t>
  </si>
  <si>
    <t>Falcon Capital</t>
  </si>
  <si>
    <t>ACC-0033</t>
  </si>
  <si>
    <t>Sierra Partners</t>
  </si>
  <si>
    <t>ACC-0034</t>
  </si>
  <si>
    <t>Evergreen Logistics</t>
  </si>
  <si>
    <t>ACC-0035</t>
  </si>
  <si>
    <t>Westfield Retail</t>
  </si>
  <si>
    <t>ACC-0036</t>
  </si>
  <si>
    <t>Granite Logistics</t>
  </si>
  <si>
    <t>ACC-0037</t>
  </si>
  <si>
    <t>Keystone Holdings</t>
  </si>
  <si>
    <t>ACC-0038</t>
  </si>
  <si>
    <t>Driftwood Health</t>
  </si>
  <si>
    <t>ACC-0039</t>
  </si>
  <si>
    <t>Evergreen Energy</t>
  </si>
  <si>
    <t>ACC-0040</t>
  </si>
  <si>
    <t>Ironwood Manufacturing</t>
  </si>
  <si>
    <t>ACC-0041</t>
  </si>
  <si>
    <t>Monarch Legal</t>
  </si>
  <si>
    <t>ACC-0042</t>
  </si>
  <si>
    <t>Keystone Partners</t>
  </si>
  <si>
    <t>ACC-0043</t>
  </si>
  <si>
    <t>Atlas Partners</t>
  </si>
  <si>
    <t>ACC-0044</t>
  </si>
  <si>
    <t>Atlas Health</t>
  </si>
  <si>
    <t>ACC-0045</t>
  </si>
  <si>
    <t>Meridian Systems</t>
  </si>
  <si>
    <t>ACC-0046</t>
  </si>
  <si>
    <t>Atlas Energy</t>
  </si>
  <si>
    <t>ACC-0047</t>
  </si>
  <si>
    <t>Meridian Bank</t>
  </si>
  <si>
    <t>ACC-0048</t>
  </si>
  <si>
    <t>Coastal Capital</t>
  </si>
  <si>
    <t>ACC-0049</t>
  </si>
  <si>
    <t>Keystone Pharma</t>
  </si>
  <si>
    <t>ACC-0050</t>
  </si>
  <si>
    <t>Brightpath Holdings</t>
  </si>
  <si>
    <t>ACC-0051</t>
  </si>
  <si>
    <t>Harbor Legal</t>
  </si>
  <si>
    <t>ACC-0052</t>
  </si>
  <si>
    <t>Sierra Group</t>
  </si>
  <si>
    <t>ACC-0053</t>
  </si>
  <si>
    <t>Blue Ridge Partners</t>
  </si>
  <si>
    <t>ACC-0054</t>
  </si>
  <si>
    <t>Pinnacle Capital</t>
  </si>
  <si>
    <t>ACC-0055</t>
  </si>
  <si>
    <t>Aurora Financial</t>
  </si>
  <si>
    <t>ACC-0056</t>
  </si>
  <si>
    <t>Vantage Energy</t>
  </si>
  <si>
    <t>ACC-0057</t>
  </si>
  <si>
    <t>Pioneer Bank</t>
  </si>
  <si>
    <t>ACC-0058</t>
  </si>
  <si>
    <t>Meridian Capital</t>
  </si>
  <si>
    <t>ACC-0059</t>
  </si>
  <si>
    <t>Summit Financial</t>
  </si>
  <si>
    <t>ACC-0060</t>
  </si>
  <si>
    <t>Vantage Retail</t>
  </si>
  <si>
    <t>ACC-0061</t>
  </si>
  <si>
    <t>Redwood Legal</t>
  </si>
  <si>
    <t>ACC-0062</t>
  </si>
  <si>
    <t>Coastal Energy</t>
  </si>
  <si>
    <t>ACC-0063</t>
  </si>
  <si>
    <t>Oakmont Logistics</t>
  </si>
  <si>
    <t>ACC-0064</t>
  </si>
  <si>
    <t>Oakmont Insurance</t>
  </si>
  <si>
    <t>ACC-0065</t>
  </si>
  <si>
    <t>Anchor Bank</t>
  </si>
  <si>
    <t>ACC-0066</t>
  </si>
  <si>
    <t>Liberty Logistics</t>
  </si>
  <si>
    <t>ACC-0067</t>
  </si>
  <si>
    <t>Meridian Manufacturing</t>
  </si>
  <si>
    <t>ACC-0068</t>
  </si>
  <si>
    <t>Horizon Financial</t>
  </si>
  <si>
    <t>ACC-0069</t>
  </si>
  <si>
    <t>Crescent Group</t>
  </si>
  <si>
    <t>ACC-0070</t>
  </si>
  <si>
    <t>Pinnacle Legal</t>
  </si>
  <si>
    <t>ACC-0071</t>
  </si>
  <si>
    <t>Summit Manufacturing</t>
  </si>
  <si>
    <t>ACC-0072</t>
  </si>
  <si>
    <t>Blue Ridge Group</t>
  </si>
  <si>
    <t>ACC-0073</t>
  </si>
  <si>
    <t>Riverbend Group</t>
  </si>
  <si>
    <t>ACC-0074</t>
  </si>
  <si>
    <t>Ironwood Pharma</t>
  </si>
  <si>
    <t>ACC-0075</t>
  </si>
  <si>
    <t>Monarch Manufacturing</t>
  </si>
  <si>
    <t>ACC-0076</t>
  </si>
  <si>
    <t>Harbor Capital</t>
  </si>
  <si>
    <t>ACC-0077</t>
  </si>
  <si>
    <t>Bluewater Insurance</t>
  </si>
  <si>
    <t>ACC-0078</t>
  </si>
  <si>
    <t>Liberty Health</t>
  </si>
  <si>
    <t>ACC-0079</t>
  </si>
  <si>
    <t>Ironwood Systems</t>
  </si>
  <si>
    <t>ACC-0080</t>
  </si>
  <si>
    <t>Liberty Group</t>
  </si>
  <si>
    <t>ACC-0081</t>
  </si>
  <si>
    <t>Atlas Logistics</t>
  </si>
  <si>
    <t>ACC-0082</t>
  </si>
  <si>
    <t>Cedar Legal</t>
  </si>
  <si>
    <t>ACC-0083</t>
  </si>
  <si>
    <t>Cedar Partners</t>
  </si>
  <si>
    <t>ACC-0084</t>
  </si>
  <si>
    <t>Aurora Partners</t>
  </si>
  <si>
    <t>ACC-0085</t>
  </si>
  <si>
    <t>Oakmont Financial</t>
  </si>
  <si>
    <t>ACC-0086</t>
  </si>
  <si>
    <t>Coastal Partners</t>
  </si>
  <si>
    <t>ACC-0087</t>
  </si>
  <si>
    <t>Meridian Logistics</t>
  </si>
  <si>
    <t>ACC-0088</t>
  </si>
  <si>
    <t>Evergreen Group</t>
  </si>
  <si>
    <t>ACC-0089</t>
  </si>
  <si>
    <t>Meridian Holdings</t>
  </si>
  <si>
    <t>ACC-0090</t>
  </si>
  <si>
    <t>Meridian Insurance</t>
  </si>
  <si>
    <t>ACC-0091</t>
  </si>
  <si>
    <t>Ironwood Health</t>
  </si>
  <si>
    <t>ACC-0092</t>
  </si>
  <si>
    <t>Riverbend Capital</t>
  </si>
  <si>
    <t>ACC-0093</t>
  </si>
  <si>
    <t>Harbor Insurance</t>
  </si>
  <si>
    <t>ACC-0094</t>
  </si>
  <si>
    <t>Driftwood Group</t>
  </si>
  <si>
    <t>ACC-0095</t>
  </si>
  <si>
    <t>Westfield Energy</t>
  </si>
  <si>
    <t>ACC-0096</t>
  </si>
  <si>
    <t>Riverbend Insurance</t>
  </si>
  <si>
    <t>ACC-0097</t>
  </si>
  <si>
    <t>Summit Logistics</t>
  </si>
  <si>
    <t>ACC-0098</t>
  </si>
  <si>
    <t>Brightpath Pharma</t>
  </si>
  <si>
    <t>ACC-0099</t>
  </si>
  <si>
    <t>Liberty Manufacturing</t>
  </si>
  <si>
    <t>ACC-0100</t>
  </si>
  <si>
    <t>Evergreen Retail</t>
  </si>
  <si>
    <t>ACC-0101</t>
  </si>
  <si>
    <t>Vantage Bank</t>
  </si>
  <si>
    <t>ACC-0102</t>
  </si>
  <si>
    <t>Bluewater Logistics</t>
  </si>
  <si>
    <t>ACC-0103</t>
  </si>
  <si>
    <t>Silverline Manufacturing</t>
  </si>
  <si>
    <t>ACC-0104</t>
  </si>
  <si>
    <t>Liberty Retail</t>
  </si>
  <si>
    <t>ACC-0105</t>
  </si>
  <si>
    <t>Aurora Pharma</t>
  </si>
  <si>
    <t>ACC-0106</t>
  </si>
  <si>
    <t>Driftwood Legal</t>
  </si>
  <si>
    <t>ACC-0107</t>
  </si>
  <si>
    <t>Harbor Bank</t>
  </si>
  <si>
    <t>ACC-0108</t>
  </si>
  <si>
    <t>Oakmont Retail</t>
  </si>
  <si>
    <t>ACC-0109</t>
  </si>
  <si>
    <t>Westfield Partners</t>
  </si>
  <si>
    <t>ACC-0110</t>
  </si>
  <si>
    <t>Horizon Legal</t>
  </si>
  <si>
    <t>ACC-0111</t>
  </si>
  <si>
    <t>Driftwood Manufacturing</t>
  </si>
  <si>
    <t>ACC-0112</t>
  </si>
  <si>
    <t>Westfield Manufacturing</t>
  </si>
  <si>
    <t>ACC-0113</t>
  </si>
  <si>
    <t>Keystone Insurance</t>
  </si>
  <si>
    <t>ACC-0114</t>
  </si>
  <si>
    <t>Monarch Bank</t>
  </si>
  <si>
    <t>ACC-0115</t>
  </si>
  <si>
    <t>Monarch Partners</t>
  </si>
  <si>
    <t>ACC-0116</t>
  </si>
  <si>
    <t>Blue Ridge Capital</t>
  </si>
  <si>
    <t>ACC-0117</t>
  </si>
  <si>
    <t>Ironwood Retail</t>
  </si>
  <si>
    <t>ACC-0118</t>
  </si>
  <si>
    <t>Blue Ridge Insurance</t>
  </si>
  <si>
    <t>ACC-0119</t>
  </si>
  <si>
    <t>Redwood Pharma</t>
  </si>
  <si>
    <t>ACC-0120</t>
  </si>
  <si>
    <t>Lakeshore Financial</t>
  </si>
  <si>
    <t>ACC-0121</t>
  </si>
  <si>
    <t>Harbor Health</t>
  </si>
  <si>
    <t>ACC-0122</t>
  </si>
  <si>
    <t>Summit Bank</t>
  </si>
  <si>
    <t>ACC-0123</t>
  </si>
  <si>
    <t>Ironwood Bank</t>
  </si>
  <si>
    <t>ACC-0124</t>
  </si>
  <si>
    <t>Horizon Manufacturing</t>
  </si>
  <si>
    <t>ACC-0125</t>
  </si>
  <si>
    <t>Pinnacle Partners</t>
  </si>
  <si>
    <t>ACC-0126</t>
  </si>
  <si>
    <t>Sierra Insurance</t>
  </si>
  <si>
    <t>ACC-0127</t>
  </si>
  <si>
    <t>Monarch Retail</t>
  </si>
  <si>
    <t>ACC-0128</t>
  </si>
  <si>
    <t>Riverbend Manufacturing</t>
  </si>
  <si>
    <t>ACC-0129</t>
  </si>
  <si>
    <t>Cobalt Legal</t>
  </si>
  <si>
    <t>ACC-0130</t>
  </si>
  <si>
    <t>Lakeshore Partners</t>
  </si>
  <si>
    <t>ACC-0131</t>
  </si>
  <si>
    <t>Oakmont Systems</t>
  </si>
  <si>
    <t>ACC-0132</t>
  </si>
  <si>
    <t>Aurora Holdings</t>
  </si>
  <si>
    <t>ACC-0133</t>
  </si>
  <si>
    <t>Pioneer Capital</t>
  </si>
  <si>
    <t>ACC-0134</t>
  </si>
  <si>
    <t>Bluewater Holdings</t>
  </si>
  <si>
    <t>ACC-0135</t>
  </si>
  <si>
    <t>Pioneer Pharma</t>
  </si>
  <si>
    <t>ACC-0136</t>
  </si>
  <si>
    <t>Silverline Logistics</t>
  </si>
  <si>
    <t>ACC-0137</t>
  </si>
  <si>
    <t>Falcon Logistics</t>
  </si>
  <si>
    <t>ACC-0138</t>
  </si>
  <si>
    <t>Driftwood Retail</t>
  </si>
  <si>
    <t>ACC-0139</t>
  </si>
  <si>
    <t>Vantage Manufacturing</t>
  </si>
  <si>
    <t>ACC-0140</t>
  </si>
  <si>
    <t>Silverline Systems</t>
  </si>
  <si>
    <t>ACC-0141</t>
  </si>
  <si>
    <t>Falcon Partners</t>
  </si>
  <si>
    <t>ACC-0142</t>
  </si>
  <si>
    <t>Horizon Systems</t>
  </si>
  <si>
    <t>ACC-0143</t>
  </si>
  <si>
    <t>Granite Holdings</t>
  </si>
  <si>
    <t>ACC-0144</t>
  </si>
  <si>
    <t>Horizon Capital</t>
  </si>
  <si>
    <t>ACC-0145</t>
  </si>
  <si>
    <t>Lakeshore Holdings</t>
  </si>
  <si>
    <t>ACC-0146</t>
  </si>
  <si>
    <t>Anchor Group</t>
  </si>
  <si>
    <t>ACC-0147</t>
  </si>
  <si>
    <t>Driftwood Insurance</t>
  </si>
  <si>
    <t>ACC-0148</t>
  </si>
  <si>
    <t>Pioneer Financial</t>
  </si>
  <si>
    <t>ACC-0149</t>
  </si>
  <si>
    <t>Cobalt Manufacturing</t>
  </si>
  <si>
    <t>ACC-0150</t>
  </si>
  <si>
    <t>Sterling Retail</t>
  </si>
  <si>
    <t>CSM_Name</t>
  </si>
  <si>
    <t>Email</t>
  </si>
  <si>
    <t>Team</t>
  </si>
  <si>
    <t>Manager</t>
  </si>
  <si>
    <t>Ana López</t>
  </si>
  <si>
    <t>ana.lopez@empresa-demo.com</t>
  </si>
  <si>
    <t>Laura Kim</t>
  </si>
  <si>
    <t>Carlos Méndez</t>
  </si>
  <si>
    <t>carlos.mendez@empresa-demo.com</t>
  </si>
  <si>
    <t>Sofía Ramírez</t>
  </si>
  <si>
    <t>sofia.ramirez@empresa-demo.com</t>
  </si>
  <si>
    <t>Daniel Ortiz</t>
  </si>
  <si>
    <t>daniel.ortiz@empresa-demo.com</t>
  </si>
  <si>
    <t>Robert Hayes</t>
  </si>
  <si>
    <t>Emily Carter</t>
  </si>
  <si>
    <t>emily.carter@empresa-demo.com</t>
  </si>
  <si>
    <t>James Walker</t>
  </si>
  <si>
    <t>james.walker@empresa-demo.com</t>
  </si>
  <si>
    <t>Lucía Herrera</t>
  </si>
  <si>
    <t>lucia.herrera@empresa-demo.com</t>
  </si>
  <si>
    <t>Michael Brooks</t>
  </si>
  <si>
    <t>michael.brooks@empresa-demo.com</t>
  </si>
  <si>
    <t>Month</t>
  </si>
  <si>
    <t>ActiveUsers</t>
  </si>
  <si>
    <t>Logins</t>
  </si>
  <si>
    <t>ReportsRun</t>
  </si>
  <si>
    <t>FeaturesAdopted</t>
  </si>
  <si>
    <t>AvgSessionMin</t>
  </si>
  <si>
    <t>TicketID</t>
  </si>
  <si>
    <t>OpenedDate</t>
  </si>
  <si>
    <t>ClosedDate</t>
  </si>
  <si>
    <t>Priority</t>
  </si>
  <si>
    <t>Category</t>
  </si>
  <si>
    <t>CSAT</t>
  </si>
  <si>
    <t>TCK-00001</t>
  </si>
  <si>
    <t>P3</t>
  </si>
  <si>
    <t>Feature Request</t>
  </si>
  <si>
    <t>TCK-00002</t>
  </si>
  <si>
    <t>Performance</t>
  </si>
  <si>
    <t>TCK-00003</t>
  </si>
  <si>
    <t>Billing</t>
  </si>
  <si>
    <t>TCK-00004</t>
  </si>
  <si>
    <t>P4</t>
  </si>
  <si>
    <t>TCK-00005</t>
  </si>
  <si>
    <t>Integration</t>
  </si>
  <si>
    <t>TCK-00006</t>
  </si>
  <si>
    <t>Bug</t>
  </si>
  <si>
    <t>TCK-00007</t>
  </si>
  <si>
    <t>Data/Reporting</t>
  </si>
  <si>
    <t>TCK-00008</t>
  </si>
  <si>
    <t>P1</t>
  </si>
  <si>
    <t>TCK-00009</t>
  </si>
  <si>
    <t>TCK-00010</t>
  </si>
  <si>
    <t>TCK-00011</t>
  </si>
  <si>
    <t>TCK-00012</t>
  </si>
  <si>
    <t>TCK-00013</t>
  </si>
  <si>
    <t>P2</t>
  </si>
  <si>
    <t>TCK-00014</t>
  </si>
  <si>
    <t>TCK-00015</t>
  </si>
  <si>
    <t>TCK-00016</t>
  </si>
  <si>
    <t>How-to</t>
  </si>
  <si>
    <t>TCK-00017</t>
  </si>
  <si>
    <t>TCK-00018</t>
  </si>
  <si>
    <t>TCK-00019</t>
  </si>
  <si>
    <t>TCK-00020</t>
  </si>
  <si>
    <t>TCK-00021</t>
  </si>
  <si>
    <t>TCK-00022</t>
  </si>
  <si>
    <t>TCK-00023</t>
  </si>
  <si>
    <t>TCK-00024</t>
  </si>
  <si>
    <t>TCK-00025</t>
  </si>
  <si>
    <t>TCK-00026</t>
  </si>
  <si>
    <t>TCK-00027</t>
  </si>
  <si>
    <t>TCK-00028</t>
  </si>
  <si>
    <t>TCK-00029</t>
  </si>
  <si>
    <t>TCK-00030</t>
  </si>
  <si>
    <t>TCK-00031</t>
  </si>
  <si>
    <t>TCK-00032</t>
  </si>
  <si>
    <t>TCK-00033</t>
  </si>
  <si>
    <t>TCK-00034</t>
  </si>
  <si>
    <t>TCK-00035</t>
  </si>
  <si>
    <t>TCK-00036</t>
  </si>
  <si>
    <t>TCK-00037</t>
  </si>
  <si>
    <t>TCK-00038</t>
  </si>
  <si>
    <t>TCK-00039</t>
  </si>
  <si>
    <t>TCK-00040</t>
  </si>
  <si>
    <t>TCK-00041</t>
  </si>
  <si>
    <t>TCK-00042</t>
  </si>
  <si>
    <t>TCK-00043</t>
  </si>
  <si>
    <t>TCK-00044</t>
  </si>
  <si>
    <t>TCK-00045</t>
  </si>
  <si>
    <t>TCK-00046</t>
  </si>
  <si>
    <t>TCK-00047</t>
  </si>
  <si>
    <t>TCK-00048</t>
  </si>
  <si>
    <t>TCK-00049</t>
  </si>
  <si>
    <t>TCK-00050</t>
  </si>
  <si>
    <t>TCK-00051</t>
  </si>
  <si>
    <t>TCK-00052</t>
  </si>
  <si>
    <t>TCK-00053</t>
  </si>
  <si>
    <t>TCK-00054</t>
  </si>
  <si>
    <t>TCK-00055</t>
  </si>
  <si>
    <t>TCK-00056</t>
  </si>
  <si>
    <t>TCK-00057</t>
  </si>
  <si>
    <t>TCK-00058</t>
  </si>
  <si>
    <t>TCK-00059</t>
  </si>
  <si>
    <t>TCK-00060</t>
  </si>
  <si>
    <t>TCK-00061</t>
  </si>
  <si>
    <t>TCK-00062</t>
  </si>
  <si>
    <t>TCK-00063</t>
  </si>
  <si>
    <t>TCK-00064</t>
  </si>
  <si>
    <t>TCK-00065</t>
  </si>
  <si>
    <t>TCK-00066</t>
  </si>
  <si>
    <t>TCK-00067</t>
  </si>
  <si>
    <t>TCK-00068</t>
  </si>
  <si>
    <t>TCK-00069</t>
  </si>
  <si>
    <t>TCK-00070</t>
  </si>
  <si>
    <t>TCK-00071</t>
  </si>
  <si>
    <t>TCK-00072</t>
  </si>
  <si>
    <t>TCK-00073</t>
  </si>
  <si>
    <t>TCK-00074</t>
  </si>
  <si>
    <t>TCK-00075</t>
  </si>
  <si>
    <t>TCK-00076</t>
  </si>
  <si>
    <t>TCK-00077</t>
  </si>
  <si>
    <t>TCK-00078</t>
  </si>
  <si>
    <t>TCK-00079</t>
  </si>
  <si>
    <t>TCK-00080</t>
  </si>
  <si>
    <t>TCK-00081</t>
  </si>
  <si>
    <t>TCK-00082</t>
  </si>
  <si>
    <t>TCK-00083</t>
  </si>
  <si>
    <t>TCK-00084</t>
  </si>
  <si>
    <t>TCK-00085</t>
  </si>
  <si>
    <t>TCK-00086</t>
  </si>
  <si>
    <t>TCK-00087</t>
  </si>
  <si>
    <t>TCK-00088</t>
  </si>
  <si>
    <t>TCK-00089</t>
  </si>
  <si>
    <t>TCK-00090</t>
  </si>
  <si>
    <t>TCK-00091</t>
  </si>
  <si>
    <t>TCK-00092</t>
  </si>
  <si>
    <t>TCK-00093</t>
  </si>
  <si>
    <t>TCK-00094</t>
  </si>
  <si>
    <t>TCK-00095</t>
  </si>
  <si>
    <t>TCK-00096</t>
  </si>
  <si>
    <t>TCK-00097</t>
  </si>
  <si>
    <t>TCK-00098</t>
  </si>
  <si>
    <t>TCK-00099</t>
  </si>
  <si>
    <t>TCK-00100</t>
  </si>
  <si>
    <t>TCK-00101</t>
  </si>
  <si>
    <t>TCK-00102</t>
  </si>
  <si>
    <t>TCK-00103</t>
  </si>
  <si>
    <t>TCK-00104</t>
  </si>
  <si>
    <t>TCK-00105</t>
  </si>
  <si>
    <t>TCK-00106</t>
  </si>
  <si>
    <t>TCK-00107</t>
  </si>
  <si>
    <t>TCK-00108</t>
  </si>
  <si>
    <t>TCK-00109</t>
  </si>
  <si>
    <t>TCK-00110</t>
  </si>
  <si>
    <t>TCK-00111</t>
  </si>
  <si>
    <t>TCK-00112</t>
  </si>
  <si>
    <t>TCK-00113</t>
  </si>
  <si>
    <t>TCK-00114</t>
  </si>
  <si>
    <t>TCK-00115</t>
  </si>
  <si>
    <t>TCK-00116</t>
  </si>
  <si>
    <t>TCK-00117</t>
  </si>
  <si>
    <t>TCK-00118</t>
  </si>
  <si>
    <t>TCK-00119</t>
  </si>
  <si>
    <t>TCK-00120</t>
  </si>
  <si>
    <t>TCK-00121</t>
  </si>
  <si>
    <t>TCK-00122</t>
  </si>
  <si>
    <t>TCK-00123</t>
  </si>
  <si>
    <t>TCK-00124</t>
  </si>
  <si>
    <t>TCK-00125</t>
  </si>
  <si>
    <t>TCK-00126</t>
  </si>
  <si>
    <t>TCK-00127</t>
  </si>
  <si>
    <t>TCK-00128</t>
  </si>
  <si>
    <t>TCK-00129</t>
  </si>
  <si>
    <t>TCK-00130</t>
  </si>
  <si>
    <t>TCK-00131</t>
  </si>
  <si>
    <t>TCK-00132</t>
  </si>
  <si>
    <t>TCK-00133</t>
  </si>
  <si>
    <t>TCK-00134</t>
  </si>
  <si>
    <t>TCK-00135</t>
  </si>
  <si>
    <t>TCK-00136</t>
  </si>
  <si>
    <t>TCK-00137</t>
  </si>
  <si>
    <t>TCK-00138</t>
  </si>
  <si>
    <t>TCK-00139</t>
  </si>
  <si>
    <t>TCK-00140</t>
  </si>
  <si>
    <t>TCK-00141</t>
  </si>
  <si>
    <t>TCK-00142</t>
  </si>
  <si>
    <t>TCK-00143</t>
  </si>
  <si>
    <t>TCK-00144</t>
  </si>
  <si>
    <t>TCK-00145</t>
  </si>
  <si>
    <t>TCK-00146</t>
  </si>
  <si>
    <t>TCK-00147</t>
  </si>
  <si>
    <t>TCK-00148</t>
  </si>
  <si>
    <t>TCK-00149</t>
  </si>
  <si>
    <t>TCK-00150</t>
  </si>
  <si>
    <t>TCK-00151</t>
  </si>
  <si>
    <t>TCK-00152</t>
  </si>
  <si>
    <t>TCK-00153</t>
  </si>
  <si>
    <t>TCK-00154</t>
  </si>
  <si>
    <t>TCK-00155</t>
  </si>
  <si>
    <t>TCK-00156</t>
  </si>
  <si>
    <t>TCK-00157</t>
  </si>
  <si>
    <t>TCK-00158</t>
  </si>
  <si>
    <t>TCK-00159</t>
  </si>
  <si>
    <t>TCK-00160</t>
  </si>
  <si>
    <t>TCK-00161</t>
  </si>
  <si>
    <t>TCK-00162</t>
  </si>
  <si>
    <t>TCK-00163</t>
  </si>
  <si>
    <t>TCK-00164</t>
  </si>
  <si>
    <t>TCK-00165</t>
  </si>
  <si>
    <t>TCK-00166</t>
  </si>
  <si>
    <t>TCK-00167</t>
  </si>
  <si>
    <t>TCK-00168</t>
  </si>
  <si>
    <t>TCK-00169</t>
  </si>
  <si>
    <t>TCK-00170</t>
  </si>
  <si>
    <t>TCK-00171</t>
  </si>
  <si>
    <t>TCK-00172</t>
  </si>
  <si>
    <t>TCK-00173</t>
  </si>
  <si>
    <t>TCK-00174</t>
  </si>
  <si>
    <t>TCK-00175</t>
  </si>
  <si>
    <t>TCK-00176</t>
  </si>
  <si>
    <t>TCK-00177</t>
  </si>
  <si>
    <t>TCK-00178</t>
  </si>
  <si>
    <t>TCK-00179</t>
  </si>
  <si>
    <t>TCK-00180</t>
  </si>
  <si>
    <t>TCK-00181</t>
  </si>
  <si>
    <t>TCK-00182</t>
  </si>
  <si>
    <t>TCK-00183</t>
  </si>
  <si>
    <t>TCK-00184</t>
  </si>
  <si>
    <t>TCK-00185</t>
  </si>
  <si>
    <t>TCK-00186</t>
  </si>
  <si>
    <t>TCK-00187</t>
  </si>
  <si>
    <t>TCK-00188</t>
  </si>
  <si>
    <t>TCK-00189</t>
  </si>
  <si>
    <t>TCK-00190</t>
  </si>
  <si>
    <t>TCK-00191</t>
  </si>
  <si>
    <t>TCK-00192</t>
  </si>
  <si>
    <t>TCK-00193</t>
  </si>
  <si>
    <t>TCK-00194</t>
  </si>
  <si>
    <t>TCK-00195</t>
  </si>
  <si>
    <t>TCK-00196</t>
  </si>
  <si>
    <t>TCK-00197</t>
  </si>
  <si>
    <t>TCK-00198</t>
  </si>
  <si>
    <t>TCK-00199</t>
  </si>
  <si>
    <t>TCK-00200</t>
  </si>
  <si>
    <t>TCK-00201</t>
  </si>
  <si>
    <t>TCK-00202</t>
  </si>
  <si>
    <t>TCK-00203</t>
  </si>
  <si>
    <t>TCK-00204</t>
  </si>
  <si>
    <t>TCK-00205</t>
  </si>
  <si>
    <t>TCK-00206</t>
  </si>
  <si>
    <t>TCK-00207</t>
  </si>
  <si>
    <t>TCK-00208</t>
  </si>
  <si>
    <t>TCK-00209</t>
  </si>
  <si>
    <t>TCK-00210</t>
  </si>
  <si>
    <t>TCK-00211</t>
  </si>
  <si>
    <t>TCK-00212</t>
  </si>
  <si>
    <t>TCK-00213</t>
  </si>
  <si>
    <t>TCK-00214</t>
  </si>
  <si>
    <t>TCK-00215</t>
  </si>
  <si>
    <t>TCK-00216</t>
  </si>
  <si>
    <t>TCK-00217</t>
  </si>
  <si>
    <t>TCK-00218</t>
  </si>
  <si>
    <t>TCK-00219</t>
  </si>
  <si>
    <t>TCK-00220</t>
  </si>
  <si>
    <t>TCK-00221</t>
  </si>
  <si>
    <t>TCK-00222</t>
  </si>
  <si>
    <t>TCK-00223</t>
  </si>
  <si>
    <t>TCK-00224</t>
  </si>
  <si>
    <t>TCK-00225</t>
  </si>
  <si>
    <t>TCK-00226</t>
  </si>
  <si>
    <t>TCK-00227</t>
  </si>
  <si>
    <t>TCK-00228</t>
  </si>
  <si>
    <t>TCK-00229</t>
  </si>
  <si>
    <t>TCK-00230</t>
  </si>
  <si>
    <t>TCK-00231</t>
  </si>
  <si>
    <t>TCK-00232</t>
  </si>
  <si>
    <t>TCK-00233</t>
  </si>
  <si>
    <t>TCK-00234</t>
  </si>
  <si>
    <t>TCK-00235</t>
  </si>
  <si>
    <t>TCK-00236</t>
  </si>
  <si>
    <t>TCK-00237</t>
  </si>
  <si>
    <t>TCK-00238</t>
  </si>
  <si>
    <t>TCK-00239</t>
  </si>
  <si>
    <t>TCK-00240</t>
  </si>
  <si>
    <t>TCK-00241</t>
  </si>
  <si>
    <t>TCK-00242</t>
  </si>
  <si>
    <t>TCK-00243</t>
  </si>
  <si>
    <t>TCK-00244</t>
  </si>
  <si>
    <t>TCK-00245</t>
  </si>
  <si>
    <t>TCK-00246</t>
  </si>
  <si>
    <t>TCK-00247</t>
  </si>
  <si>
    <t>TCK-00248</t>
  </si>
  <si>
    <t>TCK-00249</t>
  </si>
  <si>
    <t>TCK-00250</t>
  </si>
  <si>
    <t>TCK-00251</t>
  </si>
  <si>
    <t>TCK-00252</t>
  </si>
  <si>
    <t>TCK-00253</t>
  </si>
  <si>
    <t>TCK-00254</t>
  </si>
  <si>
    <t>TCK-00255</t>
  </si>
  <si>
    <t>TCK-00256</t>
  </si>
  <si>
    <t>TCK-00257</t>
  </si>
  <si>
    <t>TCK-00258</t>
  </si>
  <si>
    <t>TCK-00259</t>
  </si>
  <si>
    <t>TCK-00260</t>
  </si>
  <si>
    <t>TCK-00261</t>
  </si>
  <si>
    <t>TCK-00262</t>
  </si>
  <si>
    <t>TCK-00263</t>
  </si>
  <si>
    <t>TCK-00264</t>
  </si>
  <si>
    <t>TCK-00265</t>
  </si>
  <si>
    <t>TCK-00266</t>
  </si>
  <si>
    <t>TCK-00267</t>
  </si>
  <si>
    <t>TCK-00268</t>
  </si>
  <si>
    <t>TCK-00269</t>
  </si>
  <si>
    <t>TCK-00270</t>
  </si>
  <si>
    <t>TCK-00271</t>
  </si>
  <si>
    <t>TCK-00272</t>
  </si>
  <si>
    <t>TCK-00273</t>
  </si>
  <si>
    <t>TCK-00274</t>
  </si>
  <si>
    <t>TCK-00275</t>
  </si>
  <si>
    <t>TCK-00276</t>
  </si>
  <si>
    <t>TCK-00277</t>
  </si>
  <si>
    <t>TCK-00278</t>
  </si>
  <si>
    <t>TCK-00279</t>
  </si>
  <si>
    <t>TCK-00280</t>
  </si>
  <si>
    <t>TCK-00281</t>
  </si>
  <si>
    <t>TCK-00282</t>
  </si>
  <si>
    <t>TCK-00283</t>
  </si>
  <si>
    <t>TCK-00284</t>
  </si>
  <si>
    <t>TCK-00285</t>
  </si>
  <si>
    <t>TCK-00286</t>
  </si>
  <si>
    <t>TCK-00287</t>
  </si>
  <si>
    <t>TCK-00288</t>
  </si>
  <si>
    <t>TCK-00289</t>
  </si>
  <si>
    <t>TCK-00290</t>
  </si>
  <si>
    <t>TCK-00291</t>
  </si>
  <si>
    <t>TCK-00292</t>
  </si>
  <si>
    <t>TCK-00293</t>
  </si>
  <si>
    <t>TCK-00294</t>
  </si>
  <si>
    <t>TCK-00295</t>
  </si>
  <si>
    <t>TCK-00296</t>
  </si>
  <si>
    <t>TCK-00297</t>
  </si>
  <si>
    <t>TCK-00298</t>
  </si>
  <si>
    <t>TCK-00299</t>
  </si>
  <si>
    <t>TCK-00300</t>
  </si>
  <si>
    <t>TCK-00301</t>
  </si>
  <si>
    <t>TCK-00302</t>
  </si>
  <si>
    <t>TCK-00303</t>
  </si>
  <si>
    <t>TCK-00304</t>
  </si>
  <si>
    <t>TCK-00305</t>
  </si>
  <si>
    <t>TCK-00306</t>
  </si>
  <si>
    <t>TCK-00307</t>
  </si>
  <si>
    <t>TCK-00308</t>
  </si>
  <si>
    <t>TCK-00309</t>
  </si>
  <si>
    <t>TCK-00310</t>
  </si>
  <si>
    <t>TCK-00311</t>
  </si>
  <si>
    <t>TCK-00312</t>
  </si>
  <si>
    <t>TCK-00313</t>
  </si>
  <si>
    <t>TCK-00314</t>
  </si>
  <si>
    <t>TCK-00315</t>
  </si>
  <si>
    <t>TCK-00316</t>
  </si>
  <si>
    <t>TCK-00317</t>
  </si>
  <si>
    <t>TCK-00318</t>
  </si>
  <si>
    <t>TCK-00319</t>
  </si>
  <si>
    <t>TCK-00320</t>
  </si>
  <si>
    <t>TCK-00321</t>
  </si>
  <si>
    <t>TCK-00322</t>
  </si>
  <si>
    <t>TCK-00323</t>
  </si>
  <si>
    <t>TCK-00324</t>
  </si>
  <si>
    <t>TCK-00325</t>
  </si>
  <si>
    <t>TCK-00326</t>
  </si>
  <si>
    <t>TCK-00327</t>
  </si>
  <si>
    <t>TCK-00328</t>
  </si>
  <si>
    <t>TCK-00329</t>
  </si>
  <si>
    <t>TCK-00330</t>
  </si>
  <si>
    <t>TCK-00331</t>
  </si>
  <si>
    <t>TCK-00332</t>
  </si>
  <si>
    <t>TCK-00333</t>
  </si>
  <si>
    <t>TCK-00334</t>
  </si>
  <si>
    <t>TCK-00335</t>
  </si>
  <si>
    <t>TCK-00336</t>
  </si>
  <si>
    <t>TCK-00337</t>
  </si>
  <si>
    <t>TCK-00338</t>
  </si>
  <si>
    <t>TCK-00339</t>
  </si>
  <si>
    <t>TCK-00340</t>
  </si>
  <si>
    <t>TCK-00341</t>
  </si>
  <si>
    <t>TCK-00342</t>
  </si>
  <si>
    <t>TCK-00343</t>
  </si>
  <si>
    <t>TCK-00344</t>
  </si>
  <si>
    <t>TCK-00345</t>
  </si>
  <si>
    <t>TCK-00346</t>
  </si>
  <si>
    <t>TCK-00347</t>
  </si>
  <si>
    <t>TCK-00348</t>
  </si>
  <si>
    <t>TCK-00349</t>
  </si>
  <si>
    <t>TCK-00350</t>
  </si>
  <si>
    <t>TCK-00351</t>
  </si>
  <si>
    <t>TCK-00352</t>
  </si>
  <si>
    <t>TCK-00353</t>
  </si>
  <si>
    <t>TCK-00354</t>
  </si>
  <si>
    <t>TCK-00355</t>
  </si>
  <si>
    <t>TCK-00356</t>
  </si>
  <si>
    <t>TCK-00357</t>
  </si>
  <si>
    <t>TCK-00358</t>
  </si>
  <si>
    <t>TCK-00359</t>
  </si>
  <si>
    <t>TCK-00360</t>
  </si>
  <si>
    <t>TCK-00361</t>
  </si>
  <si>
    <t>TCK-00362</t>
  </si>
  <si>
    <t>TCK-00363</t>
  </si>
  <si>
    <t>TCK-00364</t>
  </si>
  <si>
    <t>TCK-00365</t>
  </si>
  <si>
    <t>TCK-00366</t>
  </si>
  <si>
    <t>TCK-00367</t>
  </si>
  <si>
    <t>TCK-00368</t>
  </si>
  <si>
    <t>TCK-00369</t>
  </si>
  <si>
    <t>TCK-00370</t>
  </si>
  <si>
    <t>TCK-00371</t>
  </si>
  <si>
    <t>TCK-00372</t>
  </si>
  <si>
    <t>TCK-00373</t>
  </si>
  <si>
    <t>TCK-00374</t>
  </si>
  <si>
    <t>TCK-00375</t>
  </si>
  <si>
    <t>TCK-00376</t>
  </si>
  <si>
    <t>TCK-00377</t>
  </si>
  <si>
    <t>TCK-00378</t>
  </si>
  <si>
    <t>TCK-00379</t>
  </si>
  <si>
    <t>TCK-00380</t>
  </si>
  <si>
    <t>TCK-00381</t>
  </si>
  <si>
    <t>TCK-00382</t>
  </si>
  <si>
    <t>TCK-00383</t>
  </si>
  <si>
    <t>TCK-00384</t>
  </si>
  <si>
    <t>TCK-00385</t>
  </si>
  <si>
    <t>TCK-00386</t>
  </si>
  <si>
    <t>TCK-00387</t>
  </si>
  <si>
    <t>TCK-00388</t>
  </si>
  <si>
    <t>TCK-00389</t>
  </si>
  <si>
    <t>TCK-00390</t>
  </si>
  <si>
    <t>TCK-00391</t>
  </si>
  <si>
    <t>TCK-00392</t>
  </si>
  <si>
    <t>TCK-00393</t>
  </si>
  <si>
    <t>TCK-00394</t>
  </si>
  <si>
    <t>TCK-00395</t>
  </si>
  <si>
    <t>TCK-00396</t>
  </si>
  <si>
    <t>TCK-00397</t>
  </si>
  <si>
    <t>TCK-00398</t>
  </si>
  <si>
    <t>TCK-00399</t>
  </si>
  <si>
    <t>TCK-00400</t>
  </si>
  <si>
    <t>TCK-00401</t>
  </si>
  <si>
    <t>TCK-00402</t>
  </si>
  <si>
    <t>TCK-00403</t>
  </si>
  <si>
    <t>TCK-00404</t>
  </si>
  <si>
    <t>TCK-00405</t>
  </si>
  <si>
    <t>TCK-00406</t>
  </si>
  <si>
    <t>TCK-00407</t>
  </si>
  <si>
    <t>TCK-00408</t>
  </si>
  <si>
    <t>TCK-00409</t>
  </si>
  <si>
    <t>TCK-00410</t>
  </si>
  <si>
    <t>TCK-00411</t>
  </si>
  <si>
    <t>TCK-00412</t>
  </si>
  <si>
    <t>TCK-00413</t>
  </si>
  <si>
    <t>TCK-00414</t>
  </si>
  <si>
    <t>TCK-00415</t>
  </si>
  <si>
    <t>TCK-00416</t>
  </si>
  <si>
    <t>TCK-00417</t>
  </si>
  <si>
    <t>TCK-00418</t>
  </si>
  <si>
    <t>TCK-00419</t>
  </si>
  <si>
    <t>TCK-00420</t>
  </si>
  <si>
    <t>TCK-00421</t>
  </si>
  <si>
    <t>TCK-00422</t>
  </si>
  <si>
    <t>TCK-00423</t>
  </si>
  <si>
    <t>TCK-00424</t>
  </si>
  <si>
    <t>TCK-00425</t>
  </si>
  <si>
    <t>TCK-00426</t>
  </si>
  <si>
    <t>TCK-00427</t>
  </si>
  <si>
    <t>TCK-00428</t>
  </si>
  <si>
    <t>TCK-00429</t>
  </si>
  <si>
    <t>TCK-00430</t>
  </si>
  <si>
    <t>TCK-00431</t>
  </si>
  <si>
    <t>TCK-00432</t>
  </si>
  <si>
    <t>TCK-00433</t>
  </si>
  <si>
    <t>TCK-00434</t>
  </si>
  <si>
    <t>TCK-00435</t>
  </si>
  <si>
    <t>TCK-00436</t>
  </si>
  <si>
    <t>TCK-00437</t>
  </si>
  <si>
    <t>TCK-00438</t>
  </si>
  <si>
    <t>TCK-00439</t>
  </si>
  <si>
    <t>TCK-00440</t>
  </si>
  <si>
    <t>TCK-00441</t>
  </si>
  <si>
    <t>TCK-00442</t>
  </si>
  <si>
    <t>TCK-00443</t>
  </si>
  <si>
    <t>TCK-00444</t>
  </si>
  <si>
    <t>TCK-00445</t>
  </si>
  <si>
    <t>TCK-00446</t>
  </si>
  <si>
    <t>TCK-00447</t>
  </si>
  <si>
    <t>TCK-00448</t>
  </si>
  <si>
    <t>TCK-00449</t>
  </si>
  <si>
    <t>TCK-00450</t>
  </si>
  <si>
    <t>TCK-00451</t>
  </si>
  <si>
    <t>TCK-00452</t>
  </si>
  <si>
    <t>TCK-00453</t>
  </si>
  <si>
    <t>TCK-00454</t>
  </si>
  <si>
    <t>TCK-00455</t>
  </si>
  <si>
    <t>TCK-00456</t>
  </si>
  <si>
    <t>TCK-00457</t>
  </si>
  <si>
    <t>TCK-00458</t>
  </si>
  <si>
    <t>TCK-00459</t>
  </si>
  <si>
    <t>TCK-00460</t>
  </si>
  <si>
    <t>TCK-00461</t>
  </si>
  <si>
    <t>TCK-00462</t>
  </si>
  <si>
    <t>TCK-00463</t>
  </si>
  <si>
    <t>TCK-00464</t>
  </si>
  <si>
    <t>TCK-00465</t>
  </si>
  <si>
    <t>TCK-00466</t>
  </si>
  <si>
    <t>TCK-00467</t>
  </si>
  <si>
    <t>TCK-00468</t>
  </si>
  <si>
    <t>TCK-00469</t>
  </si>
  <si>
    <t>TCK-00470</t>
  </si>
  <si>
    <t>TCK-00471</t>
  </si>
  <si>
    <t>TCK-00472</t>
  </si>
  <si>
    <t>TCK-00473</t>
  </si>
  <si>
    <t>TCK-00474</t>
  </si>
  <si>
    <t>TCK-00475</t>
  </si>
  <si>
    <t>TCK-00476</t>
  </si>
  <si>
    <t>TCK-00477</t>
  </si>
  <si>
    <t>TCK-00478</t>
  </si>
  <si>
    <t>TCK-00479</t>
  </si>
  <si>
    <t>TCK-00480</t>
  </si>
  <si>
    <t>TCK-00481</t>
  </si>
  <si>
    <t>TCK-00482</t>
  </si>
  <si>
    <t>TCK-00483</t>
  </si>
  <si>
    <t>TCK-00484</t>
  </si>
  <si>
    <t>TCK-00485</t>
  </si>
  <si>
    <t>TCK-00486</t>
  </si>
  <si>
    <t>TCK-00487</t>
  </si>
  <si>
    <t>TCK-00488</t>
  </si>
  <si>
    <t>TCK-00489</t>
  </si>
  <si>
    <t>TCK-00490</t>
  </si>
  <si>
    <t>TCK-00491</t>
  </si>
  <si>
    <t>TCK-00492</t>
  </si>
  <si>
    <t>TCK-00493</t>
  </si>
  <si>
    <t>TCK-00494</t>
  </si>
  <si>
    <t>TCK-00495</t>
  </si>
  <si>
    <t>TCK-00496</t>
  </si>
  <si>
    <t>TCK-00497</t>
  </si>
  <si>
    <t>TCK-00498</t>
  </si>
  <si>
    <t>TCK-00499</t>
  </si>
  <si>
    <t>TCK-00500</t>
  </si>
  <si>
    <t>TCK-00501</t>
  </si>
  <si>
    <t>TCK-00502</t>
  </si>
  <si>
    <t>TCK-00503</t>
  </si>
  <si>
    <t>TCK-00504</t>
  </si>
  <si>
    <t>TCK-00505</t>
  </si>
  <si>
    <t>TCK-00506</t>
  </si>
  <si>
    <t>TCK-00507</t>
  </si>
  <si>
    <t>TCK-00508</t>
  </si>
  <si>
    <t>TCK-00509</t>
  </si>
  <si>
    <t>TCK-00510</t>
  </si>
  <si>
    <t>TCK-00511</t>
  </si>
  <si>
    <t>TCK-00512</t>
  </si>
  <si>
    <t>TCK-00513</t>
  </si>
  <si>
    <t>TCK-00514</t>
  </si>
  <si>
    <t>TCK-00515</t>
  </si>
  <si>
    <t>TCK-00516</t>
  </si>
  <si>
    <t>TCK-00517</t>
  </si>
  <si>
    <t>TCK-00518</t>
  </si>
  <si>
    <t>TCK-00519</t>
  </si>
  <si>
    <t>TCK-00520</t>
  </si>
  <si>
    <t>TCK-00521</t>
  </si>
  <si>
    <t>TCK-00522</t>
  </si>
  <si>
    <t>TCK-00523</t>
  </si>
  <si>
    <t>TCK-00524</t>
  </si>
  <si>
    <t>TCK-00525</t>
  </si>
  <si>
    <t>TCK-00526</t>
  </si>
  <si>
    <t>TCK-00527</t>
  </si>
  <si>
    <t>TCK-00528</t>
  </si>
  <si>
    <t>TCK-00529</t>
  </si>
  <si>
    <t>TCK-00530</t>
  </si>
  <si>
    <t>TCK-00531</t>
  </si>
  <si>
    <t>TCK-00532</t>
  </si>
  <si>
    <t>TCK-00533</t>
  </si>
  <si>
    <t>TCK-00534</t>
  </si>
  <si>
    <t>TCK-00535</t>
  </si>
  <si>
    <t>TCK-00536</t>
  </si>
  <si>
    <t>TCK-00537</t>
  </si>
  <si>
    <t>TCK-00538</t>
  </si>
  <si>
    <t>TCK-00539</t>
  </si>
  <si>
    <t>TCK-00540</t>
  </si>
  <si>
    <t>TCK-00541</t>
  </si>
  <si>
    <t>TCK-00542</t>
  </si>
  <si>
    <t>TCK-00543</t>
  </si>
  <si>
    <t>TCK-00544</t>
  </si>
  <si>
    <t>TCK-00545</t>
  </si>
  <si>
    <t>TCK-00546</t>
  </si>
  <si>
    <t>TCK-00547</t>
  </si>
  <si>
    <t>TCK-00548</t>
  </si>
  <si>
    <t>TCK-00549</t>
  </si>
  <si>
    <t>TCK-00550</t>
  </si>
  <si>
    <t>TCK-00551</t>
  </si>
  <si>
    <t>TCK-00552</t>
  </si>
  <si>
    <t>TCK-00553</t>
  </si>
  <si>
    <t>TCK-00554</t>
  </si>
  <si>
    <t>TCK-00555</t>
  </si>
  <si>
    <t>TCK-00556</t>
  </si>
  <si>
    <t>TCK-00557</t>
  </si>
  <si>
    <t>TCK-00558</t>
  </si>
  <si>
    <t>TCK-00559</t>
  </si>
  <si>
    <t>TCK-00560</t>
  </si>
  <si>
    <t>TCK-00561</t>
  </si>
  <si>
    <t>TCK-00562</t>
  </si>
  <si>
    <t>TCK-00563</t>
  </si>
  <si>
    <t>TCK-00564</t>
  </si>
  <si>
    <t>TCK-00565</t>
  </si>
  <si>
    <t>TCK-00566</t>
  </si>
  <si>
    <t>TCK-00567</t>
  </si>
  <si>
    <t>TCK-00568</t>
  </si>
  <si>
    <t>TCK-00569</t>
  </si>
  <si>
    <t>TCK-00570</t>
  </si>
  <si>
    <t>TCK-00571</t>
  </si>
  <si>
    <t>TCK-00572</t>
  </si>
  <si>
    <t>TCK-00573</t>
  </si>
  <si>
    <t>TCK-00574</t>
  </si>
  <si>
    <t>TCK-00575</t>
  </si>
  <si>
    <t>TCK-00576</t>
  </si>
  <si>
    <t>TCK-00577</t>
  </si>
  <si>
    <t>TCK-00578</t>
  </si>
  <si>
    <t>TCK-00579</t>
  </si>
  <si>
    <t>TCK-00580</t>
  </si>
  <si>
    <t>TCK-00581</t>
  </si>
  <si>
    <t>TCK-00582</t>
  </si>
  <si>
    <t>TCK-00583</t>
  </si>
  <si>
    <t>TCK-00584</t>
  </si>
  <si>
    <t>TCK-00585</t>
  </si>
  <si>
    <t>TCK-00586</t>
  </si>
  <si>
    <t>TCK-00587</t>
  </si>
  <si>
    <t>TCK-00588</t>
  </si>
  <si>
    <t>TCK-00589</t>
  </si>
  <si>
    <t>TCK-00590</t>
  </si>
  <si>
    <t>TCK-00591</t>
  </si>
  <si>
    <t>TCK-00592</t>
  </si>
  <si>
    <t>TCK-00593</t>
  </si>
  <si>
    <t>TCK-00594</t>
  </si>
  <si>
    <t>TCK-00595</t>
  </si>
  <si>
    <t>TCK-00596</t>
  </si>
  <si>
    <t>TCK-00597</t>
  </si>
  <si>
    <t>TCK-00598</t>
  </si>
  <si>
    <t>TCK-00599</t>
  </si>
  <si>
    <t>TCK-00600</t>
  </si>
  <si>
    <t>TCK-00601</t>
  </si>
  <si>
    <t>TCK-00602</t>
  </si>
  <si>
    <t>TCK-00603</t>
  </si>
  <si>
    <t>TCK-00604</t>
  </si>
  <si>
    <t>TCK-00605</t>
  </si>
  <si>
    <t>TCK-00606</t>
  </si>
  <si>
    <t>TCK-00607</t>
  </si>
  <si>
    <t>TCK-00608</t>
  </si>
  <si>
    <t>TCK-00609</t>
  </si>
  <si>
    <t>TCK-00610</t>
  </si>
  <si>
    <t>TCK-00611</t>
  </si>
  <si>
    <t>TCK-00612</t>
  </si>
  <si>
    <t>TCK-00613</t>
  </si>
  <si>
    <t>TCK-00614</t>
  </si>
  <si>
    <t>TCK-00615</t>
  </si>
  <si>
    <t>TCK-00616</t>
  </si>
  <si>
    <t>TCK-00617</t>
  </si>
  <si>
    <t>TCK-00618</t>
  </si>
  <si>
    <t>TCK-00619</t>
  </si>
  <si>
    <t>TCK-00620</t>
  </si>
  <si>
    <t>TCK-00621</t>
  </si>
  <si>
    <t>TCK-00622</t>
  </si>
  <si>
    <t>TCK-00623</t>
  </si>
  <si>
    <t>TCK-00624</t>
  </si>
  <si>
    <t>TCK-00625</t>
  </si>
  <si>
    <t>TCK-00626</t>
  </si>
  <si>
    <t>TCK-00627</t>
  </si>
  <si>
    <t>TCK-00628</t>
  </si>
  <si>
    <t>TCK-00629</t>
  </si>
  <si>
    <t>TCK-00630</t>
  </si>
  <si>
    <t>TCK-00631</t>
  </si>
  <si>
    <t>TCK-00632</t>
  </si>
  <si>
    <t>TCK-00633</t>
  </si>
  <si>
    <t>TCK-00634</t>
  </si>
  <si>
    <t>TCK-00635</t>
  </si>
  <si>
    <t>TCK-00636</t>
  </si>
  <si>
    <t>TCK-00637</t>
  </si>
  <si>
    <t>TCK-00638</t>
  </si>
  <si>
    <t>TCK-00639</t>
  </si>
  <si>
    <t>TCK-00640</t>
  </si>
  <si>
    <t>TCK-00641</t>
  </si>
  <si>
    <t>TCK-00642</t>
  </si>
  <si>
    <t>TCK-00643</t>
  </si>
  <si>
    <t>TCK-00644</t>
  </si>
  <si>
    <t>TCK-00645</t>
  </si>
  <si>
    <t>TCK-00646</t>
  </si>
  <si>
    <t>TCK-00647</t>
  </si>
  <si>
    <t>TCK-00648</t>
  </si>
  <si>
    <t>TCK-00649</t>
  </si>
  <si>
    <t>TCK-00650</t>
  </si>
  <si>
    <t>TCK-00651</t>
  </si>
  <si>
    <t>TCK-00652</t>
  </si>
  <si>
    <t>TCK-00653</t>
  </si>
  <si>
    <t>TCK-00654</t>
  </si>
  <si>
    <t>TCK-00655</t>
  </si>
  <si>
    <t>TCK-00656</t>
  </si>
  <si>
    <t>TCK-00657</t>
  </si>
  <si>
    <t>TCK-00658</t>
  </si>
  <si>
    <t>TCK-00659</t>
  </si>
  <si>
    <t>TCK-00660</t>
  </si>
  <si>
    <t>TCK-00661</t>
  </si>
  <si>
    <t>TCK-00662</t>
  </si>
  <si>
    <t>TCK-00663</t>
  </si>
  <si>
    <t>TCK-00664</t>
  </si>
  <si>
    <t>TCK-00665</t>
  </si>
  <si>
    <t>TCK-00666</t>
  </si>
  <si>
    <t>TCK-00667</t>
  </si>
  <si>
    <t>TCK-00668</t>
  </si>
  <si>
    <t>TCK-00669</t>
  </si>
  <si>
    <t>TCK-00670</t>
  </si>
  <si>
    <t>TCK-00671</t>
  </si>
  <si>
    <t>TCK-00672</t>
  </si>
  <si>
    <t>TCK-00673</t>
  </si>
  <si>
    <t>TCK-00674</t>
  </si>
  <si>
    <t>TCK-00675</t>
  </si>
  <si>
    <t>TCK-00676</t>
  </si>
  <si>
    <t>TCK-00677</t>
  </si>
  <si>
    <t>TCK-00678</t>
  </si>
  <si>
    <t>TCK-00679</t>
  </si>
  <si>
    <t>TCK-00680</t>
  </si>
  <si>
    <t>TCK-00681</t>
  </si>
  <si>
    <t>TCK-00682</t>
  </si>
  <si>
    <t>TCK-00683</t>
  </si>
  <si>
    <t>TCK-00684</t>
  </si>
  <si>
    <t>TCK-00685</t>
  </si>
  <si>
    <t>TCK-00686</t>
  </si>
  <si>
    <t>TCK-00687</t>
  </si>
  <si>
    <t>TCK-00688</t>
  </si>
  <si>
    <t>TCK-00689</t>
  </si>
  <si>
    <t>TCK-00690</t>
  </si>
  <si>
    <t>TCK-00691</t>
  </si>
  <si>
    <t>TCK-00692</t>
  </si>
  <si>
    <t>TCK-00693</t>
  </si>
  <si>
    <t>TCK-00694</t>
  </si>
  <si>
    <t>TCK-00695</t>
  </si>
  <si>
    <t>TCK-00696</t>
  </si>
  <si>
    <t>TCK-00697</t>
  </si>
  <si>
    <t>TCK-00698</t>
  </si>
  <si>
    <t>TCK-00699</t>
  </si>
  <si>
    <t>TCK-00700</t>
  </si>
  <si>
    <t>TCK-00701</t>
  </si>
  <si>
    <t>TCK-00702</t>
  </si>
  <si>
    <t>TCK-00703</t>
  </si>
  <si>
    <t>TCK-00704</t>
  </si>
  <si>
    <t>TCK-00705</t>
  </si>
  <si>
    <t>TCK-00706</t>
  </si>
  <si>
    <t>TCK-00707</t>
  </si>
  <si>
    <t>TCK-00708</t>
  </si>
  <si>
    <t>TCK-00709</t>
  </si>
  <si>
    <t>TCK-00710</t>
  </si>
  <si>
    <t>TCK-00711</t>
  </si>
  <si>
    <t>TCK-00712</t>
  </si>
  <si>
    <t>TCK-00713</t>
  </si>
  <si>
    <t>TCK-00714</t>
  </si>
  <si>
    <t>TCK-00715</t>
  </si>
  <si>
    <t>TCK-00716</t>
  </si>
  <si>
    <t>TCK-00717</t>
  </si>
  <si>
    <t>TCK-00718</t>
  </si>
  <si>
    <t>TCK-00719</t>
  </si>
  <si>
    <t>TCK-00720</t>
  </si>
  <si>
    <t>TCK-00721</t>
  </si>
  <si>
    <t>TCK-00722</t>
  </si>
  <si>
    <t>TCK-00723</t>
  </si>
  <si>
    <t>TCK-00724</t>
  </si>
  <si>
    <t>TCK-00725</t>
  </si>
  <si>
    <t>TCK-00726</t>
  </si>
  <si>
    <t>TCK-00727</t>
  </si>
  <si>
    <t>TCK-00728</t>
  </si>
  <si>
    <t>TCK-00729</t>
  </si>
  <si>
    <t>TCK-00730</t>
  </si>
  <si>
    <t>TCK-00731</t>
  </si>
  <si>
    <t>TCK-00732</t>
  </si>
  <si>
    <t>TCK-00733</t>
  </si>
  <si>
    <t>TCK-00734</t>
  </si>
  <si>
    <t>TCK-00735</t>
  </si>
  <si>
    <t>TCK-00736</t>
  </si>
  <si>
    <t>TCK-00737</t>
  </si>
  <si>
    <t>TCK-00738</t>
  </si>
  <si>
    <t>TCK-00739</t>
  </si>
  <si>
    <t>TCK-00740</t>
  </si>
  <si>
    <t>TCK-00741</t>
  </si>
  <si>
    <t>TCK-00742</t>
  </si>
  <si>
    <t>TCK-00743</t>
  </si>
  <si>
    <t>TCK-00744</t>
  </si>
  <si>
    <t>TCK-00745</t>
  </si>
  <si>
    <t>TCK-00746</t>
  </si>
  <si>
    <t>TCK-00747</t>
  </si>
  <si>
    <t>TCK-00748</t>
  </si>
  <si>
    <t>TCK-00749</t>
  </si>
  <si>
    <t>TCK-00750</t>
  </si>
  <si>
    <t>TCK-00751</t>
  </si>
  <si>
    <t>TCK-00752</t>
  </si>
  <si>
    <t>TCK-00753</t>
  </si>
  <si>
    <t>TCK-00754</t>
  </si>
  <si>
    <t>TCK-00755</t>
  </si>
  <si>
    <t>TCK-00756</t>
  </si>
  <si>
    <t>TCK-00757</t>
  </si>
  <si>
    <t>TCK-00758</t>
  </si>
  <si>
    <t>TCK-00759</t>
  </si>
  <si>
    <t>TCK-00760</t>
  </si>
  <si>
    <t>TCK-00761</t>
  </si>
  <si>
    <t>TCK-00762</t>
  </si>
  <si>
    <t>TCK-00763</t>
  </si>
  <si>
    <t>TCK-00764</t>
  </si>
  <si>
    <t>TCK-00765</t>
  </si>
  <si>
    <t>TCK-00766</t>
  </si>
  <si>
    <t>TCK-00767</t>
  </si>
  <si>
    <t>TCK-00768</t>
  </si>
  <si>
    <t>TCK-00769</t>
  </si>
  <si>
    <t>TCK-00770</t>
  </si>
  <si>
    <t>TCK-00771</t>
  </si>
  <si>
    <t>TCK-00772</t>
  </si>
  <si>
    <t>TCK-00773</t>
  </si>
  <si>
    <t>TCK-00774</t>
  </si>
  <si>
    <t>SurveyID</t>
  </si>
  <si>
    <t>ResponseDate</t>
  </si>
  <si>
    <t>Score</t>
  </si>
  <si>
    <t>NPS-0001</t>
  </si>
  <si>
    <t>NPS-0002</t>
  </si>
  <si>
    <t>NPS-0003</t>
  </si>
  <si>
    <t>NPS-0004</t>
  </si>
  <si>
    <t>NPS-0005</t>
  </si>
  <si>
    <t>NPS-0006</t>
  </si>
  <si>
    <t>NPS-0007</t>
  </si>
  <si>
    <t>NPS-0008</t>
  </si>
  <si>
    <t>NPS-0009</t>
  </si>
  <si>
    <t>NPS-0010</t>
  </si>
  <si>
    <t>NPS-0011</t>
  </si>
  <si>
    <t>NPS-0012</t>
  </si>
  <si>
    <t>NPS-0013</t>
  </si>
  <si>
    <t>NPS-0014</t>
  </si>
  <si>
    <t>NPS-0015</t>
  </si>
  <si>
    <t>NPS-0016</t>
  </si>
  <si>
    <t>NPS-0017</t>
  </si>
  <si>
    <t>NPS-0018</t>
  </si>
  <si>
    <t>NPS-0019</t>
  </si>
  <si>
    <t>NPS-0020</t>
  </si>
  <si>
    <t>NPS-0021</t>
  </si>
  <si>
    <t>NPS-0022</t>
  </si>
  <si>
    <t>NPS-0023</t>
  </si>
  <si>
    <t>NPS-0024</t>
  </si>
  <si>
    <t>NPS-0025</t>
  </si>
  <si>
    <t>NPS-0026</t>
  </si>
  <si>
    <t>NPS-0027</t>
  </si>
  <si>
    <t>NPS-0028</t>
  </si>
  <si>
    <t>NPS-0029</t>
  </si>
  <si>
    <t>NPS-0030</t>
  </si>
  <si>
    <t>NPS-0031</t>
  </si>
  <si>
    <t>NPS-0032</t>
  </si>
  <si>
    <t>NPS-0033</t>
  </si>
  <si>
    <t>NPS-0034</t>
  </si>
  <si>
    <t>NPS-0035</t>
  </si>
  <si>
    <t>NPS-0036</t>
  </si>
  <si>
    <t>NPS-0037</t>
  </si>
  <si>
    <t>NPS-0038</t>
  </si>
  <si>
    <t>NPS-0039</t>
  </si>
  <si>
    <t>NPS-0040</t>
  </si>
  <si>
    <t>NPS-0041</t>
  </si>
  <si>
    <t>NPS-0042</t>
  </si>
  <si>
    <t>NPS-0043</t>
  </si>
  <si>
    <t>NPS-0044</t>
  </si>
  <si>
    <t>NPS-0045</t>
  </si>
  <si>
    <t>NPS-0046</t>
  </si>
  <si>
    <t>NPS-0047</t>
  </si>
  <si>
    <t>NPS-0048</t>
  </si>
  <si>
    <t>NPS-0049</t>
  </si>
  <si>
    <t>NPS-0050</t>
  </si>
  <si>
    <t>NPS-0051</t>
  </si>
  <si>
    <t>NPS-0052</t>
  </si>
  <si>
    <t>NPS-0053</t>
  </si>
  <si>
    <t>NPS-0054</t>
  </si>
  <si>
    <t>NPS-0055</t>
  </si>
  <si>
    <t>NPS-0056</t>
  </si>
  <si>
    <t>NPS-0057</t>
  </si>
  <si>
    <t>NPS-0058</t>
  </si>
  <si>
    <t>NPS-0059</t>
  </si>
  <si>
    <t>NPS-0060</t>
  </si>
  <si>
    <t>NPS-0061</t>
  </si>
  <si>
    <t>NPS-0062</t>
  </si>
  <si>
    <t>NPS-0063</t>
  </si>
  <si>
    <t>NPS-0064</t>
  </si>
  <si>
    <t>NPS-0065</t>
  </si>
  <si>
    <t>NPS-0066</t>
  </si>
  <si>
    <t>NPS-0067</t>
  </si>
  <si>
    <t>NPS-0068</t>
  </si>
  <si>
    <t>NPS-0069</t>
  </si>
  <si>
    <t>NPS-0070</t>
  </si>
  <si>
    <t>NPS-0071</t>
  </si>
  <si>
    <t>NPS-0072</t>
  </si>
  <si>
    <t>NPS-0073</t>
  </si>
  <si>
    <t>NPS-0074</t>
  </si>
  <si>
    <t>NPS-0075</t>
  </si>
  <si>
    <t>NPS-0076</t>
  </si>
  <si>
    <t>NPS-0077</t>
  </si>
  <si>
    <t>NPS-0078</t>
  </si>
  <si>
    <t>NPS-0079</t>
  </si>
  <si>
    <t>NPS-0080</t>
  </si>
  <si>
    <t>NPS-0081</t>
  </si>
  <si>
    <t>NPS-0082</t>
  </si>
  <si>
    <t>NPS-0083</t>
  </si>
  <si>
    <t>NPS-0084</t>
  </si>
  <si>
    <t>NPS-0085</t>
  </si>
  <si>
    <t>NPS-0086</t>
  </si>
  <si>
    <t>NPS-0087</t>
  </si>
  <si>
    <t>NPS-0088</t>
  </si>
  <si>
    <t>NPS-0089</t>
  </si>
  <si>
    <t>NPS-0090</t>
  </si>
  <si>
    <t>NPS-0091</t>
  </si>
  <si>
    <t>NPS-0092</t>
  </si>
  <si>
    <t>NPS-0093</t>
  </si>
  <si>
    <t>NPS-0094</t>
  </si>
  <si>
    <t>NPS-0095</t>
  </si>
  <si>
    <t>NPS-0096</t>
  </si>
  <si>
    <t>NPS-0097</t>
  </si>
  <si>
    <t>NPS-0098</t>
  </si>
  <si>
    <t>NPS-0099</t>
  </si>
  <si>
    <t>NPS-0100</t>
  </si>
  <si>
    <t>NPS-0101</t>
  </si>
  <si>
    <t>NPS-0102</t>
  </si>
  <si>
    <t>NPS-0103</t>
  </si>
  <si>
    <t>NPS-0104</t>
  </si>
  <si>
    <t>NPS-0105</t>
  </si>
  <si>
    <t>NPS-0106</t>
  </si>
  <si>
    <t>NPS-0107</t>
  </si>
  <si>
    <t>NPS-0108</t>
  </si>
  <si>
    <t>NPS-0109</t>
  </si>
  <si>
    <t>NPS-0110</t>
  </si>
  <si>
    <t>NPS-0111</t>
  </si>
  <si>
    <t>NPS-0112</t>
  </si>
  <si>
    <t>NPS-0113</t>
  </si>
  <si>
    <t>NPS-0114</t>
  </si>
  <si>
    <t>NPS-0115</t>
  </si>
  <si>
    <t>NPS-0116</t>
  </si>
  <si>
    <t>NPS-0117</t>
  </si>
  <si>
    <t>NPS-0118</t>
  </si>
  <si>
    <t>NPS-0119</t>
  </si>
  <si>
    <t>NPS-0120</t>
  </si>
  <si>
    <t>NPS-0121</t>
  </si>
  <si>
    <t>NPS-0122</t>
  </si>
  <si>
    <t>NPS-0123</t>
  </si>
  <si>
    <t>NPS-0124</t>
  </si>
  <si>
    <t>NPS-0125</t>
  </si>
  <si>
    <t>NPS-0126</t>
  </si>
  <si>
    <t>NPS-0127</t>
  </si>
  <si>
    <t>NPS-0128</t>
  </si>
  <si>
    <t>NPS-0129</t>
  </si>
  <si>
    <t>NPS-0130</t>
  </si>
  <si>
    <t>NPS-0131</t>
  </si>
  <si>
    <t>NPS-0132</t>
  </si>
  <si>
    <t>NPS-0133</t>
  </si>
  <si>
    <t>NPS-0134</t>
  </si>
  <si>
    <t>NPS-0135</t>
  </si>
  <si>
    <t>NPS-0136</t>
  </si>
  <si>
    <t>NPS-0137</t>
  </si>
  <si>
    <t>NPS-0138</t>
  </si>
  <si>
    <t>NPS-0139</t>
  </si>
  <si>
    <t>NPS-0140</t>
  </si>
  <si>
    <t>NPS-0141</t>
  </si>
  <si>
    <t>NPS-0142</t>
  </si>
  <si>
    <t>NPS-0143</t>
  </si>
  <si>
    <t>NPS-0144</t>
  </si>
  <si>
    <t>NPS-0145</t>
  </si>
  <si>
    <t>NPS-0146</t>
  </si>
  <si>
    <t>NPS-0147</t>
  </si>
  <si>
    <t>NPS-0148</t>
  </si>
  <si>
    <t>NPS-0149</t>
  </si>
  <si>
    <t>NPS-0150</t>
  </si>
  <si>
    <t>NPS-0151</t>
  </si>
  <si>
    <t>NPS-0152</t>
  </si>
  <si>
    <t>NPS-0153</t>
  </si>
  <si>
    <t>NPS-0154</t>
  </si>
  <si>
    <t>NPS-0155</t>
  </si>
  <si>
    <t>NPS-0156</t>
  </si>
  <si>
    <t>NPS-0157</t>
  </si>
  <si>
    <t>NPS-0158</t>
  </si>
  <si>
    <t>NPS-0159</t>
  </si>
  <si>
    <t>NPS-0160</t>
  </si>
  <si>
    <t>NPS-0161</t>
  </si>
  <si>
    <t>NPS-0162</t>
  </si>
  <si>
    <t>NPS-0163</t>
  </si>
  <si>
    <t>NPS-0164</t>
  </si>
  <si>
    <t>NPS-0165</t>
  </si>
  <si>
    <t>NPS-0166</t>
  </si>
  <si>
    <t>NPS-0167</t>
  </si>
  <si>
    <t>NPS-0168</t>
  </si>
  <si>
    <t>NPS-0169</t>
  </si>
  <si>
    <t>NPS-0170</t>
  </si>
  <si>
    <t>NPS-0171</t>
  </si>
  <si>
    <t>NPS-0172</t>
  </si>
  <si>
    <t>NPS-0173</t>
  </si>
  <si>
    <t>NPS-0174</t>
  </si>
  <si>
    <t>NPS-0175</t>
  </si>
  <si>
    <t>NPS-0176</t>
  </si>
  <si>
    <t>NPS-0177</t>
  </si>
  <si>
    <t>NPS-0178</t>
  </si>
  <si>
    <t>ReportID</t>
  </si>
  <si>
    <t>ReportName</t>
  </si>
  <si>
    <t>Type</t>
  </si>
  <si>
    <t>Audience</t>
  </si>
  <si>
    <t>Frequency</t>
  </si>
  <si>
    <t>Source</t>
  </si>
  <si>
    <t>Owner</t>
  </si>
  <si>
    <t>CreatedDate</t>
  </si>
  <si>
    <t>LastModified</t>
  </si>
  <si>
    <t>Recipients</t>
  </si>
  <si>
    <t>MaintHrsPerMonth</t>
  </si>
  <si>
    <t>RPT-001</t>
  </si>
  <si>
    <t>Customer Health Scorecard</t>
  </si>
  <si>
    <t>Standard</t>
  </si>
  <si>
    <t>CS Leadership</t>
  </si>
  <si>
    <t>Weekly</t>
  </si>
  <si>
    <t>Gainsight</t>
  </si>
  <si>
    <t>Mariana Torres</t>
  </si>
  <si>
    <t>RPT-002</t>
  </si>
  <si>
    <t>Weekly Active Users by Account</t>
  </si>
  <si>
    <t>CSM</t>
  </si>
  <si>
    <t>Product DB</t>
  </si>
  <si>
    <t>Ryan Mitchell</t>
  </si>
  <si>
    <t>RPT-003</t>
  </si>
  <si>
    <t>Renewal Pipeline - Next 120 Days</t>
  </si>
  <si>
    <t>Salesforce</t>
  </si>
  <si>
    <t>Kevin Liu</t>
  </si>
  <si>
    <t>RPT-004</t>
  </si>
  <si>
    <t>QBR Usage Pack - Enterprise</t>
  </si>
  <si>
    <t>Custom</t>
  </si>
  <si>
    <t>RPT-005</t>
  </si>
  <si>
    <t>Seat Utilization by Product</t>
  </si>
  <si>
    <t>Paola Sánchez</t>
  </si>
  <si>
    <t>RPT-006</t>
  </si>
  <si>
    <t>Ticket Backlog by CSM</t>
  </si>
  <si>
    <t>Daily</t>
  </si>
  <si>
    <t>RPT-007</t>
  </si>
  <si>
    <t>Executive ARR at Risk</t>
  </si>
  <si>
    <t>Executive</t>
  </si>
  <si>
    <t>RPT-008</t>
  </si>
  <si>
    <t>Login Report (Legacy v1)</t>
  </si>
  <si>
    <t>RPT-009</t>
  </si>
  <si>
    <t>Login Report v2</t>
  </si>
  <si>
    <t>RPT-010</t>
  </si>
  <si>
    <t>Feature Adoption Heatmap</t>
  </si>
  <si>
    <t>RPT-011</t>
  </si>
  <si>
    <t>Contractual Usage Report - Monthly</t>
  </si>
  <si>
    <t>Contractual</t>
  </si>
  <si>
    <t>Customer</t>
  </si>
  <si>
    <t>RPT-012</t>
  </si>
  <si>
    <t>Contractual SLA Report - Quarterly</t>
  </si>
  <si>
    <t>RPT-013</t>
  </si>
  <si>
    <t>NPS Verbatims Digest</t>
  </si>
  <si>
    <t>RPT-014</t>
  </si>
  <si>
    <t>Churn Post-Mortem Tracker</t>
  </si>
  <si>
    <t>Ad hoc</t>
  </si>
  <si>
    <t>RPT-015</t>
  </si>
  <si>
    <t>CSM Book of Business</t>
  </si>
  <si>
    <t>RPT-016</t>
  </si>
  <si>
    <t>Onboarding Progress (Implementation)</t>
  </si>
  <si>
    <t>RPT-017</t>
  </si>
  <si>
    <t>Support CSAT Trend</t>
  </si>
  <si>
    <t>Support</t>
  </si>
  <si>
    <t>RPT-018</t>
  </si>
  <si>
    <t>Ad hoc - Partner Usage Extract</t>
  </si>
  <si>
    <t>Partner</t>
  </si>
  <si>
    <t>RPT-019</t>
  </si>
  <si>
    <t>Ad hoc - Upsell Whitespace</t>
  </si>
  <si>
    <t>Account Mgmt</t>
  </si>
  <si>
    <t>RPT-020</t>
  </si>
  <si>
    <t>Monthly Logins Summary (Old)</t>
  </si>
  <si>
    <t>RPT-021</t>
  </si>
  <si>
    <t>Copy of Customer Health Scorecard</t>
  </si>
  <si>
    <t>RPT-022</t>
  </si>
  <si>
    <t>Product Release Adoption</t>
  </si>
  <si>
    <t>RPT-023</t>
  </si>
  <si>
    <t>Integration Errors by Account</t>
  </si>
  <si>
    <t>RPT-024</t>
  </si>
  <si>
    <t>License Overage Report</t>
  </si>
  <si>
    <t>RPT-025</t>
  </si>
  <si>
    <t>EBR Deck Data Pull</t>
  </si>
  <si>
    <t>RPT-026</t>
  </si>
  <si>
    <t>Inactive Users Alert</t>
  </si>
  <si>
    <t>RPT-027</t>
  </si>
  <si>
    <t>Report Usage Audit (Meta)</t>
  </si>
  <si>
    <t>CS Ops</t>
  </si>
  <si>
    <t>RPT-028</t>
  </si>
  <si>
    <t>Regional ARR Summary - LATAM</t>
  </si>
  <si>
    <t>RPT-029</t>
  </si>
  <si>
    <t>Regional ARR Summary - EMEA</t>
  </si>
  <si>
    <t>RPT-030</t>
  </si>
  <si>
    <t>Customer Success Plan Status</t>
  </si>
  <si>
    <t>RPT-031</t>
  </si>
  <si>
    <t>Contractual Usage Report - Healthcare</t>
  </si>
  <si>
    <t>RPT-032</t>
  </si>
  <si>
    <t>Ad hoc - Price Increase Impact</t>
  </si>
  <si>
    <t>RPT-033</t>
  </si>
  <si>
    <t>Time to First Value</t>
  </si>
  <si>
    <t>RPT-034</t>
  </si>
  <si>
    <t>Escalations Log</t>
  </si>
  <si>
    <t>RPT-035</t>
  </si>
  <si>
    <t>Daily Usage Firehose</t>
  </si>
  <si>
    <t>RPT-036</t>
  </si>
  <si>
    <t>Partner Health Overview</t>
  </si>
  <si>
    <t>LogID</t>
  </si>
  <si>
    <t>Date</t>
  </si>
  <si>
    <t>UserEmail</t>
  </si>
  <si>
    <t>UserRole</t>
  </si>
  <si>
    <t>Action</t>
  </si>
  <si>
    <t>DurationSec</t>
  </si>
  <si>
    <t>LOG-00001</t>
  </si>
  <si>
    <t>robert.hayes@empresa-demo.com</t>
  </si>
  <si>
    <t>Export</t>
  </si>
  <si>
    <t>LOG-00002</t>
  </si>
  <si>
    <t>View</t>
  </si>
  <si>
    <t>LOG-00003</t>
  </si>
  <si>
    <t>LOG-00004</t>
  </si>
  <si>
    <t>LOG-00005</t>
  </si>
  <si>
    <t>monica.salinas@empresa-demo.com</t>
  </si>
  <si>
    <t>LOG-00006</t>
  </si>
  <si>
    <t>LOG-00007</t>
  </si>
  <si>
    <t>valeria.cruz@empresa-demo.com</t>
  </si>
  <si>
    <t>Account Manager</t>
  </si>
  <si>
    <t>LOG-00008</t>
  </si>
  <si>
    <t>LOG-00009</t>
  </si>
  <si>
    <t>LOG-00010</t>
  </si>
  <si>
    <t>LOG-00011</t>
  </si>
  <si>
    <t>LOG-00012</t>
  </si>
  <si>
    <t>laura.kim@empresa-demo.com</t>
  </si>
  <si>
    <t>LOG-00013</t>
  </si>
  <si>
    <t>LOG-00014</t>
  </si>
  <si>
    <t>ivan.perez@empresa-demo.com</t>
  </si>
  <si>
    <t>LOG-00015</t>
  </si>
  <si>
    <t>ricardo.pena@empresa-demo.com</t>
  </si>
  <si>
    <t>Partner Mgmt</t>
  </si>
  <si>
    <t>LOG-00016</t>
  </si>
  <si>
    <t>fernanda.ruiz@empresa-demo.com</t>
  </si>
  <si>
    <t>LOG-00017</t>
  </si>
  <si>
    <t>LOG-00018</t>
  </si>
  <si>
    <t>diego.vargas@empresa-demo.com</t>
  </si>
  <si>
    <t>Subscribe</t>
  </si>
  <si>
    <t>LOG-00019</t>
  </si>
  <si>
    <t>LOG-00020</t>
  </si>
  <si>
    <t>tom.becker@empresa-demo.com</t>
  </si>
  <si>
    <t>LOG-00021</t>
  </si>
  <si>
    <t>LOG-00022</t>
  </si>
  <si>
    <t>LOG-00023</t>
  </si>
  <si>
    <t>LOG-00024</t>
  </si>
  <si>
    <t>LOG-00025</t>
  </si>
  <si>
    <t>LOG-00026</t>
  </si>
  <si>
    <t>LOG-00027</t>
  </si>
  <si>
    <t>LOG-00028</t>
  </si>
  <si>
    <t>LOG-00029</t>
  </si>
  <si>
    <t>LOG-00030</t>
  </si>
  <si>
    <t>LOG-00031</t>
  </si>
  <si>
    <t>LOG-00032</t>
  </si>
  <si>
    <t>LOG-00033</t>
  </si>
  <si>
    <t>LOG-00034</t>
  </si>
  <si>
    <t>olivia.grant@empresa-demo.com</t>
  </si>
  <si>
    <t>LOG-00035</t>
  </si>
  <si>
    <t>LOG-00036</t>
  </si>
  <si>
    <t>LOG-00037</t>
  </si>
  <si>
    <t>LOG-00038</t>
  </si>
  <si>
    <t>andrea.navarro@empresa-demo.com</t>
  </si>
  <si>
    <t>LOG-00039</t>
  </si>
  <si>
    <t>LOG-00040</t>
  </si>
  <si>
    <t>LOG-00041</t>
  </si>
  <si>
    <t>jorge.castillo@empresa-demo.com</t>
  </si>
  <si>
    <t>LOG-00042</t>
  </si>
  <si>
    <t>LOG-00043</t>
  </si>
  <si>
    <t>LOG-00044</t>
  </si>
  <si>
    <t>LOG-00045</t>
  </si>
  <si>
    <t>kevin.liu@empresa-demo.com</t>
  </si>
  <si>
    <t>LOG-00046</t>
  </si>
  <si>
    <t>LOG-00047</t>
  </si>
  <si>
    <t>LOG-00048</t>
  </si>
  <si>
    <t>LOG-00049</t>
  </si>
  <si>
    <t>LOG-00050</t>
  </si>
  <si>
    <t>LOG-00051</t>
  </si>
  <si>
    <t>LOG-00052</t>
  </si>
  <si>
    <t>LOG-00053</t>
  </si>
  <si>
    <t>LOG-00054</t>
  </si>
  <si>
    <t>LOG-00055</t>
  </si>
  <si>
    <t>LOG-00056</t>
  </si>
  <si>
    <t>LOG-00057</t>
  </si>
  <si>
    <t>LOG-00058</t>
  </si>
  <si>
    <t>LOG-00059</t>
  </si>
  <si>
    <t>LOG-00060</t>
  </si>
  <si>
    <t>LOG-00061</t>
  </si>
  <si>
    <t>LOG-00062</t>
  </si>
  <si>
    <t>LOG-00063</t>
  </si>
  <si>
    <t>LOG-00064</t>
  </si>
  <si>
    <t>LOG-00065</t>
  </si>
  <si>
    <t>LOG-00066</t>
  </si>
  <si>
    <t>LOG-00067</t>
  </si>
  <si>
    <t>LOG-00068</t>
  </si>
  <si>
    <t>LOG-00069</t>
  </si>
  <si>
    <t>LOG-00070</t>
  </si>
  <si>
    <t>LOG-00071</t>
  </si>
  <si>
    <t>LOG-00072</t>
  </si>
  <si>
    <t>LOG-00073</t>
  </si>
  <si>
    <t>LOG-00074</t>
  </si>
  <si>
    <t>LOG-00075</t>
  </si>
  <si>
    <t>patricia.gomez@empresa-demo.com</t>
  </si>
  <si>
    <t>LOG-00076</t>
  </si>
  <si>
    <t>LOG-00077</t>
  </si>
  <si>
    <t>LOG-00078</t>
  </si>
  <si>
    <t>LOG-00079</t>
  </si>
  <si>
    <t>LOG-00080</t>
  </si>
  <si>
    <t>LOG-00081</t>
  </si>
  <si>
    <t>LOG-00082</t>
  </si>
  <si>
    <t>LOG-00083</t>
  </si>
  <si>
    <t>LOG-00084</t>
  </si>
  <si>
    <t>LOG-00085</t>
  </si>
  <si>
    <t>LOG-00086</t>
  </si>
  <si>
    <t>LOG-00087</t>
  </si>
  <si>
    <t>LOG-00088</t>
  </si>
  <si>
    <t>LOG-00089</t>
  </si>
  <si>
    <t>LOG-00090</t>
  </si>
  <si>
    <t>LOG-00091</t>
  </si>
  <si>
    <t>LOG-00092</t>
  </si>
  <si>
    <t>LOG-00093</t>
  </si>
  <si>
    <t>LOG-00094</t>
  </si>
  <si>
    <t>LOG-00095</t>
  </si>
  <si>
    <t>LOG-00096</t>
  </si>
  <si>
    <t>LOG-00097</t>
  </si>
  <si>
    <t>LOG-00098</t>
  </si>
  <si>
    <t>LOG-00099</t>
  </si>
  <si>
    <t>LOG-00100</t>
  </si>
  <si>
    <t>LOG-00101</t>
  </si>
  <si>
    <t>LOG-00102</t>
  </si>
  <si>
    <t>LOG-00103</t>
  </si>
  <si>
    <t>LOG-00104</t>
  </si>
  <si>
    <t>LOG-00105</t>
  </si>
  <si>
    <t>megan.ford@empresa-demo.com</t>
  </si>
  <si>
    <t>LOG-00106</t>
  </si>
  <si>
    <t>LOG-00107</t>
  </si>
  <si>
    <t>LOG-00108</t>
  </si>
  <si>
    <t>LOG-00109</t>
  </si>
  <si>
    <t>LOG-00110</t>
  </si>
  <si>
    <t>LOG-00111</t>
  </si>
  <si>
    <t>LOG-00112</t>
  </si>
  <si>
    <t>LOG-00113</t>
  </si>
  <si>
    <t>LOG-00114</t>
  </si>
  <si>
    <t>LOG-00115</t>
  </si>
  <si>
    <t>LOG-00116</t>
  </si>
  <si>
    <t>LOG-00117</t>
  </si>
  <si>
    <t>LOG-00118</t>
  </si>
  <si>
    <t>LOG-00119</t>
  </si>
  <si>
    <t>LOG-00120</t>
  </si>
  <si>
    <t>LOG-00121</t>
  </si>
  <si>
    <t>LOG-00122</t>
  </si>
  <si>
    <t>LOG-00123</t>
  </si>
  <si>
    <t>LOG-00124</t>
  </si>
  <si>
    <t>steven.grant@empresa-demo.com</t>
  </si>
  <si>
    <t>LOG-00125</t>
  </si>
  <si>
    <t>LOG-00126</t>
  </si>
  <si>
    <t>LOG-00127</t>
  </si>
  <si>
    <t>LOG-00128</t>
  </si>
  <si>
    <t>chris.doyle@empresa-demo.com</t>
  </si>
  <si>
    <t>LOG-00129</t>
  </si>
  <si>
    <t>LOG-00130</t>
  </si>
  <si>
    <t>LOG-00131</t>
  </si>
  <si>
    <t>LOG-00132</t>
  </si>
  <si>
    <t>LOG-00133</t>
  </si>
  <si>
    <t>LOG-00134</t>
  </si>
  <si>
    <t>LOG-00135</t>
  </si>
  <si>
    <t>LOG-00136</t>
  </si>
  <si>
    <t>LOG-00137</t>
  </si>
  <si>
    <t>LOG-00138</t>
  </si>
  <si>
    <t>mariana.torres@empresa-demo.com</t>
  </si>
  <si>
    <t>LOG-00139</t>
  </si>
  <si>
    <t>LOG-00140</t>
  </si>
  <si>
    <t>LOG-00141</t>
  </si>
  <si>
    <t>LOG-00142</t>
  </si>
  <si>
    <t>LOG-00143</t>
  </si>
  <si>
    <t>LOG-00144</t>
  </si>
  <si>
    <t>LOG-00145</t>
  </si>
  <si>
    <t>LOG-00146</t>
  </si>
  <si>
    <t>LOG-00147</t>
  </si>
  <si>
    <t>LOG-00148</t>
  </si>
  <si>
    <t>LOG-00149</t>
  </si>
  <si>
    <t>LOG-00150</t>
  </si>
  <si>
    <t>LOG-00151</t>
  </si>
  <si>
    <t>LOG-00152</t>
  </si>
  <si>
    <t>LOG-00153</t>
  </si>
  <si>
    <t>LOG-00154</t>
  </si>
  <si>
    <t>LOG-00155</t>
  </si>
  <si>
    <t>LOG-00156</t>
  </si>
  <si>
    <t>LOG-00157</t>
  </si>
  <si>
    <t>LOG-00158</t>
  </si>
  <si>
    <t>LOG-00159</t>
  </si>
  <si>
    <t>LOG-00160</t>
  </si>
  <si>
    <t>LOG-00161</t>
  </si>
  <si>
    <t>LOG-00162</t>
  </si>
  <si>
    <t>LOG-00163</t>
  </si>
  <si>
    <t>LOG-00164</t>
  </si>
  <si>
    <t>LOG-00165</t>
  </si>
  <si>
    <t>LOG-00166</t>
  </si>
  <si>
    <t>LOG-00167</t>
  </si>
  <si>
    <t>LOG-00168</t>
  </si>
  <si>
    <t>LOG-00169</t>
  </si>
  <si>
    <t>LOG-00170</t>
  </si>
  <si>
    <t>LOG-00171</t>
  </si>
  <si>
    <t>LOG-00172</t>
  </si>
  <si>
    <t>LOG-00173</t>
  </si>
  <si>
    <t>LOG-00174</t>
  </si>
  <si>
    <t>LOG-00175</t>
  </si>
  <si>
    <t>LOG-00176</t>
  </si>
  <si>
    <t>LOG-00177</t>
  </si>
  <si>
    <t>LOG-00178</t>
  </si>
  <si>
    <t>LOG-00179</t>
  </si>
  <si>
    <t>LOG-00180</t>
  </si>
  <si>
    <t>LOG-00181</t>
  </si>
  <si>
    <t>LOG-00182</t>
  </si>
  <si>
    <t>LOG-00183</t>
  </si>
  <si>
    <t>LOG-00184</t>
  </si>
  <si>
    <t>LOG-00185</t>
  </si>
  <si>
    <t>LOG-00186</t>
  </si>
  <si>
    <t>LOG-00187</t>
  </si>
  <si>
    <t>LOG-00188</t>
  </si>
  <si>
    <t>LOG-00189</t>
  </si>
  <si>
    <t>LOG-00190</t>
  </si>
  <si>
    <t>LOG-00191</t>
  </si>
  <si>
    <t>LOG-00192</t>
  </si>
  <si>
    <t>LOG-00193</t>
  </si>
  <si>
    <t>LOG-00194</t>
  </si>
  <si>
    <t>LOG-00195</t>
  </si>
  <si>
    <t>LOG-00196</t>
  </si>
  <si>
    <t>LOG-00197</t>
  </si>
  <si>
    <t>LOG-00198</t>
  </si>
  <si>
    <t>LOG-00199</t>
  </si>
  <si>
    <t>LOG-00200</t>
  </si>
  <si>
    <t>LOG-00201</t>
  </si>
  <si>
    <t>LOG-00202</t>
  </si>
  <si>
    <t>LOG-00203</t>
  </si>
  <si>
    <t>LOG-00204</t>
  </si>
  <si>
    <t>LOG-00205</t>
  </si>
  <si>
    <t>LOG-00206</t>
  </si>
  <si>
    <t>LOG-00207</t>
  </si>
  <si>
    <t>LOG-00208</t>
  </si>
  <si>
    <t>LOG-00209</t>
  </si>
  <si>
    <t>LOG-00210</t>
  </si>
  <si>
    <t>LOG-00211</t>
  </si>
  <si>
    <t>LOG-00212</t>
  </si>
  <si>
    <t>LOG-00213</t>
  </si>
  <si>
    <t>LOG-00214</t>
  </si>
  <si>
    <t>LOG-00215</t>
  </si>
  <si>
    <t>LOG-00216</t>
  </si>
  <si>
    <t>LOG-00217</t>
  </si>
  <si>
    <t>LOG-00218</t>
  </si>
  <si>
    <t>LOG-00219</t>
  </si>
  <si>
    <t>LOG-00220</t>
  </si>
  <si>
    <t>LOG-00221</t>
  </si>
  <si>
    <t>LOG-00222</t>
  </si>
  <si>
    <t>LOG-00223</t>
  </si>
  <si>
    <t>LOG-00224</t>
  </si>
  <si>
    <t>LOG-00225</t>
  </si>
  <si>
    <t>LOG-00226</t>
  </si>
  <si>
    <t>LOG-00227</t>
  </si>
  <si>
    <t>LOG-00228</t>
  </si>
  <si>
    <t>LOG-00229</t>
  </si>
  <si>
    <t>LOG-00230</t>
  </si>
  <si>
    <t>LOG-00231</t>
  </si>
  <si>
    <t>LOG-00232</t>
  </si>
  <si>
    <t>LOG-00233</t>
  </si>
  <si>
    <t>LOG-00234</t>
  </si>
  <si>
    <t>LOG-00235</t>
  </si>
  <si>
    <t>LOG-00236</t>
  </si>
  <si>
    <t>LOG-00237</t>
  </si>
  <si>
    <t>LOG-00238</t>
  </si>
  <si>
    <t>LOG-00239</t>
  </si>
  <si>
    <t>LOG-00240</t>
  </si>
  <si>
    <t>LOG-00241</t>
  </si>
  <si>
    <t>LOG-00242</t>
  </si>
  <si>
    <t>LOG-00243</t>
  </si>
  <si>
    <t>LOG-00244</t>
  </si>
  <si>
    <t>LOG-00245</t>
  </si>
  <si>
    <t>LOG-00246</t>
  </si>
  <si>
    <t>LOG-00247</t>
  </si>
  <si>
    <t>LOG-00248</t>
  </si>
  <si>
    <t>LOG-00249</t>
  </si>
  <si>
    <t>LOG-00250</t>
  </si>
  <si>
    <t>LOG-00251</t>
  </si>
  <si>
    <t>LOG-00252</t>
  </si>
  <si>
    <t>LOG-00253</t>
  </si>
  <si>
    <t>LOG-00254</t>
  </si>
  <si>
    <t>LOG-00255</t>
  </si>
  <si>
    <t>LOG-00256</t>
  </si>
  <si>
    <t>LOG-00257</t>
  </si>
  <si>
    <t>LOG-00258</t>
  </si>
  <si>
    <t>LOG-00259</t>
  </si>
  <si>
    <t>LOG-00260</t>
  </si>
  <si>
    <t>LOG-00261</t>
  </si>
  <si>
    <t>LOG-00262</t>
  </si>
  <si>
    <t>nora.ellis@empresa-demo.com</t>
  </si>
  <si>
    <t>LOG-00263</t>
  </si>
  <si>
    <t>LOG-00264</t>
  </si>
  <si>
    <t>LOG-00265</t>
  </si>
  <si>
    <t>LOG-00266</t>
  </si>
  <si>
    <t>LOG-00267</t>
  </si>
  <si>
    <t>LOG-00268</t>
  </si>
  <si>
    <t>LOG-00269</t>
  </si>
  <si>
    <t>LOG-00270</t>
  </si>
  <si>
    <t>LOG-00271</t>
  </si>
  <si>
    <t>LOG-00272</t>
  </si>
  <si>
    <t>LOG-00273</t>
  </si>
  <si>
    <t>LOG-00274</t>
  </si>
  <si>
    <t>LOG-00275</t>
  </si>
  <si>
    <t>LOG-00276</t>
  </si>
  <si>
    <t>LOG-00277</t>
  </si>
  <si>
    <t>LOG-00278</t>
  </si>
  <si>
    <t>LOG-00279</t>
  </si>
  <si>
    <t>LOG-00280</t>
  </si>
  <si>
    <t>LOG-00281</t>
  </si>
  <si>
    <t>LOG-00282</t>
  </si>
  <si>
    <t>LOG-00283</t>
  </si>
  <si>
    <t>LOG-00284</t>
  </si>
  <si>
    <t>LOG-00285</t>
  </si>
  <si>
    <t>LOG-00286</t>
  </si>
  <si>
    <t>LOG-00287</t>
  </si>
  <si>
    <t>LOG-00288</t>
  </si>
  <si>
    <t>LOG-00289</t>
  </si>
  <si>
    <t>LOG-00290</t>
  </si>
  <si>
    <t>LOG-00291</t>
  </si>
  <si>
    <t>LOG-00292</t>
  </si>
  <si>
    <t>LOG-00293</t>
  </si>
  <si>
    <t>LOG-00294</t>
  </si>
  <si>
    <t>LOG-00295</t>
  </si>
  <si>
    <t>LOG-00296</t>
  </si>
  <si>
    <t>LOG-00297</t>
  </si>
  <si>
    <t>LOG-00298</t>
  </si>
  <si>
    <t>LOG-00299</t>
  </si>
  <si>
    <t>LOG-00300</t>
  </si>
  <si>
    <t>LOG-00301</t>
  </si>
  <si>
    <t>LOG-00302</t>
  </si>
  <si>
    <t>LOG-00303</t>
  </si>
  <si>
    <t>LOG-00304</t>
  </si>
  <si>
    <t>LOG-00305</t>
  </si>
  <si>
    <t>LOG-00306</t>
  </si>
  <si>
    <t>LOG-00307</t>
  </si>
  <si>
    <t>LOG-00308</t>
  </si>
  <si>
    <t>LOG-00309</t>
  </si>
  <si>
    <t>LOG-00310</t>
  </si>
  <si>
    <t>LOG-00311</t>
  </si>
  <si>
    <t>LOG-00312</t>
  </si>
  <si>
    <t>LOG-00313</t>
  </si>
  <si>
    <t>LOG-00314</t>
  </si>
  <si>
    <t>LOG-00315</t>
  </si>
  <si>
    <t>LOG-00316</t>
  </si>
  <si>
    <t>LOG-00317</t>
  </si>
  <si>
    <t>LOG-00318</t>
  </si>
  <si>
    <t>LOG-00319</t>
  </si>
  <si>
    <t>LOG-00320</t>
  </si>
  <si>
    <t>LOG-00321</t>
  </si>
  <si>
    <t>LOG-00322</t>
  </si>
  <si>
    <t>LOG-00323</t>
  </si>
  <si>
    <t>LOG-00324</t>
  </si>
  <si>
    <t>LOG-00325</t>
  </si>
  <si>
    <t>LOG-00326</t>
  </si>
  <si>
    <t>LOG-00327</t>
  </si>
  <si>
    <t>LOG-00328</t>
  </si>
  <si>
    <t>LOG-00329</t>
  </si>
  <si>
    <t>LOG-00330</t>
  </si>
  <si>
    <t>LOG-00331</t>
  </si>
  <si>
    <t>LOG-00332</t>
  </si>
  <si>
    <t>LOG-00333</t>
  </si>
  <si>
    <t>LOG-00334</t>
  </si>
  <si>
    <t>LOG-00335</t>
  </si>
  <si>
    <t>LOG-00336</t>
  </si>
  <si>
    <t>LOG-00337</t>
  </si>
  <si>
    <t>LOG-00338</t>
  </si>
  <si>
    <t>LOG-00339</t>
  </si>
  <si>
    <t>LOG-00340</t>
  </si>
  <si>
    <t>LOG-00341</t>
  </si>
  <si>
    <t>LOG-00342</t>
  </si>
  <si>
    <t>LOG-00343</t>
  </si>
  <si>
    <t>LOG-00344</t>
  </si>
  <si>
    <t>LOG-00345</t>
  </si>
  <si>
    <t>LOG-00346</t>
  </si>
  <si>
    <t>LOG-00347</t>
  </si>
  <si>
    <t>LOG-00348</t>
  </si>
  <si>
    <t>LOG-00349</t>
  </si>
  <si>
    <t>LOG-00350</t>
  </si>
  <si>
    <t>LOG-00351</t>
  </si>
  <si>
    <t>LOG-00352</t>
  </si>
  <si>
    <t>LOG-00353</t>
  </si>
  <si>
    <t>LOG-00354</t>
  </si>
  <si>
    <t>LOG-00355</t>
  </si>
  <si>
    <t>LOG-00356</t>
  </si>
  <si>
    <t>LOG-00357</t>
  </si>
  <si>
    <t>LOG-00358</t>
  </si>
  <si>
    <t>LOG-00359</t>
  </si>
  <si>
    <t>LOG-00360</t>
  </si>
  <si>
    <t>LOG-00361</t>
  </si>
  <si>
    <t>LOG-00362</t>
  </si>
  <si>
    <t>LOG-00363</t>
  </si>
  <si>
    <t>LOG-00364</t>
  </si>
  <si>
    <t>LOG-00365</t>
  </si>
  <si>
    <t>LOG-00366</t>
  </si>
  <si>
    <t>LOG-00367</t>
  </si>
  <si>
    <t>LOG-00368</t>
  </si>
  <si>
    <t>LOG-00369</t>
  </si>
  <si>
    <t>LOG-00370</t>
  </si>
  <si>
    <t>LOG-00371</t>
  </si>
  <si>
    <t>LOG-00372</t>
  </si>
  <si>
    <t>LOG-00373</t>
  </si>
  <si>
    <t>LOG-00374</t>
  </si>
  <si>
    <t>LOG-00375</t>
  </si>
  <si>
    <t>LOG-00376</t>
  </si>
  <si>
    <t>LOG-00377</t>
  </si>
  <si>
    <t>LOG-00378</t>
  </si>
  <si>
    <t>LOG-00379</t>
  </si>
  <si>
    <t>LOG-00380</t>
  </si>
  <si>
    <t>LOG-00381</t>
  </si>
  <si>
    <t>LOG-00382</t>
  </si>
  <si>
    <t>LOG-00383</t>
  </si>
  <si>
    <t>LOG-00384</t>
  </si>
  <si>
    <t>LOG-00385</t>
  </si>
  <si>
    <t>LOG-00386</t>
  </si>
  <si>
    <t>LOG-00387</t>
  </si>
  <si>
    <t>LOG-00388</t>
  </si>
  <si>
    <t>LOG-00389</t>
  </si>
  <si>
    <t>LOG-00390</t>
  </si>
  <si>
    <t>LOG-00391</t>
  </si>
  <si>
    <t>LOG-00392</t>
  </si>
  <si>
    <t>LOG-00393</t>
  </si>
  <si>
    <t>LOG-00394</t>
  </si>
  <si>
    <t>LOG-00395</t>
  </si>
  <si>
    <t>LOG-00396</t>
  </si>
  <si>
    <t>LOG-00397</t>
  </si>
  <si>
    <t>LOG-00398</t>
  </si>
  <si>
    <t>LOG-00399</t>
  </si>
  <si>
    <t>LOG-00400</t>
  </si>
  <si>
    <t>LOG-00401</t>
  </si>
  <si>
    <t>LOG-00402</t>
  </si>
  <si>
    <t>LOG-00403</t>
  </si>
  <si>
    <t>LOG-00404</t>
  </si>
  <si>
    <t>LOG-00405</t>
  </si>
  <si>
    <t>LOG-00406</t>
  </si>
  <si>
    <t>LOG-00407</t>
  </si>
  <si>
    <t>LOG-00408</t>
  </si>
  <si>
    <t>LOG-00409</t>
  </si>
  <si>
    <t>LOG-00410</t>
  </si>
  <si>
    <t>LOG-00411</t>
  </si>
  <si>
    <t>LOG-00412</t>
  </si>
  <si>
    <t>LOG-00413</t>
  </si>
  <si>
    <t>LOG-00414</t>
  </si>
  <si>
    <t>LOG-00415</t>
  </si>
  <si>
    <t>LOG-00416</t>
  </si>
  <si>
    <t>LOG-00417</t>
  </si>
  <si>
    <t>LOG-00418</t>
  </si>
  <si>
    <t>LOG-00419</t>
  </si>
  <si>
    <t>LOG-00420</t>
  </si>
  <si>
    <t>LOG-00421</t>
  </si>
  <si>
    <t>LOG-00422</t>
  </si>
  <si>
    <t>LOG-00423</t>
  </si>
  <si>
    <t>LOG-00424</t>
  </si>
  <si>
    <t>LOG-00425</t>
  </si>
  <si>
    <t>LOG-00426</t>
  </si>
  <si>
    <t>LOG-00427</t>
  </si>
  <si>
    <t>LOG-00428</t>
  </si>
  <si>
    <t>LOG-00429</t>
  </si>
  <si>
    <t>LOG-00430</t>
  </si>
  <si>
    <t>LOG-00431</t>
  </si>
  <si>
    <t>LOG-00432</t>
  </si>
  <si>
    <t>LOG-00433</t>
  </si>
  <si>
    <t>LOG-00434</t>
  </si>
  <si>
    <t>LOG-00435</t>
  </si>
  <si>
    <t>LOG-00436</t>
  </si>
  <si>
    <t>LOG-00437</t>
  </si>
  <si>
    <t>LOG-00438</t>
  </si>
  <si>
    <t>LOG-00439</t>
  </si>
  <si>
    <t>LOG-00440</t>
  </si>
  <si>
    <t>LOG-00441</t>
  </si>
  <si>
    <t>LOG-00442</t>
  </si>
  <si>
    <t>LOG-00443</t>
  </si>
  <si>
    <t>LOG-00444</t>
  </si>
  <si>
    <t>LOG-00445</t>
  </si>
  <si>
    <t>LOG-00446</t>
  </si>
  <si>
    <t>LOG-00447</t>
  </si>
  <si>
    <t>LOG-00448</t>
  </si>
  <si>
    <t>hannah.lee@empresa-demo.com</t>
  </si>
  <si>
    <t>LOG-00449</t>
  </si>
  <si>
    <t>LOG-00450</t>
  </si>
  <si>
    <t>LOG-00451</t>
  </si>
  <si>
    <t>LOG-00452</t>
  </si>
  <si>
    <t>LOG-00453</t>
  </si>
  <si>
    <t>LOG-00454</t>
  </si>
  <si>
    <t>LOG-00455</t>
  </si>
  <si>
    <t>LOG-00456</t>
  </si>
  <si>
    <t>LOG-00457</t>
  </si>
  <si>
    <t>LOG-00458</t>
  </si>
  <si>
    <t>LOG-00459</t>
  </si>
  <si>
    <t>LOG-00460</t>
  </si>
  <si>
    <t>LOG-00461</t>
  </si>
  <si>
    <t>LOG-00462</t>
  </si>
  <si>
    <t>LOG-00463</t>
  </si>
  <si>
    <t>LOG-00464</t>
  </si>
  <si>
    <t>LOG-00465</t>
  </si>
  <si>
    <t>LOG-00466</t>
  </si>
  <si>
    <t>LOG-00467</t>
  </si>
  <si>
    <t>LOG-00468</t>
  </si>
  <si>
    <t>LOG-00469</t>
  </si>
  <si>
    <t>LOG-00470</t>
  </si>
  <si>
    <t>LOG-00471</t>
  </si>
  <si>
    <t>LOG-00472</t>
  </si>
  <si>
    <t>LOG-00473</t>
  </si>
  <si>
    <t>LOG-00474</t>
  </si>
  <si>
    <t>LOG-00475</t>
  </si>
  <si>
    <t>LOG-00476</t>
  </si>
  <si>
    <t>LOG-00477</t>
  </si>
  <si>
    <t>LOG-00478</t>
  </si>
  <si>
    <t>LOG-00479</t>
  </si>
  <si>
    <t>LOG-00480</t>
  </si>
  <si>
    <t>LOG-00481</t>
  </si>
  <si>
    <t>LOG-00482</t>
  </si>
  <si>
    <t>LOG-00483</t>
  </si>
  <si>
    <t>LOG-00484</t>
  </si>
  <si>
    <t>LOG-00485</t>
  </si>
  <si>
    <t>LOG-00486</t>
  </si>
  <si>
    <t>LOG-00487</t>
  </si>
  <si>
    <t>LOG-00488</t>
  </si>
  <si>
    <t>LOG-00489</t>
  </si>
  <si>
    <t>LOG-00490</t>
  </si>
  <si>
    <t>LOG-00491</t>
  </si>
  <si>
    <t>LOG-00492</t>
  </si>
  <si>
    <t>LOG-00493</t>
  </si>
  <si>
    <t>LOG-00494</t>
  </si>
  <si>
    <t>LOG-00495</t>
  </si>
  <si>
    <t>LOG-00496</t>
  </si>
  <si>
    <t>LOG-00497</t>
  </si>
  <si>
    <t>LOG-00498</t>
  </si>
  <si>
    <t>LOG-00499</t>
  </si>
  <si>
    <t>LOG-00500</t>
  </si>
  <si>
    <t>LOG-00501</t>
  </si>
  <si>
    <t>LOG-00502</t>
  </si>
  <si>
    <t>LOG-00503</t>
  </si>
  <si>
    <t>LOG-00504</t>
  </si>
  <si>
    <t>LOG-00505</t>
  </si>
  <si>
    <t>LOG-00506</t>
  </si>
  <si>
    <t>LOG-00507</t>
  </si>
  <si>
    <t>LOG-00508</t>
  </si>
  <si>
    <t>LOG-00509</t>
  </si>
  <si>
    <t>LOG-00510</t>
  </si>
  <si>
    <t>LOG-00511</t>
  </si>
  <si>
    <t>LOG-00512</t>
  </si>
  <si>
    <t>LOG-00513</t>
  </si>
  <si>
    <t>LOG-00514</t>
  </si>
  <si>
    <t>LOG-00515</t>
  </si>
  <si>
    <t>LOG-00516</t>
  </si>
  <si>
    <t>LOG-00517</t>
  </si>
  <si>
    <t>LOG-00518</t>
  </si>
  <si>
    <t>LOG-00519</t>
  </si>
  <si>
    <t>LOG-00520</t>
  </si>
  <si>
    <t>LOG-00521</t>
  </si>
  <si>
    <t>LOG-00522</t>
  </si>
  <si>
    <t>priya.shah@empresa-demo.com</t>
  </si>
  <si>
    <t>LOG-00523</t>
  </si>
  <si>
    <t>LOG-00524</t>
  </si>
  <si>
    <t>LOG-00525</t>
  </si>
  <si>
    <t>LOG-00526</t>
  </si>
  <si>
    <t>LOG-00527</t>
  </si>
  <si>
    <t>LOG-00528</t>
  </si>
  <si>
    <t>LOG-00529</t>
  </si>
  <si>
    <t>LOG-00530</t>
  </si>
  <si>
    <t>LOG-00531</t>
  </si>
  <si>
    <t>LOG-00532</t>
  </si>
  <si>
    <t>LOG-00533</t>
  </si>
  <si>
    <t>LOG-00534</t>
  </si>
  <si>
    <t>LOG-00535</t>
  </si>
  <si>
    <t>LOG-00536</t>
  </si>
  <si>
    <t>LOG-00537</t>
  </si>
  <si>
    <t>LOG-00538</t>
  </si>
  <si>
    <t>LOG-00539</t>
  </si>
  <si>
    <t>LOG-00540</t>
  </si>
  <si>
    <t>LOG-00541</t>
  </si>
  <si>
    <t>LOG-00542</t>
  </si>
  <si>
    <t>LOG-00543</t>
  </si>
  <si>
    <t>LOG-00544</t>
  </si>
  <si>
    <t>LOG-00545</t>
  </si>
  <si>
    <t>LOG-00546</t>
  </si>
  <si>
    <t>LOG-00547</t>
  </si>
  <si>
    <t>LOG-00548</t>
  </si>
  <si>
    <t>LOG-00549</t>
  </si>
  <si>
    <t>LOG-00550</t>
  </si>
  <si>
    <t>LOG-00551</t>
  </si>
  <si>
    <t>LOG-00552</t>
  </si>
  <si>
    <t>LOG-00553</t>
  </si>
  <si>
    <t>LOG-00554</t>
  </si>
  <si>
    <t>LOG-00555</t>
  </si>
  <si>
    <t>LOG-00556</t>
  </si>
  <si>
    <t>LOG-00557</t>
  </si>
  <si>
    <t>LOG-00558</t>
  </si>
  <si>
    <t>LOG-00559</t>
  </si>
  <si>
    <t>LOG-00560</t>
  </si>
  <si>
    <t>LOG-00561</t>
  </si>
  <si>
    <t>LOG-00562</t>
  </si>
  <si>
    <t>LOG-00563</t>
  </si>
  <si>
    <t>LOG-00564</t>
  </si>
  <si>
    <t>LOG-00565</t>
  </si>
  <si>
    <t>LOG-00566</t>
  </si>
  <si>
    <t>LOG-00567</t>
  </si>
  <si>
    <t>LOG-00568</t>
  </si>
  <si>
    <t>LOG-00569</t>
  </si>
  <si>
    <t>LOG-00570</t>
  </si>
  <si>
    <t>LOG-00571</t>
  </si>
  <si>
    <t>LOG-00572</t>
  </si>
  <si>
    <t>LOG-00573</t>
  </si>
  <si>
    <t>LOG-00574</t>
  </si>
  <si>
    <t>LOG-00575</t>
  </si>
  <si>
    <t>LOG-00576</t>
  </si>
  <si>
    <t>LOG-00577</t>
  </si>
  <si>
    <t>LOG-00578</t>
  </si>
  <si>
    <t>LOG-00579</t>
  </si>
  <si>
    <t>LOG-00580</t>
  </si>
  <si>
    <t>LOG-00581</t>
  </si>
  <si>
    <t>LOG-00582</t>
  </si>
  <si>
    <t>LOG-00583</t>
  </si>
  <si>
    <t>LOG-00584</t>
  </si>
  <si>
    <t>LOG-00585</t>
  </si>
  <si>
    <t>LOG-00586</t>
  </si>
  <si>
    <t>LOG-00587</t>
  </si>
  <si>
    <t>LOG-00588</t>
  </si>
  <si>
    <t>LOG-00589</t>
  </si>
  <si>
    <t>LOG-00590</t>
  </si>
  <si>
    <t>LOG-00591</t>
  </si>
  <si>
    <t>LOG-00592</t>
  </si>
  <si>
    <t>LOG-00593</t>
  </si>
  <si>
    <t>LOG-00594</t>
  </si>
  <si>
    <t>LOG-00595</t>
  </si>
  <si>
    <t>LOG-00596</t>
  </si>
  <si>
    <t>LOG-00597</t>
  </si>
  <si>
    <t>LOG-00598</t>
  </si>
  <si>
    <t>LOG-00599</t>
  </si>
  <si>
    <t>LOG-00600</t>
  </si>
  <si>
    <t>LOG-00601</t>
  </si>
  <si>
    <t>LOG-00602</t>
  </si>
  <si>
    <t>LOG-00603</t>
  </si>
  <si>
    <t>LOG-00604</t>
  </si>
  <si>
    <t>LOG-00605</t>
  </si>
  <si>
    <t>LOG-00606</t>
  </si>
  <si>
    <t>LOG-00607</t>
  </si>
  <si>
    <t>LOG-00608</t>
  </si>
  <si>
    <t>LOG-00609</t>
  </si>
  <si>
    <t>LOG-00610</t>
  </si>
  <si>
    <t>LOG-00611</t>
  </si>
  <si>
    <t>LOG-00612</t>
  </si>
  <si>
    <t>LOG-00613</t>
  </si>
  <si>
    <t>LOG-00614</t>
  </si>
  <si>
    <t>LOG-00615</t>
  </si>
  <si>
    <t>LOG-00616</t>
  </si>
  <si>
    <t>LOG-00617</t>
  </si>
  <si>
    <t>LOG-00618</t>
  </si>
  <si>
    <t>LOG-00619</t>
  </si>
  <si>
    <t>LOG-00620</t>
  </si>
  <si>
    <t>LOG-00621</t>
  </si>
  <si>
    <t>LOG-00622</t>
  </si>
  <si>
    <t>LOG-00623</t>
  </si>
  <si>
    <t>LOG-00624</t>
  </si>
  <si>
    <t>LOG-00625</t>
  </si>
  <si>
    <t>LOG-00626</t>
  </si>
  <si>
    <t>LOG-00627</t>
  </si>
  <si>
    <t>LOG-00628</t>
  </si>
  <si>
    <t>LOG-00629</t>
  </si>
  <si>
    <t>LOG-00630</t>
  </si>
  <si>
    <t>LOG-00631</t>
  </si>
  <si>
    <t>LOG-00632</t>
  </si>
  <si>
    <t>LOG-00633</t>
  </si>
  <si>
    <t>LOG-00634</t>
  </si>
  <si>
    <t>LOG-00635</t>
  </si>
  <si>
    <t>LOG-00636</t>
  </si>
  <si>
    <t>LOG-00637</t>
  </si>
  <si>
    <t>LOG-00638</t>
  </si>
  <si>
    <t>LOG-00639</t>
  </si>
  <si>
    <t>LOG-00640</t>
  </si>
  <si>
    <t>LOG-00641</t>
  </si>
  <si>
    <t>LOG-00642</t>
  </si>
  <si>
    <t>LOG-00643</t>
  </si>
  <si>
    <t>LOG-00644</t>
  </si>
  <si>
    <t>LOG-00645</t>
  </si>
  <si>
    <t>LOG-00646</t>
  </si>
  <si>
    <t>LOG-00647</t>
  </si>
  <si>
    <t>LOG-00648</t>
  </si>
  <si>
    <t>LOG-00649</t>
  </si>
  <si>
    <t>LOG-00650</t>
  </si>
  <si>
    <t>LOG-00651</t>
  </si>
  <si>
    <t>LOG-00652</t>
  </si>
  <si>
    <t>LOG-00653</t>
  </si>
  <si>
    <t>LOG-00654</t>
  </si>
  <si>
    <t>LOG-00655</t>
  </si>
  <si>
    <t>LOG-00656</t>
  </si>
  <si>
    <t>LOG-00657</t>
  </si>
  <si>
    <t>LOG-00658</t>
  </si>
  <si>
    <t>LOG-00659</t>
  </si>
  <si>
    <t>LOG-00660</t>
  </si>
  <si>
    <t>LOG-00661</t>
  </si>
  <si>
    <t>LOG-00662</t>
  </si>
  <si>
    <t>LOG-00663</t>
  </si>
  <si>
    <t>LOG-00664</t>
  </si>
  <si>
    <t>LOG-00665</t>
  </si>
  <si>
    <t>LOG-00666</t>
  </si>
  <si>
    <t>LOG-00667</t>
  </si>
  <si>
    <t>LOG-00668</t>
  </si>
  <si>
    <t>LOG-00669</t>
  </si>
  <si>
    <t>LOG-00670</t>
  </si>
  <si>
    <t>LOG-00671</t>
  </si>
  <si>
    <t>LOG-00672</t>
  </si>
  <si>
    <t>LOG-00673</t>
  </si>
  <si>
    <t>LOG-00674</t>
  </si>
  <si>
    <t>LOG-00675</t>
  </si>
  <si>
    <t>LOG-00676</t>
  </si>
  <si>
    <t>LOG-00677</t>
  </si>
  <si>
    <t>LOG-00678</t>
  </si>
  <si>
    <t>LOG-00679</t>
  </si>
  <si>
    <t>LOG-00680</t>
  </si>
  <si>
    <t>LOG-00681</t>
  </si>
  <si>
    <t>LOG-00682</t>
  </si>
  <si>
    <t>LOG-00683</t>
  </si>
  <si>
    <t>LOG-00684</t>
  </si>
  <si>
    <t>LOG-00685</t>
  </si>
  <si>
    <t>LOG-00686</t>
  </si>
  <si>
    <t>LOG-00687</t>
  </si>
  <si>
    <t>LOG-00688</t>
  </si>
  <si>
    <t>LOG-00689</t>
  </si>
  <si>
    <t>LOG-00690</t>
  </si>
  <si>
    <t>LOG-00691</t>
  </si>
  <si>
    <t>LOG-00692</t>
  </si>
  <si>
    <t>LOG-00693</t>
  </si>
  <si>
    <t>LOG-00694</t>
  </si>
  <si>
    <t>LOG-00695</t>
  </si>
  <si>
    <t>LOG-00696</t>
  </si>
  <si>
    <t>LOG-00697</t>
  </si>
  <si>
    <t>LOG-00698</t>
  </si>
  <si>
    <t>LOG-00699</t>
  </si>
  <si>
    <t>LOG-00700</t>
  </si>
  <si>
    <t>LOG-00701</t>
  </si>
  <si>
    <t>LOG-00702</t>
  </si>
  <si>
    <t>LOG-00703</t>
  </si>
  <si>
    <t>LOG-00704</t>
  </si>
  <si>
    <t>LOG-00705</t>
  </si>
  <si>
    <t>LOG-00706</t>
  </si>
  <si>
    <t>LOG-00707</t>
  </si>
  <si>
    <t>LOG-00708</t>
  </si>
  <si>
    <t>LOG-00709</t>
  </si>
  <si>
    <t>LOG-00710</t>
  </si>
  <si>
    <t>LOG-00711</t>
  </si>
  <si>
    <t>LOG-00712</t>
  </si>
  <si>
    <t>LOG-00713</t>
  </si>
  <si>
    <t>LOG-00714</t>
  </si>
  <si>
    <t>LOG-00715</t>
  </si>
  <si>
    <t>LOG-00716</t>
  </si>
  <si>
    <t>LOG-00717</t>
  </si>
  <si>
    <t>LOG-00718</t>
  </si>
  <si>
    <t>LOG-00719</t>
  </si>
  <si>
    <t>LOG-00720</t>
  </si>
  <si>
    <t>LOG-00721</t>
  </si>
  <si>
    <t>LOG-00722</t>
  </si>
  <si>
    <t>LOG-00723</t>
  </si>
  <si>
    <t>LOG-00724</t>
  </si>
  <si>
    <t>LOG-00725</t>
  </si>
  <si>
    <t>LOG-00726</t>
  </si>
  <si>
    <t>LOG-00727</t>
  </si>
  <si>
    <t>LOG-00728</t>
  </si>
  <si>
    <t>LOG-00729</t>
  </si>
  <si>
    <t>LOG-00730</t>
  </si>
  <si>
    <t>LOG-00731</t>
  </si>
  <si>
    <t>LOG-00732</t>
  </si>
  <si>
    <t>LOG-00733</t>
  </si>
  <si>
    <t>LOG-00734</t>
  </si>
  <si>
    <t>LOG-00735</t>
  </si>
  <si>
    <t>LOG-00736</t>
  </si>
  <si>
    <t>LOG-00737</t>
  </si>
  <si>
    <t>LOG-00738</t>
  </si>
  <si>
    <t>LOG-00739</t>
  </si>
  <si>
    <t>LOG-00740</t>
  </si>
  <si>
    <t>LOG-00741</t>
  </si>
  <si>
    <t>LOG-00742</t>
  </si>
  <si>
    <t>LOG-00743</t>
  </si>
  <si>
    <t>LOG-00744</t>
  </si>
  <si>
    <t>LOG-00745</t>
  </si>
  <si>
    <t>LOG-00746</t>
  </si>
  <si>
    <t>LOG-00747</t>
  </si>
  <si>
    <t>LOG-00748</t>
  </si>
  <si>
    <t>LOG-00749</t>
  </si>
  <si>
    <t>LOG-00750</t>
  </si>
  <si>
    <t>LOG-00751</t>
  </si>
  <si>
    <t>LOG-00752</t>
  </si>
  <si>
    <t>LOG-00753</t>
  </si>
  <si>
    <t>LOG-00754</t>
  </si>
  <si>
    <t>LOG-00755</t>
  </si>
  <si>
    <t>LOG-00756</t>
  </si>
  <si>
    <t>LOG-00757</t>
  </si>
  <si>
    <t>LOG-00758</t>
  </si>
  <si>
    <t>LOG-00759</t>
  </si>
  <si>
    <t>LOG-00760</t>
  </si>
  <si>
    <t>LOG-00761</t>
  </si>
  <si>
    <t>LOG-00762</t>
  </si>
  <si>
    <t>LOG-00763</t>
  </si>
  <si>
    <t>LOG-00764</t>
  </si>
  <si>
    <t>LOG-00765</t>
  </si>
  <si>
    <t>LOG-00766</t>
  </si>
  <si>
    <t>LOG-00767</t>
  </si>
  <si>
    <t>LOG-00768</t>
  </si>
  <si>
    <t>LOG-00769</t>
  </si>
  <si>
    <t>LOG-00770</t>
  </si>
  <si>
    <t>LOG-00771</t>
  </si>
  <si>
    <t>LOG-00772</t>
  </si>
  <si>
    <t>LOG-00773</t>
  </si>
  <si>
    <t>LOG-00774</t>
  </si>
  <si>
    <t>LOG-00775</t>
  </si>
  <si>
    <t>LOG-00776</t>
  </si>
  <si>
    <t>LOG-00777</t>
  </si>
  <si>
    <t>LOG-00778</t>
  </si>
  <si>
    <t>LOG-00779</t>
  </si>
  <si>
    <t>LOG-00780</t>
  </si>
  <si>
    <t>LOG-00781</t>
  </si>
  <si>
    <t>LOG-00782</t>
  </si>
  <si>
    <t>LOG-00783</t>
  </si>
  <si>
    <t>LOG-00784</t>
  </si>
  <si>
    <t>LOG-00785</t>
  </si>
  <si>
    <t>LOG-00786</t>
  </si>
  <si>
    <t>LOG-00787</t>
  </si>
  <si>
    <t>LOG-00788</t>
  </si>
  <si>
    <t>LOG-00789</t>
  </si>
  <si>
    <t>LOG-00790</t>
  </si>
  <si>
    <t>LOG-00791</t>
  </si>
  <si>
    <t>LOG-00792</t>
  </si>
  <si>
    <t>LOG-00793</t>
  </si>
  <si>
    <t>LOG-00794</t>
  </si>
  <si>
    <t>LOG-00795</t>
  </si>
  <si>
    <t>LOG-00796</t>
  </si>
  <si>
    <t>LOG-00797</t>
  </si>
  <si>
    <t>LOG-00798</t>
  </si>
  <si>
    <t>LOG-00799</t>
  </si>
  <si>
    <t>LOG-00800</t>
  </si>
  <si>
    <t>LOG-00801</t>
  </si>
  <si>
    <t>LOG-00802</t>
  </si>
  <si>
    <t>LOG-00803</t>
  </si>
  <si>
    <t>LOG-00804</t>
  </si>
  <si>
    <t>LOG-00805</t>
  </si>
  <si>
    <t>LOG-00806</t>
  </si>
  <si>
    <t>LOG-00807</t>
  </si>
  <si>
    <t>LOG-00808</t>
  </si>
  <si>
    <t>LOG-00809</t>
  </si>
  <si>
    <t>LOG-00810</t>
  </si>
  <si>
    <t>LOG-00811</t>
  </si>
  <si>
    <t>LOG-00812</t>
  </si>
  <si>
    <t>LOG-00813</t>
  </si>
  <si>
    <t>LOG-00814</t>
  </si>
  <si>
    <t>LOG-00815</t>
  </si>
  <si>
    <t>LOG-00816</t>
  </si>
  <si>
    <t>LOG-00817</t>
  </si>
  <si>
    <t>LOG-00818</t>
  </si>
  <si>
    <t>LOG-00819</t>
  </si>
  <si>
    <t>LOG-00820</t>
  </si>
  <si>
    <t>LOG-00821</t>
  </si>
  <si>
    <t>LOG-00822</t>
  </si>
  <si>
    <t>LOG-00823</t>
  </si>
  <si>
    <t>LOG-00824</t>
  </si>
  <si>
    <t>LOG-00825</t>
  </si>
  <si>
    <t>LOG-00826</t>
  </si>
  <si>
    <t>LOG-00827</t>
  </si>
  <si>
    <t>LOG-00828</t>
  </si>
  <si>
    <t>LOG-00829</t>
  </si>
  <si>
    <t>LOG-00830</t>
  </si>
  <si>
    <t>LOG-00831</t>
  </si>
  <si>
    <t>LOG-00832</t>
  </si>
  <si>
    <t>LOG-00833</t>
  </si>
  <si>
    <t>LOG-00834</t>
  </si>
  <si>
    <t>LOG-00835</t>
  </si>
  <si>
    <t>LOG-00836</t>
  </si>
  <si>
    <t>LOG-00837</t>
  </si>
  <si>
    <t>LOG-00838</t>
  </si>
  <si>
    <t>LOG-00839</t>
  </si>
  <si>
    <t>LOG-00840</t>
  </si>
  <si>
    <t>LOG-00841</t>
  </si>
  <si>
    <t>LOG-00842</t>
  </si>
  <si>
    <t>LOG-00843</t>
  </si>
  <si>
    <t>LOG-00844</t>
  </si>
  <si>
    <t>LOG-00845</t>
  </si>
  <si>
    <t>LOG-00846</t>
  </si>
  <si>
    <t>LOG-00847</t>
  </si>
  <si>
    <t>LOG-00848</t>
  </si>
  <si>
    <t>LOG-00849</t>
  </si>
  <si>
    <t>LOG-00850</t>
  </si>
  <si>
    <t>LOG-00851</t>
  </si>
  <si>
    <t>LOG-00852</t>
  </si>
  <si>
    <t>LOG-00853</t>
  </si>
  <si>
    <t>LOG-00854</t>
  </si>
  <si>
    <t>LOG-00855</t>
  </si>
  <si>
    <t>LOG-00856</t>
  </si>
  <si>
    <t>LOG-00857</t>
  </si>
  <si>
    <t>LOG-00858</t>
  </si>
  <si>
    <t>LOG-00859</t>
  </si>
  <si>
    <t>LOG-00860</t>
  </si>
  <si>
    <t>LOG-00861</t>
  </si>
  <si>
    <t>LOG-00862</t>
  </si>
  <si>
    <t>LOG-00863</t>
  </si>
  <si>
    <t>LOG-00864</t>
  </si>
  <si>
    <t>LOG-00865</t>
  </si>
  <si>
    <t>LOG-00866</t>
  </si>
  <si>
    <t>LOG-00867</t>
  </si>
  <si>
    <t>LOG-00868</t>
  </si>
  <si>
    <t>LOG-00869</t>
  </si>
  <si>
    <t>LOG-00870</t>
  </si>
  <si>
    <t>LOG-00871</t>
  </si>
  <si>
    <t>LOG-00872</t>
  </si>
  <si>
    <t>LOG-00873</t>
  </si>
  <si>
    <t>LOG-00874</t>
  </si>
  <si>
    <t>LOG-00875</t>
  </si>
  <si>
    <t>LOG-00876</t>
  </si>
  <si>
    <t>LOG-00877</t>
  </si>
  <si>
    <t>LOG-00878</t>
  </si>
  <si>
    <t>LOG-00879</t>
  </si>
  <si>
    <t>LOG-00880</t>
  </si>
  <si>
    <t>LOG-00881</t>
  </si>
  <si>
    <t>LOG-00882</t>
  </si>
  <si>
    <t>LOG-00883</t>
  </si>
  <si>
    <t>LOG-00884</t>
  </si>
  <si>
    <t>LOG-00885</t>
  </si>
  <si>
    <t>LOG-00886</t>
  </si>
  <si>
    <t>LOG-00887</t>
  </si>
  <si>
    <t>LOG-00888</t>
  </si>
  <si>
    <t>LOG-00889</t>
  </si>
  <si>
    <t>LOG-00890</t>
  </si>
  <si>
    <t>LOG-00891</t>
  </si>
  <si>
    <t>LOG-00892</t>
  </si>
  <si>
    <t>LOG-00893</t>
  </si>
  <si>
    <t>LOG-00894</t>
  </si>
  <si>
    <t>LOG-00895</t>
  </si>
  <si>
    <t>LOG-00896</t>
  </si>
  <si>
    <t>LOG-00897</t>
  </si>
  <si>
    <t>LOG-00898</t>
  </si>
  <si>
    <t>LOG-00899</t>
  </si>
  <si>
    <t>LOG-00900</t>
  </si>
  <si>
    <t>LOG-00901</t>
  </si>
  <si>
    <t>LOG-00902</t>
  </si>
  <si>
    <t>LOG-00903</t>
  </si>
  <si>
    <t>LOG-00904</t>
  </si>
  <si>
    <t>LOG-00905</t>
  </si>
  <si>
    <t>LOG-00906</t>
  </si>
  <si>
    <t>LOG-00907</t>
  </si>
  <si>
    <t>LOG-00908</t>
  </si>
  <si>
    <t>LOG-00909</t>
  </si>
  <si>
    <t>LOG-00910</t>
  </si>
  <si>
    <t>LOG-00911</t>
  </si>
  <si>
    <t>LOG-00912</t>
  </si>
  <si>
    <t>LOG-00913</t>
  </si>
  <si>
    <t>LOG-00914</t>
  </si>
  <si>
    <t>LOG-00915</t>
  </si>
  <si>
    <t>LOG-00916</t>
  </si>
  <si>
    <t>LOG-00917</t>
  </si>
  <si>
    <t>LOG-00918</t>
  </si>
  <si>
    <t>LOG-00919</t>
  </si>
  <si>
    <t>LOG-00920</t>
  </si>
  <si>
    <t>LOG-00921</t>
  </si>
  <si>
    <t>LOG-00922</t>
  </si>
  <si>
    <t>LOG-00923</t>
  </si>
  <si>
    <t>LOG-00924</t>
  </si>
  <si>
    <t>LOG-00925</t>
  </si>
  <si>
    <t>LOG-00926</t>
  </si>
  <si>
    <t>LOG-00927</t>
  </si>
  <si>
    <t>LOG-00928</t>
  </si>
  <si>
    <t>LOG-00929</t>
  </si>
  <si>
    <t>LOG-00930</t>
  </si>
  <si>
    <t>LOG-00931</t>
  </si>
  <si>
    <t>LOG-00932</t>
  </si>
  <si>
    <t>LOG-00933</t>
  </si>
  <si>
    <t>LOG-00934</t>
  </si>
  <si>
    <t>LOG-00935</t>
  </si>
  <si>
    <t>LOG-00936</t>
  </si>
  <si>
    <t>LOG-00937</t>
  </si>
  <si>
    <t>LOG-00938</t>
  </si>
  <si>
    <t>LOG-00939</t>
  </si>
  <si>
    <t>LOG-00940</t>
  </si>
  <si>
    <t>LOG-00941</t>
  </si>
  <si>
    <t>LOG-00942</t>
  </si>
  <si>
    <t>LOG-00943</t>
  </si>
  <si>
    <t>LOG-00944</t>
  </si>
  <si>
    <t>LOG-00945</t>
  </si>
  <si>
    <t>LOG-00946</t>
  </si>
  <si>
    <t>LOG-00947</t>
  </si>
  <si>
    <t>LOG-00948</t>
  </si>
  <si>
    <t>LOG-00949</t>
  </si>
  <si>
    <t>LOG-00950</t>
  </si>
  <si>
    <t>LOG-00951</t>
  </si>
  <si>
    <t>LOG-00952</t>
  </si>
  <si>
    <t>LOG-00953</t>
  </si>
  <si>
    <t>LOG-00954</t>
  </si>
  <si>
    <t>LOG-00955</t>
  </si>
  <si>
    <t>LOG-00956</t>
  </si>
  <si>
    <t>LOG-00957</t>
  </si>
  <si>
    <t>LOG-00958</t>
  </si>
  <si>
    <t>LOG-00959</t>
  </si>
  <si>
    <t>LOG-00960</t>
  </si>
  <si>
    <t>LOG-00961</t>
  </si>
  <si>
    <t>LOG-00962</t>
  </si>
  <si>
    <t>LOG-00963</t>
  </si>
  <si>
    <t>LOG-00964</t>
  </si>
  <si>
    <t>LOG-00965</t>
  </si>
  <si>
    <t>LOG-00966</t>
  </si>
  <si>
    <t>LOG-00967</t>
  </si>
  <si>
    <t>LOG-00968</t>
  </si>
  <si>
    <t>LOG-00969</t>
  </si>
  <si>
    <t>LOG-00970</t>
  </si>
  <si>
    <t>LOG-00971</t>
  </si>
  <si>
    <t>LOG-00972</t>
  </si>
  <si>
    <t>LOG-00973</t>
  </si>
  <si>
    <t>LOG-00974</t>
  </si>
  <si>
    <t>LOG-00975</t>
  </si>
  <si>
    <t>LOG-00976</t>
  </si>
  <si>
    <t>LOG-00977</t>
  </si>
  <si>
    <t>LOG-00978</t>
  </si>
  <si>
    <t>LOG-00979</t>
  </si>
  <si>
    <t>LOG-00980</t>
  </si>
  <si>
    <t>LOG-00981</t>
  </si>
  <si>
    <t>LOG-00982</t>
  </si>
  <si>
    <t>LOG-00983</t>
  </si>
  <si>
    <t>LOG-00984</t>
  </si>
  <si>
    <t>LOG-00985</t>
  </si>
  <si>
    <t>LOG-00986</t>
  </si>
  <si>
    <t>LOG-00987</t>
  </si>
  <si>
    <t>LOG-00988</t>
  </si>
  <si>
    <t>LOG-00989</t>
  </si>
  <si>
    <t>LOG-00990</t>
  </si>
  <si>
    <t>LOG-00991</t>
  </si>
  <si>
    <t>LOG-00992</t>
  </si>
  <si>
    <t>LOG-00993</t>
  </si>
  <si>
    <t>LOG-00994</t>
  </si>
  <si>
    <t>LOG-00995</t>
  </si>
  <si>
    <t>LOG-00996</t>
  </si>
  <si>
    <t>LOG-00997</t>
  </si>
  <si>
    <t>LOG-00998</t>
  </si>
  <si>
    <t>LOG-00999</t>
  </si>
  <si>
    <t>LOG-01000</t>
  </si>
  <si>
    <t>LOG-01001</t>
  </si>
  <si>
    <t>LOG-01002</t>
  </si>
  <si>
    <t>LOG-01003</t>
  </si>
  <si>
    <t>LOG-01004</t>
  </si>
  <si>
    <t>LOG-01005</t>
  </si>
  <si>
    <t>LOG-01006</t>
  </si>
  <si>
    <t>LOG-01007</t>
  </si>
  <si>
    <t>LOG-01008</t>
  </si>
  <si>
    <t>LOG-01009</t>
  </si>
  <si>
    <t>LOG-01010</t>
  </si>
  <si>
    <t>LOG-01011</t>
  </si>
  <si>
    <t>LOG-01012</t>
  </si>
  <si>
    <t>LOG-01013</t>
  </si>
  <si>
    <t>LOG-01014</t>
  </si>
  <si>
    <t>LOG-01015</t>
  </si>
  <si>
    <t>LOG-01016</t>
  </si>
  <si>
    <t>LOG-01017</t>
  </si>
  <si>
    <t>LOG-01018</t>
  </si>
  <si>
    <t>LOG-01019</t>
  </si>
  <si>
    <t>LOG-01020</t>
  </si>
  <si>
    <t>LOG-01021</t>
  </si>
  <si>
    <t>LOG-01022</t>
  </si>
  <si>
    <t>LOG-01023</t>
  </si>
  <si>
    <t>LOG-01024</t>
  </si>
  <si>
    <t>LOG-01025</t>
  </si>
  <si>
    <t>LOG-01026</t>
  </si>
  <si>
    <t>LOG-01027</t>
  </si>
  <si>
    <t>LOG-01028</t>
  </si>
  <si>
    <t>LOG-01029</t>
  </si>
  <si>
    <t>LOG-01030</t>
  </si>
  <si>
    <t>LOG-01031</t>
  </si>
  <si>
    <t>LOG-01032</t>
  </si>
  <si>
    <t>LOG-01033</t>
  </si>
  <si>
    <t>LOG-01034</t>
  </si>
  <si>
    <t>LOG-01035</t>
  </si>
  <si>
    <t>LOG-01036</t>
  </si>
  <si>
    <t>LOG-01037</t>
  </si>
  <si>
    <t>LOG-01038</t>
  </si>
  <si>
    <t>LOG-01039</t>
  </si>
  <si>
    <t>LOG-01040</t>
  </si>
  <si>
    <t>LOG-01041</t>
  </si>
  <si>
    <t>LOG-01042</t>
  </si>
  <si>
    <t>LOG-01043</t>
  </si>
  <si>
    <t>LOG-01044</t>
  </si>
  <si>
    <t>LOG-01045</t>
  </si>
  <si>
    <t>LOG-01046</t>
  </si>
  <si>
    <t>LOG-01047</t>
  </si>
  <si>
    <t>LOG-01048</t>
  </si>
  <si>
    <t>LOG-01049</t>
  </si>
  <si>
    <t>LOG-01050</t>
  </si>
  <si>
    <t>LOG-01051</t>
  </si>
  <si>
    <t>LOG-01052</t>
  </si>
  <si>
    <t>LOG-01053</t>
  </si>
  <si>
    <t>LOG-01054</t>
  </si>
  <si>
    <t>LOG-01055</t>
  </si>
  <si>
    <t>LOG-01056</t>
  </si>
  <si>
    <t>LOG-01057</t>
  </si>
  <si>
    <t>LOG-01058</t>
  </si>
  <si>
    <t>LOG-01059</t>
  </si>
  <si>
    <t>LOG-01060</t>
  </si>
  <si>
    <t>LOG-01061</t>
  </si>
  <si>
    <t>LOG-01062</t>
  </si>
  <si>
    <t>LOG-01063</t>
  </si>
  <si>
    <t>LOG-01064</t>
  </si>
  <si>
    <t>LOG-01065</t>
  </si>
  <si>
    <t>LOG-01066</t>
  </si>
  <si>
    <t>LOG-01067</t>
  </si>
  <si>
    <t>LOG-01068</t>
  </si>
  <si>
    <t>LOG-01069</t>
  </si>
  <si>
    <t>LOG-01070</t>
  </si>
  <si>
    <t>LOG-01071</t>
  </si>
  <si>
    <t>LOG-01072</t>
  </si>
  <si>
    <t>LOG-01073</t>
  </si>
  <si>
    <t>LOG-01074</t>
  </si>
  <si>
    <t>LOG-01075</t>
  </si>
  <si>
    <t>LOG-01076</t>
  </si>
  <si>
    <t>LOG-01077</t>
  </si>
  <si>
    <t>LOG-01078</t>
  </si>
  <si>
    <t>LOG-01079</t>
  </si>
  <si>
    <t>LOG-01080</t>
  </si>
  <si>
    <t>LOG-01081</t>
  </si>
  <si>
    <t>LOG-01082</t>
  </si>
  <si>
    <t>LOG-01083</t>
  </si>
  <si>
    <t>LOG-01084</t>
  </si>
  <si>
    <t>LOG-01085</t>
  </si>
  <si>
    <t>LOG-01086</t>
  </si>
  <si>
    <t>LOG-01087</t>
  </si>
  <si>
    <t>LOG-01088</t>
  </si>
  <si>
    <t>LOG-01089</t>
  </si>
  <si>
    <t>LOG-01090</t>
  </si>
  <si>
    <t>LOG-01091</t>
  </si>
  <si>
    <t>LOG-01092</t>
  </si>
  <si>
    <t>LOG-01093</t>
  </si>
  <si>
    <t>LOG-01094</t>
  </si>
  <si>
    <t>LOG-01095</t>
  </si>
  <si>
    <t>LOG-01096</t>
  </si>
  <si>
    <t>LOG-01097</t>
  </si>
  <si>
    <t>LOG-01098</t>
  </si>
  <si>
    <t>LOG-01099</t>
  </si>
  <si>
    <t>LOG-01100</t>
  </si>
  <si>
    <t>LOG-01101</t>
  </si>
  <si>
    <t>LOG-01102</t>
  </si>
  <si>
    <t>LOG-01103</t>
  </si>
  <si>
    <t>LOG-01104</t>
  </si>
  <si>
    <t>LOG-01105</t>
  </si>
  <si>
    <t>LOG-01106</t>
  </si>
  <si>
    <t>LOG-01107</t>
  </si>
  <si>
    <t>LOG-01108</t>
  </si>
  <si>
    <t>LOG-01109</t>
  </si>
  <si>
    <t>LOG-01110</t>
  </si>
  <si>
    <t>LOG-01111</t>
  </si>
  <si>
    <t>LOG-01112</t>
  </si>
  <si>
    <t>LOG-01113</t>
  </si>
  <si>
    <t>LOG-01114</t>
  </si>
  <si>
    <t>LOG-01115</t>
  </si>
  <si>
    <t>LOG-01116</t>
  </si>
  <si>
    <t>LOG-01117</t>
  </si>
  <si>
    <t>LOG-01118</t>
  </si>
  <si>
    <t>LOG-01119</t>
  </si>
  <si>
    <t>LOG-01120</t>
  </si>
  <si>
    <t>LOG-01121</t>
  </si>
  <si>
    <t>LOG-01122</t>
  </si>
  <si>
    <t>LOG-01123</t>
  </si>
  <si>
    <t>LOG-01124</t>
  </si>
  <si>
    <t>LOG-01125</t>
  </si>
  <si>
    <t>LOG-01126</t>
  </si>
  <si>
    <t>LOG-01127</t>
  </si>
  <si>
    <t>LOG-01128</t>
  </si>
  <si>
    <t>LOG-01129</t>
  </si>
  <si>
    <t>LOG-01130</t>
  </si>
  <si>
    <t>LOG-01131</t>
  </si>
  <si>
    <t>LOG-01132</t>
  </si>
  <si>
    <t>LOG-01133</t>
  </si>
  <si>
    <t>LOG-01134</t>
  </si>
  <si>
    <t>LOG-01135</t>
  </si>
  <si>
    <t>LOG-01136</t>
  </si>
  <si>
    <t>LOG-01137</t>
  </si>
  <si>
    <t>LOG-01138</t>
  </si>
  <si>
    <t>LOG-01139</t>
  </si>
  <si>
    <t>LOG-01140</t>
  </si>
  <si>
    <t>LOG-01141</t>
  </si>
  <si>
    <t>LOG-01142</t>
  </si>
  <si>
    <t>LOG-01143</t>
  </si>
  <si>
    <t>LOG-01144</t>
  </si>
  <si>
    <t>LOG-01145</t>
  </si>
  <si>
    <t>LOG-01146</t>
  </si>
  <si>
    <t>LOG-01147</t>
  </si>
  <si>
    <t>LOG-01148</t>
  </si>
  <si>
    <t>LOG-01149</t>
  </si>
  <si>
    <t>LOG-01150</t>
  </si>
  <si>
    <t>LOG-01151</t>
  </si>
  <si>
    <t>LOG-01152</t>
  </si>
  <si>
    <t>LOG-01153</t>
  </si>
  <si>
    <t>LOG-01154</t>
  </si>
  <si>
    <t>LOG-01155</t>
  </si>
  <si>
    <t>LOG-01156</t>
  </si>
  <si>
    <t>LOG-01157</t>
  </si>
  <si>
    <t>LOG-01158</t>
  </si>
  <si>
    <t>LOG-01159</t>
  </si>
  <si>
    <t>LOG-01160</t>
  </si>
  <si>
    <t>LOG-01161</t>
  </si>
  <si>
    <t>LOG-01162</t>
  </si>
  <si>
    <t>LOG-01163</t>
  </si>
  <si>
    <t>LOG-01164</t>
  </si>
  <si>
    <t>LOG-01165</t>
  </si>
  <si>
    <t>LOG-01166</t>
  </si>
  <si>
    <t>LOG-01167</t>
  </si>
  <si>
    <t>LOG-01168</t>
  </si>
  <si>
    <t>LOG-01169</t>
  </si>
  <si>
    <t>LOG-01170</t>
  </si>
  <si>
    <t>LOG-01171</t>
  </si>
  <si>
    <t>LOG-01172</t>
  </si>
  <si>
    <t>LOG-01173</t>
  </si>
  <si>
    <t>LOG-01174</t>
  </si>
  <si>
    <t>LOG-01175</t>
  </si>
  <si>
    <t>LOG-01176</t>
  </si>
  <si>
    <t>LOG-01177</t>
  </si>
  <si>
    <t>LOG-01178</t>
  </si>
  <si>
    <t>LOG-01179</t>
  </si>
  <si>
    <t>LOG-01180</t>
  </si>
  <si>
    <t>LOG-01181</t>
  </si>
  <si>
    <t>LOG-01182</t>
  </si>
  <si>
    <t>LOG-01183</t>
  </si>
  <si>
    <t>LOG-01184</t>
  </si>
  <si>
    <t>LOG-01185</t>
  </si>
  <si>
    <t>LOG-01186</t>
  </si>
  <si>
    <t>LOG-01187</t>
  </si>
  <si>
    <t>LOG-01188</t>
  </si>
  <si>
    <t>LOG-01189</t>
  </si>
  <si>
    <t>LOG-01190</t>
  </si>
  <si>
    <t>LOG-01191</t>
  </si>
  <si>
    <t>LOG-01192</t>
  </si>
  <si>
    <t>LOG-01193</t>
  </si>
  <si>
    <t>LOG-01194</t>
  </si>
  <si>
    <t>LOG-01195</t>
  </si>
  <si>
    <t>LOG-01196</t>
  </si>
  <si>
    <t>LOG-01197</t>
  </si>
  <si>
    <t>LOG-01198</t>
  </si>
  <si>
    <t>LOG-01199</t>
  </si>
  <si>
    <t>LOG-01200</t>
  </si>
  <si>
    <t>LOG-01201</t>
  </si>
  <si>
    <t>LOG-01202</t>
  </si>
  <si>
    <t>LOG-01203</t>
  </si>
  <si>
    <t>LOG-01204</t>
  </si>
  <si>
    <t>LOG-01205</t>
  </si>
  <si>
    <t>LOG-01206</t>
  </si>
  <si>
    <t>LOG-01207</t>
  </si>
  <si>
    <t>LOG-01208</t>
  </si>
  <si>
    <t>LOG-01209</t>
  </si>
  <si>
    <t>LOG-01210</t>
  </si>
  <si>
    <t>LOG-01211</t>
  </si>
  <si>
    <t>LOG-01212</t>
  </si>
  <si>
    <t>LOG-01213</t>
  </si>
  <si>
    <t>LOG-01214</t>
  </si>
  <si>
    <t>LOG-01215</t>
  </si>
  <si>
    <t>LOG-01216</t>
  </si>
  <si>
    <t>LOG-01217</t>
  </si>
  <si>
    <t>LOG-01218</t>
  </si>
  <si>
    <t>LOG-01219</t>
  </si>
  <si>
    <t>LOG-01220</t>
  </si>
  <si>
    <t>LOG-01221</t>
  </si>
  <si>
    <t>LOG-01222</t>
  </si>
  <si>
    <t>LOG-01223</t>
  </si>
  <si>
    <t>LOG-01224</t>
  </si>
  <si>
    <t>LOG-01225</t>
  </si>
  <si>
    <t>LOG-01226</t>
  </si>
  <si>
    <t>LOG-01227</t>
  </si>
  <si>
    <t>LOG-01228</t>
  </si>
  <si>
    <t>LOG-01229</t>
  </si>
  <si>
    <t>LOG-01230</t>
  </si>
  <si>
    <t>LOG-01231</t>
  </si>
  <si>
    <t>LOG-01232</t>
  </si>
  <si>
    <t>LOG-01233</t>
  </si>
  <si>
    <t>LOG-01234</t>
  </si>
  <si>
    <t>LOG-01235</t>
  </si>
  <si>
    <t>LOG-01236</t>
  </si>
  <si>
    <t>LOG-01237</t>
  </si>
  <si>
    <t>LOG-01238</t>
  </si>
  <si>
    <t>LOG-01239</t>
  </si>
  <si>
    <t>LOG-01240</t>
  </si>
  <si>
    <t>LOG-01241</t>
  </si>
  <si>
    <t>LOG-01242</t>
  </si>
  <si>
    <t>LOG-01243</t>
  </si>
  <si>
    <t>LOG-01244</t>
  </si>
  <si>
    <t>LOG-01245</t>
  </si>
  <si>
    <t>LOG-01246</t>
  </si>
  <si>
    <t>LOG-01247</t>
  </si>
  <si>
    <t>LOG-01248</t>
  </si>
  <si>
    <t>LOG-01249</t>
  </si>
  <si>
    <t>LOG-01250</t>
  </si>
  <si>
    <t>LOG-01251</t>
  </si>
  <si>
    <t>LOG-01252</t>
  </si>
  <si>
    <t>LOG-01253</t>
  </si>
  <si>
    <t>LOG-01254</t>
  </si>
  <si>
    <t>LOG-01255</t>
  </si>
  <si>
    <t>LOG-01256</t>
  </si>
  <si>
    <t>LOG-01257</t>
  </si>
  <si>
    <t>LOG-01258</t>
  </si>
  <si>
    <t>LOG-01259</t>
  </si>
  <si>
    <t>LOG-01260</t>
  </si>
  <si>
    <t>LOG-01261</t>
  </si>
  <si>
    <t>LOG-01262</t>
  </si>
  <si>
    <t>LOG-01263</t>
  </si>
  <si>
    <t>LOG-01264</t>
  </si>
  <si>
    <t>LOG-01265</t>
  </si>
  <si>
    <t>LOG-01266</t>
  </si>
  <si>
    <t>LOG-01267</t>
  </si>
  <si>
    <t>LOG-01268</t>
  </si>
  <si>
    <t>LOG-01269</t>
  </si>
  <si>
    <t>LOG-01270</t>
  </si>
  <si>
    <t>LOG-01271</t>
  </si>
  <si>
    <t>LOG-01272</t>
  </si>
  <si>
    <t>LOG-01273</t>
  </si>
  <si>
    <t>LOG-01274</t>
  </si>
  <si>
    <t>LOG-01275</t>
  </si>
  <si>
    <t>LOG-01276</t>
  </si>
  <si>
    <t>LOG-01277</t>
  </si>
  <si>
    <t>LOG-01278</t>
  </si>
  <si>
    <t>LOG-01279</t>
  </si>
  <si>
    <t>LOG-01280</t>
  </si>
  <si>
    <t>LOG-01281</t>
  </si>
  <si>
    <t>LOG-01282</t>
  </si>
  <si>
    <t>LOG-01283</t>
  </si>
  <si>
    <t>LOG-01284</t>
  </si>
  <si>
    <t>LOG-01285</t>
  </si>
  <si>
    <t>LOG-01286</t>
  </si>
  <si>
    <t>LOG-01287</t>
  </si>
  <si>
    <t>LOG-01288</t>
  </si>
  <si>
    <t>LOG-01289</t>
  </si>
  <si>
    <t>LOG-01290</t>
  </si>
  <si>
    <t>LOG-01291</t>
  </si>
  <si>
    <t>LOG-01292</t>
  </si>
  <si>
    <t>LOG-01293</t>
  </si>
  <si>
    <t>LOG-01294</t>
  </si>
  <si>
    <t>LOG-01295</t>
  </si>
  <si>
    <t>LOG-01296</t>
  </si>
  <si>
    <t>LOG-01297</t>
  </si>
  <si>
    <t>LOG-01298</t>
  </si>
  <si>
    <t>LOG-01299</t>
  </si>
  <si>
    <t>LOG-01300</t>
  </si>
  <si>
    <t>LOG-01301</t>
  </si>
  <si>
    <t>LOG-01302</t>
  </si>
  <si>
    <t>LOG-01303</t>
  </si>
  <si>
    <t>LOG-01304</t>
  </si>
  <si>
    <t>LOG-01305</t>
  </si>
  <si>
    <t>LOG-01306</t>
  </si>
  <si>
    <t>LOG-01307</t>
  </si>
  <si>
    <t>LOG-01308</t>
  </si>
  <si>
    <t>LOG-01309</t>
  </si>
  <si>
    <t>LOG-01310</t>
  </si>
  <si>
    <t>LOG-01311</t>
  </si>
  <si>
    <t>LOG-01312</t>
  </si>
  <si>
    <t>LOG-01313</t>
  </si>
  <si>
    <t>LOG-01314</t>
  </si>
  <si>
    <t>LOG-01315</t>
  </si>
  <si>
    <t>LOG-01316</t>
  </si>
  <si>
    <t>LOG-01317</t>
  </si>
  <si>
    <t>LOG-01318</t>
  </si>
  <si>
    <t>LOG-01319</t>
  </si>
  <si>
    <t>LOG-01320</t>
  </si>
  <si>
    <t>LOG-01321</t>
  </si>
  <si>
    <t>LOG-01322</t>
  </si>
  <si>
    <t>LOG-01323</t>
  </si>
  <si>
    <t>LOG-01324</t>
  </si>
  <si>
    <t>LOG-01325</t>
  </si>
  <si>
    <t>LOG-01326</t>
  </si>
  <si>
    <t>LOG-01327</t>
  </si>
  <si>
    <t>LOG-01328</t>
  </si>
  <si>
    <t>LOG-01329</t>
  </si>
  <si>
    <t>LOG-01330</t>
  </si>
  <si>
    <t>LOG-01331</t>
  </si>
  <si>
    <t>LOG-01332</t>
  </si>
  <si>
    <t>LOG-01333</t>
  </si>
  <si>
    <t>LOG-01334</t>
  </si>
  <si>
    <t>LOG-01335</t>
  </si>
  <si>
    <t>LOG-01336</t>
  </si>
  <si>
    <t>LOG-01337</t>
  </si>
  <si>
    <t>LOG-01338</t>
  </si>
  <si>
    <t>LOG-01339</t>
  </si>
  <si>
    <t>LOG-01340</t>
  </si>
  <si>
    <t>LOG-01341</t>
  </si>
  <si>
    <t>LOG-01342</t>
  </si>
  <si>
    <t>LOG-01343</t>
  </si>
  <si>
    <t>LOG-01344</t>
  </si>
  <si>
    <t>LOG-01345</t>
  </si>
  <si>
    <t>LOG-01346</t>
  </si>
  <si>
    <t>LOG-01347</t>
  </si>
  <si>
    <t>LOG-01348</t>
  </si>
  <si>
    <t>LOG-01349</t>
  </si>
  <si>
    <t>LOG-01350</t>
  </si>
  <si>
    <t>LOG-01351</t>
  </si>
  <si>
    <t>LOG-01352</t>
  </si>
  <si>
    <t>LOG-01353</t>
  </si>
  <si>
    <t>LOG-01354</t>
  </si>
  <si>
    <t>LOG-01355</t>
  </si>
  <si>
    <t>LOG-01356</t>
  </si>
  <si>
    <t>LOG-01357</t>
  </si>
  <si>
    <t>LOG-01358</t>
  </si>
  <si>
    <t>LOG-01359</t>
  </si>
  <si>
    <t>LOG-01360</t>
  </si>
  <si>
    <t>LOG-01361</t>
  </si>
  <si>
    <t>LOG-01362</t>
  </si>
  <si>
    <t>LOG-01363</t>
  </si>
  <si>
    <t>LOG-01364</t>
  </si>
  <si>
    <t>LOG-01365</t>
  </si>
  <si>
    <t>LOG-01366</t>
  </si>
  <si>
    <t>LOG-01367</t>
  </si>
  <si>
    <t>LOG-01368</t>
  </si>
  <si>
    <t>LOG-01369</t>
  </si>
  <si>
    <t>LOG-01370</t>
  </si>
  <si>
    <t>LOG-01371</t>
  </si>
  <si>
    <t>LOG-01372</t>
  </si>
  <si>
    <t>LOG-01373</t>
  </si>
  <si>
    <t>LOG-01374</t>
  </si>
  <si>
    <t>LOG-01375</t>
  </si>
  <si>
    <t>LOG-01376</t>
  </si>
  <si>
    <t>LOG-01377</t>
  </si>
  <si>
    <t>LOG-01378</t>
  </si>
  <si>
    <t>LOG-01379</t>
  </si>
  <si>
    <t>LOG-01380</t>
  </si>
  <si>
    <t>LOG-01381</t>
  </si>
  <si>
    <t>LOG-01382</t>
  </si>
  <si>
    <t>LOG-01383</t>
  </si>
  <si>
    <t>LOG-01384</t>
  </si>
  <si>
    <t>LOG-01385</t>
  </si>
  <si>
    <t>LOG-01386</t>
  </si>
  <si>
    <t>LOG-01387</t>
  </si>
  <si>
    <t>LOG-01388</t>
  </si>
  <si>
    <t>LOG-01389</t>
  </si>
  <si>
    <t>LOG-01390</t>
  </si>
  <si>
    <t>LOG-01391</t>
  </si>
  <si>
    <t>LOG-01392</t>
  </si>
  <si>
    <t>LOG-01393</t>
  </si>
  <si>
    <t>LOG-01394</t>
  </si>
  <si>
    <t>LOG-01395</t>
  </si>
  <si>
    <t>LOG-01396</t>
  </si>
  <si>
    <t>LOG-01397</t>
  </si>
  <si>
    <t>LOG-01398</t>
  </si>
  <si>
    <t>LOG-01399</t>
  </si>
  <si>
    <t>LOG-01400</t>
  </si>
  <si>
    <t>LOG-01401</t>
  </si>
  <si>
    <t>LOG-01402</t>
  </si>
  <si>
    <t>LOG-01403</t>
  </si>
  <si>
    <t>LOG-01404</t>
  </si>
  <si>
    <t>LOG-01405</t>
  </si>
  <si>
    <t>LOG-01406</t>
  </si>
  <si>
    <t>LOG-01407</t>
  </si>
  <si>
    <t>LOG-01408</t>
  </si>
  <si>
    <t>LOG-01409</t>
  </si>
  <si>
    <t>LOG-01410</t>
  </si>
  <si>
    <t>LOG-01411</t>
  </si>
  <si>
    <t>LOG-01412</t>
  </si>
  <si>
    <t>LOG-01413</t>
  </si>
  <si>
    <t>LOG-01414</t>
  </si>
  <si>
    <t>LOG-01415</t>
  </si>
  <si>
    <t>LOG-01416</t>
  </si>
  <si>
    <t>LOG-01417</t>
  </si>
  <si>
    <t>LOG-01418</t>
  </si>
  <si>
    <t>LOG-01419</t>
  </si>
  <si>
    <t>LOG-01420</t>
  </si>
  <si>
    <t>LOG-01421</t>
  </si>
  <si>
    <t>LOG-01422</t>
  </si>
  <si>
    <t>LOG-01423</t>
  </si>
  <si>
    <t>LOG-01424</t>
  </si>
  <si>
    <t>LOG-01425</t>
  </si>
  <si>
    <t>LOG-01426</t>
  </si>
  <si>
    <t>LOG-01427</t>
  </si>
  <si>
    <t>LOG-01428</t>
  </si>
  <si>
    <t>LOG-01429</t>
  </si>
  <si>
    <t>LOG-01430</t>
  </si>
  <si>
    <t>LOG-01431</t>
  </si>
  <si>
    <t>LOG-01432</t>
  </si>
  <si>
    <t>LOG-01433</t>
  </si>
  <si>
    <t>LOG-01434</t>
  </si>
  <si>
    <t>LOG-01435</t>
  </si>
  <si>
    <t>LOG-01436</t>
  </si>
  <si>
    <t>LOG-01437</t>
  </si>
  <si>
    <t>LOG-01438</t>
  </si>
  <si>
    <t>LOG-01439</t>
  </si>
  <si>
    <t>LOG-01440</t>
  </si>
  <si>
    <t>LOG-01441</t>
  </si>
  <si>
    <t>LOG-01442</t>
  </si>
  <si>
    <t>LOG-01443</t>
  </si>
  <si>
    <t>LOG-01444</t>
  </si>
  <si>
    <t>LOG-01445</t>
  </si>
  <si>
    <t>LOG-01446</t>
  </si>
  <si>
    <t>LOG-01447</t>
  </si>
  <si>
    <t>LOG-01448</t>
  </si>
  <si>
    <t>LOG-01449</t>
  </si>
  <si>
    <t>LOG-01450</t>
  </si>
  <si>
    <t>LOG-01451</t>
  </si>
  <si>
    <t>LOG-01452</t>
  </si>
  <si>
    <t>LOG-01453</t>
  </si>
  <si>
    <t>LOG-01454</t>
  </si>
  <si>
    <t>LOG-01455</t>
  </si>
  <si>
    <t>LOG-01456</t>
  </si>
  <si>
    <t>LOG-01457</t>
  </si>
  <si>
    <t>LOG-01458</t>
  </si>
  <si>
    <t>LOG-01459</t>
  </si>
  <si>
    <t>LOG-01460</t>
  </si>
  <si>
    <t>LOG-01461</t>
  </si>
  <si>
    <t>LOG-01462</t>
  </si>
  <si>
    <t>LOG-01463</t>
  </si>
  <si>
    <t>LOG-01464</t>
  </si>
  <si>
    <t>LOG-01465</t>
  </si>
  <si>
    <t>LOG-01466</t>
  </si>
  <si>
    <t>LOG-01467</t>
  </si>
  <si>
    <t>LOG-01468</t>
  </si>
  <si>
    <t>LOG-01469</t>
  </si>
  <si>
    <t>LOG-01470</t>
  </si>
  <si>
    <t>LOG-01471</t>
  </si>
  <si>
    <t>LOG-01472</t>
  </si>
  <si>
    <t>LOG-01473</t>
  </si>
  <si>
    <t>LOG-01474</t>
  </si>
  <si>
    <t>LOG-01475</t>
  </si>
  <si>
    <t>LOG-01476</t>
  </si>
  <si>
    <t>LOG-01477</t>
  </si>
  <si>
    <t>LOG-01478</t>
  </si>
  <si>
    <t>LOG-01479</t>
  </si>
  <si>
    <t>LOG-01480</t>
  </si>
  <si>
    <t>LOG-01481</t>
  </si>
  <si>
    <t>LOG-01482</t>
  </si>
  <si>
    <t>LOG-01483</t>
  </si>
  <si>
    <t>LOG-01484</t>
  </si>
  <si>
    <t>LOG-01485</t>
  </si>
  <si>
    <t>LOG-01486</t>
  </si>
  <si>
    <t>LOG-01487</t>
  </si>
  <si>
    <t>LOG-01488</t>
  </si>
  <si>
    <t>LOG-01489</t>
  </si>
  <si>
    <t>LOG-01490</t>
  </si>
  <si>
    <t>LOG-01491</t>
  </si>
  <si>
    <t>LOG-01492</t>
  </si>
  <si>
    <t>LOG-01493</t>
  </si>
  <si>
    <t>LOG-01494</t>
  </si>
  <si>
    <t>LOG-01495</t>
  </si>
  <si>
    <t>LOG-01496</t>
  </si>
  <si>
    <t>LOG-01497</t>
  </si>
  <si>
    <t>LOG-01498</t>
  </si>
  <si>
    <t>LOG-01499</t>
  </si>
  <si>
    <t>LOG-01500</t>
  </si>
  <si>
    <t>LOG-01501</t>
  </si>
  <si>
    <t>LOG-01502</t>
  </si>
  <si>
    <t>LOG-01503</t>
  </si>
  <si>
    <t>LOG-01504</t>
  </si>
  <si>
    <t>LOG-01505</t>
  </si>
  <si>
    <t>LOG-01506</t>
  </si>
  <si>
    <t>LOG-01507</t>
  </si>
  <si>
    <t>LOG-01508</t>
  </si>
  <si>
    <t>LOG-01509</t>
  </si>
  <si>
    <t>LOG-01510</t>
  </si>
  <si>
    <t>LOG-01511</t>
  </si>
  <si>
    <t>LOG-01512</t>
  </si>
  <si>
    <t>LOG-01513</t>
  </si>
  <si>
    <t>LOG-01514</t>
  </si>
  <si>
    <t>LOG-01515</t>
  </si>
  <si>
    <t>LOG-01516</t>
  </si>
  <si>
    <t>LOG-01517</t>
  </si>
  <si>
    <t>LOG-01518</t>
  </si>
  <si>
    <t>LOG-01519</t>
  </si>
  <si>
    <t>LOG-01520</t>
  </si>
  <si>
    <t>LOG-01521</t>
  </si>
  <si>
    <t>LOG-01522</t>
  </si>
  <si>
    <t>LOG-01523</t>
  </si>
  <si>
    <t>LOG-01524</t>
  </si>
  <si>
    <t>LOG-01525</t>
  </si>
  <si>
    <t>LOG-01526</t>
  </si>
  <si>
    <t>LOG-01527</t>
  </si>
  <si>
    <t>LOG-01528</t>
  </si>
  <si>
    <t>LOG-01529</t>
  </si>
  <si>
    <t>LOG-01530</t>
  </si>
  <si>
    <t>LOG-01531</t>
  </si>
  <si>
    <t>LOG-01532</t>
  </si>
  <si>
    <t>LOG-01533</t>
  </si>
  <si>
    <t>LOG-01534</t>
  </si>
  <si>
    <t>LOG-01535</t>
  </si>
  <si>
    <t>LOG-01536</t>
  </si>
  <si>
    <t>LOG-01537</t>
  </si>
  <si>
    <t>LOG-01538</t>
  </si>
  <si>
    <t>LOG-01539</t>
  </si>
  <si>
    <t>LOG-01540</t>
  </si>
  <si>
    <t>LOG-01541</t>
  </si>
  <si>
    <t>LOG-01542</t>
  </si>
  <si>
    <t>LOG-01543</t>
  </si>
  <si>
    <t>LOG-01544</t>
  </si>
  <si>
    <t>LOG-01545</t>
  </si>
  <si>
    <t>LOG-01546</t>
  </si>
  <si>
    <t>LOG-01547</t>
  </si>
  <si>
    <t>LOG-01548</t>
  </si>
  <si>
    <t>LOG-01549</t>
  </si>
  <si>
    <t>LOG-01550</t>
  </si>
  <si>
    <t>LOG-01551</t>
  </si>
  <si>
    <t>LOG-01552</t>
  </si>
  <si>
    <t>LOG-01553</t>
  </si>
  <si>
    <t>LOG-01554</t>
  </si>
  <si>
    <t>LOG-01555</t>
  </si>
  <si>
    <t>LOG-01556</t>
  </si>
  <si>
    <t>LOG-01557</t>
  </si>
  <si>
    <t>LOG-01558</t>
  </si>
  <si>
    <t>LOG-01559</t>
  </si>
  <si>
    <t>LOG-01560</t>
  </si>
  <si>
    <t>LOG-01561</t>
  </si>
  <si>
    <t>LOG-01562</t>
  </si>
  <si>
    <t>LOG-01563</t>
  </si>
  <si>
    <t>LOG-01564</t>
  </si>
  <si>
    <t>LOG-01565</t>
  </si>
  <si>
    <t>LOG-01566</t>
  </si>
  <si>
    <t>LOG-01567</t>
  </si>
  <si>
    <t>LOG-01568</t>
  </si>
  <si>
    <t>LOG-01569</t>
  </si>
  <si>
    <t>LOG-01570</t>
  </si>
  <si>
    <t>LOG-01571</t>
  </si>
  <si>
    <t>LOG-01572</t>
  </si>
  <si>
    <t>LOG-01573</t>
  </si>
  <si>
    <t>LOG-01574</t>
  </si>
  <si>
    <t>LOG-01575</t>
  </si>
  <si>
    <t>LOG-01576</t>
  </si>
  <si>
    <t>LOG-01577</t>
  </si>
  <si>
    <t>LOG-01578</t>
  </si>
  <si>
    <t>LOG-01579</t>
  </si>
  <si>
    <t>LOG-01580</t>
  </si>
  <si>
    <t>LOG-01581</t>
  </si>
  <si>
    <t>LOG-01582</t>
  </si>
  <si>
    <t>LOG-01583</t>
  </si>
  <si>
    <t>LOG-01584</t>
  </si>
  <si>
    <t>LOG-01585</t>
  </si>
  <si>
    <t>LOG-01586</t>
  </si>
  <si>
    <t>LOG-01587</t>
  </si>
  <si>
    <t>LOG-01588</t>
  </si>
  <si>
    <t>LOG-01589</t>
  </si>
  <si>
    <t>LOG-01590</t>
  </si>
  <si>
    <t>LOG-01591</t>
  </si>
  <si>
    <t>LOG-01592</t>
  </si>
  <si>
    <t>LOG-01593</t>
  </si>
  <si>
    <t>LOG-01594</t>
  </si>
  <si>
    <t>LOG-01595</t>
  </si>
  <si>
    <t>LOG-01596</t>
  </si>
  <si>
    <t>LOG-01597</t>
  </si>
  <si>
    <t>LOG-01598</t>
  </si>
  <si>
    <t>LOG-01599</t>
  </si>
  <si>
    <t>LOG-01600</t>
  </si>
  <si>
    <t>LOG-01601</t>
  </si>
  <si>
    <t>LOG-01602</t>
  </si>
  <si>
    <t>LOG-01603</t>
  </si>
  <si>
    <t>LOG-01604</t>
  </si>
  <si>
    <t>LOG-01605</t>
  </si>
  <si>
    <t>LOG-01606</t>
  </si>
  <si>
    <t>LOG-01607</t>
  </si>
  <si>
    <t>LOG-01608</t>
  </si>
  <si>
    <t>LOG-01609</t>
  </si>
  <si>
    <t>LOG-01610</t>
  </si>
  <si>
    <t>LOG-01611</t>
  </si>
  <si>
    <t>LOG-01612</t>
  </si>
  <si>
    <t>LOG-01613</t>
  </si>
  <si>
    <t>LOG-01614</t>
  </si>
  <si>
    <t>LOG-01615</t>
  </si>
  <si>
    <t>LOG-01616</t>
  </si>
  <si>
    <t>LOG-01617</t>
  </si>
  <si>
    <t>LOG-01618</t>
  </si>
  <si>
    <t>LOG-01619</t>
  </si>
  <si>
    <t>LOG-01620</t>
  </si>
  <si>
    <t>LOG-01621</t>
  </si>
  <si>
    <t>LOG-01622</t>
  </si>
  <si>
    <t>LOG-01623</t>
  </si>
  <si>
    <t>LOG-01624</t>
  </si>
  <si>
    <t>LOG-01625</t>
  </si>
  <si>
    <t>LOG-01626</t>
  </si>
  <si>
    <t>LOG-01627</t>
  </si>
  <si>
    <t>LOG-01628</t>
  </si>
  <si>
    <t>LOG-01629</t>
  </si>
  <si>
    <t>LOG-01630</t>
  </si>
  <si>
    <t>LOG-01631</t>
  </si>
  <si>
    <t>LOG-01632</t>
  </si>
  <si>
    <t>LOG-01633</t>
  </si>
  <si>
    <t>LOG-01634</t>
  </si>
  <si>
    <t>LOG-01635</t>
  </si>
  <si>
    <t>LOG-01636</t>
  </si>
  <si>
    <t>LOG-01637</t>
  </si>
  <si>
    <t>LOG-01638</t>
  </si>
  <si>
    <t>LOG-01639</t>
  </si>
  <si>
    <t>LOG-01640</t>
  </si>
  <si>
    <t>LOG-01641</t>
  </si>
  <si>
    <t>LOG-01642</t>
  </si>
  <si>
    <t>LOG-01643</t>
  </si>
  <si>
    <t>LOG-01644</t>
  </si>
  <si>
    <t>LOG-01645</t>
  </si>
  <si>
    <t>LOG-01646</t>
  </si>
  <si>
    <t>LOG-01647</t>
  </si>
  <si>
    <t>LOG-01648</t>
  </si>
  <si>
    <t>LOG-01649</t>
  </si>
  <si>
    <t>LOG-01650</t>
  </si>
  <si>
    <t>LOG-01651</t>
  </si>
  <si>
    <t>LOG-01652</t>
  </si>
  <si>
    <t>LOG-01653</t>
  </si>
  <si>
    <t>LOG-01654</t>
  </si>
  <si>
    <t>LOG-01655</t>
  </si>
  <si>
    <t>LOG-01656</t>
  </si>
  <si>
    <t>LOG-01657</t>
  </si>
  <si>
    <t>LOG-01658</t>
  </si>
  <si>
    <t>LOG-01659</t>
  </si>
  <si>
    <t>LOG-01660</t>
  </si>
  <si>
    <t>LOG-01661</t>
  </si>
  <si>
    <t>LOG-01662</t>
  </si>
  <si>
    <t>LOG-01663</t>
  </si>
  <si>
    <t>LOG-01664</t>
  </si>
  <si>
    <t>LOG-01665</t>
  </si>
  <si>
    <t>LOG-01666</t>
  </si>
  <si>
    <t>LOG-01667</t>
  </si>
  <si>
    <t>LOG-01668</t>
  </si>
  <si>
    <t>LOG-01669</t>
  </si>
  <si>
    <t>LOG-01670</t>
  </si>
  <si>
    <t>LOG-01671</t>
  </si>
  <si>
    <t>LOG-01672</t>
  </si>
  <si>
    <t>LOG-01673</t>
  </si>
  <si>
    <t>LOG-01674</t>
  </si>
  <si>
    <t>LOG-01675</t>
  </si>
  <si>
    <t>LOG-01676</t>
  </si>
  <si>
    <t>LOG-01677</t>
  </si>
  <si>
    <t>LOG-01678</t>
  </si>
  <si>
    <t>LOG-01679</t>
  </si>
  <si>
    <t>LOG-01680</t>
  </si>
  <si>
    <t>LOG-01681</t>
  </si>
  <si>
    <t>LOG-01682</t>
  </si>
  <si>
    <t>LOG-01683</t>
  </si>
  <si>
    <t>LOG-01684</t>
  </si>
  <si>
    <t>LOG-01685</t>
  </si>
  <si>
    <t>LOG-01686</t>
  </si>
  <si>
    <t>LOG-01687</t>
  </si>
  <si>
    <t>LOG-01688</t>
  </si>
  <si>
    <t>LOG-01689</t>
  </si>
  <si>
    <t>LOG-01690</t>
  </si>
  <si>
    <t>LOG-01691</t>
  </si>
  <si>
    <t>LOG-01692</t>
  </si>
  <si>
    <t>LOG-01693</t>
  </si>
  <si>
    <t>LOG-01694</t>
  </si>
  <si>
    <t>LOG-01695</t>
  </si>
  <si>
    <t>LOG-01696</t>
  </si>
  <si>
    <t>LOG-01697</t>
  </si>
  <si>
    <t>LOG-01698</t>
  </si>
  <si>
    <t>LOG-01699</t>
  </si>
  <si>
    <t>LOG-01700</t>
  </si>
  <si>
    <t>LOG-01701</t>
  </si>
  <si>
    <t>LOG-01702</t>
  </si>
  <si>
    <t>LOG-01703</t>
  </si>
  <si>
    <t>LOG-01704</t>
  </si>
  <si>
    <t>LOG-01705</t>
  </si>
  <si>
    <t>LOG-01706</t>
  </si>
  <si>
    <t>LOG-01707</t>
  </si>
  <si>
    <t>LOG-01708</t>
  </si>
  <si>
    <t>LOG-01709</t>
  </si>
  <si>
    <t>LOG-01710</t>
  </si>
  <si>
    <t>LOG-01711</t>
  </si>
  <si>
    <t>LOG-01712</t>
  </si>
  <si>
    <t>LOG-01713</t>
  </si>
  <si>
    <t>LOG-01714</t>
  </si>
  <si>
    <t>LOG-01715</t>
  </si>
  <si>
    <t>LOG-01716</t>
  </si>
  <si>
    <t>LOG-01717</t>
  </si>
  <si>
    <t>LOG-01718</t>
  </si>
  <si>
    <t>LOG-01719</t>
  </si>
  <si>
    <t>LOG-01720</t>
  </si>
  <si>
    <t>LOG-01721</t>
  </si>
  <si>
    <t>LOG-01722</t>
  </si>
  <si>
    <t>LOG-01723</t>
  </si>
  <si>
    <t>LOG-01724</t>
  </si>
  <si>
    <t>LOG-01725</t>
  </si>
  <si>
    <t>LOG-01726</t>
  </si>
  <si>
    <t>LOG-01727</t>
  </si>
  <si>
    <t>LOG-01728</t>
  </si>
  <si>
    <t>LOG-01729</t>
  </si>
  <si>
    <t>LOG-01730</t>
  </si>
  <si>
    <t>LOG-01731</t>
  </si>
  <si>
    <t>LOG-01732</t>
  </si>
  <si>
    <t>LOG-01733</t>
  </si>
  <si>
    <t>LOG-01734</t>
  </si>
  <si>
    <t>LOG-01735</t>
  </si>
  <si>
    <t>LOG-01736</t>
  </si>
  <si>
    <t>LOG-01737</t>
  </si>
  <si>
    <t>LOG-01738</t>
  </si>
  <si>
    <t>LOG-01739</t>
  </si>
  <si>
    <t>LOG-01740</t>
  </si>
  <si>
    <t>LOG-01741</t>
  </si>
  <si>
    <t>LOG-01742</t>
  </si>
  <si>
    <t>LOG-01743</t>
  </si>
  <si>
    <t>LOG-01744</t>
  </si>
  <si>
    <t>LOG-01745</t>
  </si>
  <si>
    <t>LOG-01746</t>
  </si>
  <si>
    <t>LOG-01747</t>
  </si>
  <si>
    <t>LOG-01748</t>
  </si>
  <si>
    <t>LOG-01749</t>
  </si>
  <si>
    <t>LOG-01750</t>
  </si>
  <si>
    <t>LOG-01751</t>
  </si>
  <si>
    <t>LOG-01752</t>
  </si>
  <si>
    <t>LOG-01753</t>
  </si>
  <si>
    <t>LOG-01754</t>
  </si>
  <si>
    <t>LOG-01755</t>
  </si>
  <si>
    <t>LOG-01756</t>
  </si>
  <si>
    <t>LOG-01757</t>
  </si>
  <si>
    <t>LOG-01758</t>
  </si>
  <si>
    <t>LOG-01759</t>
  </si>
  <si>
    <t>LOG-01760</t>
  </si>
  <si>
    <t>LOG-01761</t>
  </si>
  <si>
    <t>LOG-01762</t>
  </si>
  <si>
    <t>LOG-01763</t>
  </si>
  <si>
    <t>LOG-01764</t>
  </si>
  <si>
    <t>LOG-01765</t>
  </si>
  <si>
    <t>LOG-01766</t>
  </si>
  <si>
    <t>LOG-01767</t>
  </si>
  <si>
    <t>LOG-01768</t>
  </si>
  <si>
    <t>LOG-01769</t>
  </si>
  <si>
    <t>LOG-01770</t>
  </si>
  <si>
    <t>LOG-01771</t>
  </si>
  <si>
    <t>LOG-01772</t>
  </si>
  <si>
    <t>LOG-01773</t>
  </si>
  <si>
    <t>LOG-01774</t>
  </si>
  <si>
    <t>LOG-01775</t>
  </si>
  <si>
    <t>LOG-01776</t>
  </si>
  <si>
    <t>LOG-01777</t>
  </si>
  <si>
    <t>LOG-01778</t>
  </si>
  <si>
    <t>LOG-01779</t>
  </si>
  <si>
    <t>LOG-01780</t>
  </si>
  <si>
    <t>LOG-01781</t>
  </si>
  <si>
    <t>LOG-01782</t>
  </si>
  <si>
    <t>LOG-01783</t>
  </si>
  <si>
    <t>LOG-01784</t>
  </si>
  <si>
    <t>LOG-01785</t>
  </si>
  <si>
    <t>LOG-01786</t>
  </si>
  <si>
    <t>LOG-01787</t>
  </si>
  <si>
    <t>LOG-01788</t>
  </si>
  <si>
    <t>LOG-01789</t>
  </si>
  <si>
    <t>LOG-01790</t>
  </si>
  <si>
    <t>LOG-01791</t>
  </si>
  <si>
    <t>LOG-01792</t>
  </si>
  <si>
    <t>LOG-01793</t>
  </si>
  <si>
    <t>LOG-01794</t>
  </si>
  <si>
    <t>LOG-01795</t>
  </si>
  <si>
    <t>LOG-01796</t>
  </si>
  <si>
    <t>LOG-01797</t>
  </si>
  <si>
    <t>LOG-01798</t>
  </si>
  <si>
    <t>LOG-01799</t>
  </si>
  <si>
    <t>LOG-01800</t>
  </si>
  <si>
    <t>LOG-01801</t>
  </si>
  <si>
    <t>LOG-01802</t>
  </si>
  <si>
    <t>LOG-01803</t>
  </si>
  <si>
    <t>LOG-01804</t>
  </si>
  <si>
    <t>LOG-01805</t>
  </si>
  <si>
    <t>LOG-01806</t>
  </si>
  <si>
    <t>LOG-01807</t>
  </si>
  <si>
    <t>LOG-01808</t>
  </si>
  <si>
    <t>LOG-01809</t>
  </si>
  <si>
    <t>LOG-01810</t>
  </si>
  <si>
    <t>LOG-01811</t>
  </si>
  <si>
    <t>LOG-01812</t>
  </si>
  <si>
    <t>LOG-01813</t>
  </si>
  <si>
    <t>LOG-01814</t>
  </si>
  <si>
    <t>LOG-01815</t>
  </si>
  <si>
    <t>LOG-01816</t>
  </si>
  <si>
    <t>LOG-01817</t>
  </si>
  <si>
    <t>LOG-01818</t>
  </si>
  <si>
    <t>LOG-01819</t>
  </si>
  <si>
    <t>LOG-01820</t>
  </si>
  <si>
    <t>LOG-01821</t>
  </si>
  <si>
    <t>LOG-01822</t>
  </si>
  <si>
    <t>LOG-01823</t>
  </si>
  <si>
    <t>LOG-01824</t>
  </si>
  <si>
    <t>LOG-01825</t>
  </si>
  <si>
    <t>LOG-01826</t>
  </si>
  <si>
    <t>LOG-01827</t>
  </si>
  <si>
    <t>LOG-01828</t>
  </si>
  <si>
    <t>LOG-01829</t>
  </si>
  <si>
    <t>LOG-01830</t>
  </si>
  <si>
    <t>LOG-01831</t>
  </si>
  <si>
    <t>LOG-01832</t>
  </si>
  <si>
    <t>LOG-01833</t>
  </si>
  <si>
    <t>LOG-01834</t>
  </si>
  <si>
    <t>LOG-01835</t>
  </si>
  <si>
    <t>LOG-01836</t>
  </si>
  <si>
    <t>LOG-01837</t>
  </si>
  <si>
    <t>LOG-01838</t>
  </si>
  <si>
    <t>LOG-01839</t>
  </si>
  <si>
    <t>LOG-01840</t>
  </si>
  <si>
    <t>LOG-01841</t>
  </si>
  <si>
    <t>LOG-01842</t>
  </si>
  <si>
    <t>LOG-01843</t>
  </si>
  <si>
    <t>LOG-01844</t>
  </si>
  <si>
    <t>LOG-01845</t>
  </si>
  <si>
    <t>LOG-01846</t>
  </si>
  <si>
    <t>LOG-01847</t>
  </si>
  <si>
    <t>LOG-01848</t>
  </si>
  <si>
    <t>LOG-01849</t>
  </si>
  <si>
    <t>LOG-01850</t>
  </si>
  <si>
    <t>LOG-01851</t>
  </si>
  <si>
    <t>LOG-01852</t>
  </si>
  <si>
    <t>LOG-01853</t>
  </si>
  <si>
    <t>LOG-01854</t>
  </si>
  <si>
    <t>LOG-01855</t>
  </si>
  <si>
    <t>LOG-01856</t>
  </si>
  <si>
    <t>LOG-01857</t>
  </si>
  <si>
    <t>LOG-01858</t>
  </si>
  <si>
    <t>LOG-01859</t>
  </si>
  <si>
    <t>LOG-01860</t>
  </si>
  <si>
    <t>LOG-01861</t>
  </si>
  <si>
    <t>LOG-01862</t>
  </si>
  <si>
    <t>LOG-01863</t>
  </si>
  <si>
    <t>LOG-01864</t>
  </si>
  <si>
    <t>LOG-01865</t>
  </si>
  <si>
    <t>LOG-01866</t>
  </si>
  <si>
    <t>LOG-01867</t>
  </si>
  <si>
    <t>LOG-01868</t>
  </si>
  <si>
    <t>LOG-01869</t>
  </si>
  <si>
    <t>LOG-01870</t>
  </si>
  <si>
    <t>LOG-01871</t>
  </si>
  <si>
    <t>LOG-01872</t>
  </si>
  <si>
    <t>LOG-01873</t>
  </si>
  <si>
    <t>LOG-01874</t>
  </si>
  <si>
    <t>LOG-01875</t>
  </si>
  <si>
    <t>LOG-01876</t>
  </si>
  <si>
    <t>LOG-01877</t>
  </si>
  <si>
    <t>LOG-01878</t>
  </si>
  <si>
    <t>LOG-01879</t>
  </si>
  <si>
    <t>LOG-01880</t>
  </si>
  <si>
    <t>LOG-01881</t>
  </si>
  <si>
    <t>LOG-01882</t>
  </si>
  <si>
    <t>LOG-01883</t>
  </si>
  <si>
    <t>LOG-01884</t>
  </si>
  <si>
    <t>LOG-01885</t>
  </si>
  <si>
    <t>LOG-01886</t>
  </si>
  <si>
    <t>LOG-01887</t>
  </si>
  <si>
    <t>LOG-01888</t>
  </si>
  <si>
    <t>LOG-01889</t>
  </si>
  <si>
    <t>LOG-01890</t>
  </si>
  <si>
    <t>LOG-01891</t>
  </si>
  <si>
    <t>LOG-01892</t>
  </si>
  <si>
    <t>LOG-01893</t>
  </si>
  <si>
    <t>LOG-01894</t>
  </si>
  <si>
    <t>LOG-01895</t>
  </si>
  <si>
    <t>LOG-01896</t>
  </si>
  <si>
    <t>LOG-01897</t>
  </si>
  <si>
    <t>LOG-01898</t>
  </si>
  <si>
    <t>LOG-01899</t>
  </si>
  <si>
    <t>LOG-01900</t>
  </si>
  <si>
    <t>LOG-01901</t>
  </si>
  <si>
    <t>LOG-01902</t>
  </si>
  <si>
    <t>LOG-01903</t>
  </si>
  <si>
    <t>LOG-01904</t>
  </si>
  <si>
    <t>LOG-01905</t>
  </si>
  <si>
    <t>LOG-01906</t>
  </si>
  <si>
    <t>LOG-01907</t>
  </si>
  <si>
    <t>LOG-01908</t>
  </si>
  <si>
    <t>LOG-01909</t>
  </si>
  <si>
    <t>LOG-01910</t>
  </si>
  <si>
    <t>LOG-01911</t>
  </si>
  <si>
    <t>LOG-01912</t>
  </si>
  <si>
    <t>LOG-01913</t>
  </si>
  <si>
    <t>LOG-01914</t>
  </si>
  <si>
    <t>LOG-01915</t>
  </si>
  <si>
    <t>LOG-01916</t>
  </si>
  <si>
    <t>LOG-01917</t>
  </si>
  <si>
    <t>LOG-01918</t>
  </si>
  <si>
    <t>LOG-01919</t>
  </si>
  <si>
    <t>LOG-01920</t>
  </si>
  <si>
    <t>LOG-01921</t>
  </si>
  <si>
    <t>LOG-01922</t>
  </si>
  <si>
    <t>LOG-01923</t>
  </si>
  <si>
    <t>LOG-01924</t>
  </si>
  <si>
    <t>LOG-01925</t>
  </si>
  <si>
    <t>LOG-01926</t>
  </si>
  <si>
    <t>LOG-01927</t>
  </si>
  <si>
    <t>LOG-01928</t>
  </si>
  <si>
    <t>LOG-01929</t>
  </si>
  <si>
    <t>LOG-01930</t>
  </si>
  <si>
    <t>LOG-01931</t>
  </si>
  <si>
    <t>LOG-01932</t>
  </si>
  <si>
    <t>LOG-01933</t>
  </si>
  <si>
    <t>LOG-01934</t>
  </si>
  <si>
    <t>LOG-01935</t>
  </si>
  <si>
    <t>LOG-01936</t>
  </si>
  <si>
    <t>LOG-01937</t>
  </si>
  <si>
    <t>LOG-01938</t>
  </si>
  <si>
    <t>LOG-01939</t>
  </si>
  <si>
    <t>LOG-01940</t>
  </si>
  <si>
    <t>LOG-01941</t>
  </si>
  <si>
    <t>LOG-01942</t>
  </si>
  <si>
    <t>LOG-01943</t>
  </si>
  <si>
    <t>LOG-01944</t>
  </si>
  <si>
    <t>LOG-01945</t>
  </si>
  <si>
    <t>LOG-01946</t>
  </si>
  <si>
    <t>LOG-01947</t>
  </si>
  <si>
    <t>LOG-01948</t>
  </si>
  <si>
    <t>LOG-01949</t>
  </si>
  <si>
    <t>LOG-01950</t>
  </si>
  <si>
    <t>LOG-01951</t>
  </si>
  <si>
    <t>LOG-01952</t>
  </si>
  <si>
    <t>LOG-01953</t>
  </si>
  <si>
    <t>LOG-01954</t>
  </si>
  <si>
    <t>LOG-01955</t>
  </si>
  <si>
    <t>LOG-01956</t>
  </si>
  <si>
    <t>LOG-01957</t>
  </si>
  <si>
    <t>LOG-01958</t>
  </si>
  <si>
    <t>LOG-01959</t>
  </si>
  <si>
    <t>LOG-01960</t>
  </si>
  <si>
    <t>LOG-01961</t>
  </si>
  <si>
    <t>LOG-01962</t>
  </si>
  <si>
    <t>LOG-01963</t>
  </si>
  <si>
    <t>LOG-01964</t>
  </si>
  <si>
    <t>LOG-01965</t>
  </si>
  <si>
    <t>LOG-01966</t>
  </si>
  <si>
    <t>LOG-01967</t>
  </si>
  <si>
    <t>LOG-01968</t>
  </si>
  <si>
    <t>LOG-01969</t>
  </si>
  <si>
    <t>LOG-01970</t>
  </si>
  <si>
    <t>LOG-01971</t>
  </si>
  <si>
    <t>LOG-01972</t>
  </si>
  <si>
    <t>LOG-01973</t>
  </si>
  <si>
    <t>LOG-01974</t>
  </si>
  <si>
    <t>LOG-01975</t>
  </si>
  <si>
    <t>LOG-01976</t>
  </si>
  <si>
    <t>LOG-01977</t>
  </si>
  <si>
    <t>LOG-01978</t>
  </si>
  <si>
    <t>LOG-01979</t>
  </si>
  <si>
    <t>LOG-01980</t>
  </si>
  <si>
    <t>LOG-01981</t>
  </si>
  <si>
    <t>LOG-01982</t>
  </si>
  <si>
    <t>LOG-01983</t>
  </si>
  <si>
    <t>LOG-01984</t>
  </si>
  <si>
    <t>LOG-01985</t>
  </si>
  <si>
    <t>LOG-01986</t>
  </si>
  <si>
    <t>LOG-01987</t>
  </si>
  <si>
    <t>LOG-01988</t>
  </si>
  <si>
    <t>LOG-01989</t>
  </si>
  <si>
    <t>LOG-01990</t>
  </si>
  <si>
    <t>LOG-01991</t>
  </si>
  <si>
    <t>LOG-01992</t>
  </si>
  <si>
    <t>LOG-01993</t>
  </si>
  <si>
    <t>LOG-01994</t>
  </si>
  <si>
    <t>LOG-01995</t>
  </si>
  <si>
    <t>LOG-01996</t>
  </si>
  <si>
    <t>LOG-01997</t>
  </si>
  <si>
    <t>LOG-01998</t>
  </si>
  <si>
    <t>LOG-01999</t>
  </si>
  <si>
    <t>LOG-02000</t>
  </si>
  <si>
    <t>LOG-02001</t>
  </si>
  <si>
    <t>LOG-02002</t>
  </si>
  <si>
    <t>LOG-02003</t>
  </si>
  <si>
    <t>LOG-02004</t>
  </si>
  <si>
    <t>LOG-02005</t>
  </si>
  <si>
    <t>LOG-02006</t>
  </si>
  <si>
    <t>LOG-02007</t>
  </si>
  <si>
    <t>LOG-02008</t>
  </si>
  <si>
    <t>LOG-02009</t>
  </si>
  <si>
    <t>LOG-02010</t>
  </si>
  <si>
    <t>LOG-02011</t>
  </si>
  <si>
    <t>LOG-02012</t>
  </si>
  <si>
    <t>LOG-02013</t>
  </si>
  <si>
    <t>LOG-02014</t>
  </si>
  <si>
    <t>LOG-02015</t>
  </si>
  <si>
    <t>LOG-02016</t>
  </si>
  <si>
    <t>LOG-02017</t>
  </si>
  <si>
    <t>LOG-02018</t>
  </si>
  <si>
    <t>LOG-02019</t>
  </si>
  <si>
    <t>LOG-02020</t>
  </si>
  <si>
    <t>LOG-02021</t>
  </si>
  <si>
    <t>LOG-02022</t>
  </si>
  <si>
    <t>LOG-02023</t>
  </si>
  <si>
    <t>LOG-02024</t>
  </si>
  <si>
    <t>LOG-02025</t>
  </si>
  <si>
    <t>LOG-02026</t>
  </si>
  <si>
    <t>LOG-02027</t>
  </si>
  <si>
    <t>LOG-02028</t>
  </si>
  <si>
    <t>LOG-02029</t>
  </si>
  <si>
    <t>LOG-02030</t>
  </si>
  <si>
    <t>LOG-02031</t>
  </si>
  <si>
    <t>LOG-02032</t>
  </si>
  <si>
    <t>LOG-02033</t>
  </si>
  <si>
    <t>LOG-02034</t>
  </si>
  <si>
    <t>LOG-02035</t>
  </si>
  <si>
    <t>LOG-02036</t>
  </si>
  <si>
    <t>LOG-02037</t>
  </si>
  <si>
    <t>LOG-02038</t>
  </si>
  <si>
    <t>LOG-02039</t>
  </si>
  <si>
    <t>LOG-02040</t>
  </si>
  <si>
    <t>LOG-02041</t>
  </si>
  <si>
    <t>LOG-02042</t>
  </si>
  <si>
    <t>LOG-02043</t>
  </si>
  <si>
    <t>LOG-02044</t>
  </si>
  <si>
    <t>LOG-02045</t>
  </si>
  <si>
    <t>LOG-02046</t>
  </si>
  <si>
    <t>LOG-02047</t>
  </si>
  <si>
    <t>LOG-02048</t>
  </si>
  <si>
    <t>LOG-02049</t>
  </si>
  <si>
    <t>LOG-02050</t>
  </si>
  <si>
    <t>LOG-02051</t>
  </si>
  <si>
    <t>LOG-02052</t>
  </si>
  <si>
    <t>LOG-02053</t>
  </si>
  <si>
    <t>LOG-02054</t>
  </si>
  <si>
    <t>LOG-02055</t>
  </si>
  <si>
    <t>LOG-02056</t>
  </si>
  <si>
    <t>LOG-02057</t>
  </si>
  <si>
    <t>LOG-02058</t>
  </si>
  <si>
    <t>LOG-02059</t>
  </si>
  <si>
    <t>LOG-02060</t>
  </si>
  <si>
    <t>LOG-02061</t>
  </si>
  <si>
    <t>LOG-02062</t>
  </si>
  <si>
    <t>LOG-02063</t>
  </si>
  <si>
    <t>LOG-02064</t>
  </si>
  <si>
    <t>LOG-02065</t>
  </si>
  <si>
    <t>LOG-02066</t>
  </si>
  <si>
    <t>LOG-02067</t>
  </si>
  <si>
    <t>LOG-02068</t>
  </si>
  <si>
    <t>LOG-02069</t>
  </si>
  <si>
    <t>LOG-02070</t>
  </si>
  <si>
    <t>LOG-02071</t>
  </si>
  <si>
    <t>LOG-02072</t>
  </si>
  <si>
    <t>LOG-02073</t>
  </si>
  <si>
    <t>LOG-02074</t>
  </si>
  <si>
    <t>LOG-02075</t>
  </si>
  <si>
    <t>LOG-02076</t>
  </si>
  <si>
    <t>LOG-02077</t>
  </si>
  <si>
    <t>LOG-02078</t>
  </si>
  <si>
    <t>LOG-02079</t>
  </si>
  <si>
    <t>LOG-02080</t>
  </si>
  <si>
    <t>LOG-02081</t>
  </si>
  <si>
    <t>LOG-02082</t>
  </si>
  <si>
    <t>LOG-02083</t>
  </si>
  <si>
    <t>LOG-02084</t>
  </si>
  <si>
    <t>LOG-02085</t>
  </si>
  <si>
    <t>LOG-02086</t>
  </si>
  <si>
    <t>LOG-02087</t>
  </si>
  <si>
    <t>LOG-02088</t>
  </si>
  <si>
    <t>LOG-02089</t>
  </si>
  <si>
    <t>LOG-02090</t>
  </si>
  <si>
    <t>LOG-02091</t>
  </si>
  <si>
    <t>LOG-02092</t>
  </si>
  <si>
    <t>LOG-02093</t>
  </si>
  <si>
    <t>LOG-02094</t>
  </si>
  <si>
    <t>LOG-02095</t>
  </si>
  <si>
    <t>LOG-02096</t>
  </si>
  <si>
    <t>LOG-02097</t>
  </si>
  <si>
    <t>LOG-02098</t>
  </si>
  <si>
    <t>LOG-02099</t>
  </si>
  <si>
    <t>LOG-02100</t>
  </si>
  <si>
    <t>LOG-02101</t>
  </si>
  <si>
    <t>LOG-02102</t>
  </si>
  <si>
    <t>LOG-02103</t>
  </si>
  <si>
    <t>LOG-02104</t>
  </si>
  <si>
    <t>LOG-02105</t>
  </si>
  <si>
    <t>LOG-02106</t>
  </si>
  <si>
    <t>LOG-02107</t>
  </si>
  <si>
    <t>LOG-02108</t>
  </si>
  <si>
    <t>LOG-02109</t>
  </si>
  <si>
    <t>LOG-02110</t>
  </si>
  <si>
    <t>LOG-02111</t>
  </si>
  <si>
    <t>LOG-02112</t>
  </si>
  <si>
    <t>LOG-02113</t>
  </si>
  <si>
    <t>LOG-02114</t>
  </si>
  <si>
    <t>LOG-02115</t>
  </si>
  <si>
    <t>LOG-02116</t>
  </si>
  <si>
    <t>LOG-02117</t>
  </si>
  <si>
    <t>LOG-02118</t>
  </si>
  <si>
    <t>LOG-02119</t>
  </si>
  <si>
    <t>LOG-02120</t>
  </si>
  <si>
    <t>LOG-02121</t>
  </si>
  <si>
    <t>LOG-02122</t>
  </si>
  <si>
    <t>LOG-02123</t>
  </si>
  <si>
    <t>LOG-02124</t>
  </si>
  <si>
    <t>LOG-02125</t>
  </si>
  <si>
    <t>LOG-02126</t>
  </si>
  <si>
    <t>LOG-02127</t>
  </si>
  <si>
    <t>LOG-02128</t>
  </si>
  <si>
    <t>LOG-02129</t>
  </si>
  <si>
    <t>LOG-02130</t>
  </si>
  <si>
    <t>LOG-02131</t>
  </si>
  <si>
    <t>LOG-02132</t>
  </si>
  <si>
    <t>LOG-02133</t>
  </si>
  <si>
    <t>LOG-02134</t>
  </si>
  <si>
    <t>LOG-02135</t>
  </si>
  <si>
    <t>LOG-02136</t>
  </si>
  <si>
    <t>LOG-02137</t>
  </si>
  <si>
    <t>LOG-02138</t>
  </si>
  <si>
    <t>LOG-02139</t>
  </si>
  <si>
    <t>LOG-02140</t>
  </si>
  <si>
    <t>LOG-02141</t>
  </si>
  <si>
    <t>LOG-02142</t>
  </si>
  <si>
    <t>LOG-02143</t>
  </si>
  <si>
    <t>LOG-02144</t>
  </si>
  <si>
    <t>LOG-02145</t>
  </si>
  <si>
    <t>LOG-02146</t>
  </si>
  <si>
    <t>LOG-02147</t>
  </si>
  <si>
    <t>LOG-02148</t>
  </si>
  <si>
    <t>LOG-02149</t>
  </si>
  <si>
    <t>LOG-02150</t>
  </si>
  <si>
    <t>LOG-02151</t>
  </si>
  <si>
    <t>LOG-02152</t>
  </si>
  <si>
    <t>LOG-02153</t>
  </si>
  <si>
    <t>LOG-02154</t>
  </si>
  <si>
    <t>LOG-02155</t>
  </si>
  <si>
    <t>LOG-02156</t>
  </si>
  <si>
    <t>LOG-02157</t>
  </si>
  <si>
    <t>LOG-02158</t>
  </si>
  <si>
    <t>LOG-02159</t>
  </si>
  <si>
    <t>LOG-02160</t>
  </si>
  <si>
    <t>LOG-02161</t>
  </si>
  <si>
    <t>LOG-02162</t>
  </si>
  <si>
    <t>LOG-02163</t>
  </si>
  <si>
    <t>LOG-02164</t>
  </si>
  <si>
    <t>LOG-02165</t>
  </si>
  <si>
    <t>LOG-02166</t>
  </si>
  <si>
    <t>LOG-02167</t>
  </si>
  <si>
    <t>LOG-02168</t>
  </si>
  <si>
    <t>LOG-02169</t>
  </si>
  <si>
    <t>LOG-02170</t>
  </si>
  <si>
    <t>LOG-02171</t>
  </si>
  <si>
    <t>LOG-02172</t>
  </si>
  <si>
    <t>LOG-02173</t>
  </si>
  <si>
    <t>LOG-02174</t>
  </si>
  <si>
    <t>LOG-02175</t>
  </si>
  <si>
    <t>LOG-02176</t>
  </si>
  <si>
    <t>LOG-02177</t>
  </si>
  <si>
    <t>LOG-02178</t>
  </si>
  <si>
    <t>LOG-02179</t>
  </si>
  <si>
    <t>LOG-02180</t>
  </si>
  <si>
    <t>LOG-02181</t>
  </si>
  <si>
    <t>LOG-02182</t>
  </si>
  <si>
    <t>LOG-02183</t>
  </si>
  <si>
    <t>LOG-02184</t>
  </si>
  <si>
    <t>LOG-02185</t>
  </si>
  <si>
    <t>LOG-02186</t>
  </si>
  <si>
    <t>LOG-02187</t>
  </si>
  <si>
    <t>LOG-02188</t>
  </si>
  <si>
    <t>LOG-02189</t>
  </si>
  <si>
    <t>LOG-02190</t>
  </si>
  <si>
    <t>LOG-02191</t>
  </si>
  <si>
    <t>LOG-02192</t>
  </si>
  <si>
    <t>LOG-02193</t>
  </si>
  <si>
    <t>LOG-02194</t>
  </si>
  <si>
    <t>LOG-02195</t>
  </si>
  <si>
    <t>LOG-02196</t>
  </si>
  <si>
    <t>LOG-02197</t>
  </si>
  <si>
    <t>LOG-02198</t>
  </si>
  <si>
    <t>LOG-02199</t>
  </si>
  <si>
    <t>LOG-02200</t>
  </si>
  <si>
    <t>LOG-02201</t>
  </si>
  <si>
    <t>LOG-02202</t>
  </si>
  <si>
    <t>LOG-02203</t>
  </si>
  <si>
    <t>LOG-02204</t>
  </si>
  <si>
    <t>LOG-02205</t>
  </si>
  <si>
    <t>LOG-02206</t>
  </si>
  <si>
    <t>LOG-02207</t>
  </si>
  <si>
    <t>LOG-02208</t>
  </si>
  <si>
    <t>LOG-02209</t>
  </si>
  <si>
    <t>LOG-02210</t>
  </si>
  <si>
    <t>LOG-02211</t>
  </si>
  <si>
    <t>LOG-02212</t>
  </si>
  <si>
    <t>LOG-02213</t>
  </si>
  <si>
    <t>LOG-02214</t>
  </si>
  <si>
    <t>LOG-02215</t>
  </si>
  <si>
    <t>LOG-02216</t>
  </si>
  <si>
    <t>LOG-02217</t>
  </si>
  <si>
    <t>LOG-02218</t>
  </si>
  <si>
    <t>LOG-02219</t>
  </si>
  <si>
    <t>LOG-02220</t>
  </si>
  <si>
    <t>LOG-02221</t>
  </si>
  <si>
    <t>LOG-02222</t>
  </si>
  <si>
    <t>LOG-02223</t>
  </si>
  <si>
    <t>LOG-02224</t>
  </si>
  <si>
    <t>LOG-02225</t>
  </si>
  <si>
    <t>LOG-02226</t>
  </si>
  <si>
    <t>LOG-02227</t>
  </si>
  <si>
    <t>LOG-02228</t>
  </si>
  <si>
    <t>LOG-02229</t>
  </si>
  <si>
    <t>LOG-02230</t>
  </si>
  <si>
    <t>LOG-02231</t>
  </si>
  <si>
    <t>LOG-02232</t>
  </si>
  <si>
    <t>LOG-02233</t>
  </si>
  <si>
    <t>LOG-02234</t>
  </si>
  <si>
    <t>LOG-02235</t>
  </si>
  <si>
    <t>LOG-02236</t>
  </si>
  <si>
    <t>LOG-02237</t>
  </si>
  <si>
    <t>LOG-02238</t>
  </si>
  <si>
    <t>LOG-02239</t>
  </si>
  <si>
    <t>LOG-02240</t>
  </si>
  <si>
    <t>LOG-02241</t>
  </si>
  <si>
    <t>LOG-02242</t>
  </si>
  <si>
    <t>LOG-02243</t>
  </si>
  <si>
    <t>LOG-02244</t>
  </si>
  <si>
    <t>LOG-02245</t>
  </si>
  <si>
    <t>LOG-02246</t>
  </si>
  <si>
    <t>LOG-02247</t>
  </si>
  <si>
    <t>LOG-02248</t>
  </si>
  <si>
    <t>LOG-02249</t>
  </si>
  <si>
    <t>LOG-02250</t>
  </si>
  <si>
    <t>LOG-02251</t>
  </si>
  <si>
    <t>LOG-02252</t>
  </si>
  <si>
    <t>LOG-02253</t>
  </si>
  <si>
    <t>LOG-02254</t>
  </si>
  <si>
    <t>LOG-02255</t>
  </si>
  <si>
    <t>LOG-02256</t>
  </si>
  <si>
    <t>LOG-02257</t>
  </si>
  <si>
    <t>LOG-02258</t>
  </si>
  <si>
    <t>LOG-02259</t>
  </si>
  <si>
    <t>LOG-02260</t>
  </si>
  <si>
    <t>LOG-02261</t>
  </si>
  <si>
    <t>LOG-02262</t>
  </si>
  <si>
    <t>LOG-02263</t>
  </si>
  <si>
    <t>LOG-02264</t>
  </si>
  <si>
    <t>LOG-02265</t>
  </si>
  <si>
    <t>LOG-02266</t>
  </si>
  <si>
    <t>LOG-02267</t>
  </si>
  <si>
    <t>LOG-02268</t>
  </si>
  <si>
    <t>LOG-02269</t>
  </si>
  <si>
    <t>LOG-02270</t>
  </si>
  <si>
    <t>LOG-02271</t>
  </si>
  <si>
    <t>LOG-02272</t>
  </si>
  <si>
    <t>LOG-02273</t>
  </si>
  <si>
    <t>LOG-02274</t>
  </si>
  <si>
    <t>LOG-02275</t>
  </si>
  <si>
    <t>LOG-02276</t>
  </si>
  <si>
    <t>LOG-02277</t>
  </si>
  <si>
    <t>LOG-02278</t>
  </si>
  <si>
    <t>LOG-02279</t>
  </si>
  <si>
    <t>LOG-02280</t>
  </si>
  <si>
    <t>LOG-02281</t>
  </si>
  <si>
    <t>LOG-02282</t>
  </si>
  <si>
    <t>LOG-02283</t>
  </si>
  <si>
    <t>LOG-02284</t>
  </si>
  <si>
    <t>LOG-02285</t>
  </si>
  <si>
    <t>LOG-02286</t>
  </si>
  <si>
    <t>LOG-02287</t>
  </si>
  <si>
    <t>LOG-02288</t>
  </si>
  <si>
    <t>LOG-02289</t>
  </si>
  <si>
    <t>LOG-02290</t>
  </si>
  <si>
    <t>LOG-02291</t>
  </si>
  <si>
    <t>LOG-02292</t>
  </si>
  <si>
    <t>LOG-02293</t>
  </si>
  <si>
    <t>LOG-02294</t>
  </si>
  <si>
    <t>LOG-02295</t>
  </si>
  <si>
    <t>LOG-02296</t>
  </si>
  <si>
    <t>LOG-02297</t>
  </si>
  <si>
    <t>LOG-02298</t>
  </si>
  <si>
    <t>LOG-02299</t>
  </si>
  <si>
    <t>LOG-02300</t>
  </si>
  <si>
    <t>LOG-02301</t>
  </si>
  <si>
    <t>LOG-02302</t>
  </si>
  <si>
    <t>LOG-02303</t>
  </si>
  <si>
    <t>LOG-02304</t>
  </si>
  <si>
    <t>LOG-02305</t>
  </si>
  <si>
    <t>LOG-02306</t>
  </si>
  <si>
    <t>LOG-02307</t>
  </si>
  <si>
    <t>LOG-02308</t>
  </si>
  <si>
    <t>LOG-02309</t>
  </si>
  <si>
    <t>LOG-02310</t>
  </si>
  <si>
    <t>LOG-02311</t>
  </si>
  <si>
    <t>LOG-02312</t>
  </si>
  <si>
    <t>LOG-02313</t>
  </si>
  <si>
    <t>LOG-02314</t>
  </si>
  <si>
    <t>LOG-02315</t>
  </si>
  <si>
    <t>LOG-02316</t>
  </si>
  <si>
    <t>LOG-02317</t>
  </si>
  <si>
    <t>LOG-02318</t>
  </si>
  <si>
    <t>LOG-02319</t>
  </si>
  <si>
    <t>LOG-02320</t>
  </si>
  <si>
    <t>LOG-02321</t>
  </si>
  <si>
    <t>LOG-02322</t>
  </si>
  <si>
    <t>LOG-02323</t>
  </si>
  <si>
    <t>LOG-02324</t>
  </si>
  <si>
    <t>LOG-02325</t>
  </si>
  <si>
    <t>LOG-02326</t>
  </si>
  <si>
    <t>LOG-02327</t>
  </si>
  <si>
    <t>LOG-02328</t>
  </si>
  <si>
    <t>LOG-02329</t>
  </si>
  <si>
    <t>LOG-02330</t>
  </si>
  <si>
    <t>LOG-02331</t>
  </si>
  <si>
    <t>LOG-02332</t>
  </si>
  <si>
    <t>LOG-02333</t>
  </si>
  <si>
    <t>LOG-02334</t>
  </si>
  <si>
    <t>LOG-02335</t>
  </si>
  <si>
    <t>LOG-02336</t>
  </si>
  <si>
    <t>LOG-02337</t>
  </si>
  <si>
    <t>LOG-02338</t>
  </si>
  <si>
    <t>LOG-02339</t>
  </si>
  <si>
    <t>LOG-02340</t>
  </si>
  <si>
    <t>LOG-02341</t>
  </si>
  <si>
    <t>LOG-02342</t>
  </si>
  <si>
    <t>LOG-02343</t>
  </si>
  <si>
    <t>LOG-02344</t>
  </si>
  <si>
    <t>LOG-02345</t>
  </si>
  <si>
    <t>LOG-02346</t>
  </si>
  <si>
    <t>LOG-02347</t>
  </si>
  <si>
    <t>LOG-02348</t>
  </si>
  <si>
    <t>LOG-02349</t>
  </si>
  <si>
    <t>LOG-02350</t>
  </si>
  <si>
    <t>LOG-02351</t>
  </si>
  <si>
    <t>LOG-02352</t>
  </si>
  <si>
    <t>LOG-02353</t>
  </si>
  <si>
    <t>LOG-02354</t>
  </si>
  <si>
    <t>LOG-02355</t>
  </si>
  <si>
    <t>LOG-02356</t>
  </si>
  <si>
    <t>LOG-02357</t>
  </si>
  <si>
    <t>LOG-02358</t>
  </si>
  <si>
    <t>LOG-02359</t>
  </si>
  <si>
    <t>LOG-02360</t>
  </si>
  <si>
    <t>LOG-02361</t>
  </si>
  <si>
    <t>LOG-02362</t>
  </si>
  <si>
    <t>LOG-02363</t>
  </si>
  <si>
    <t>LOG-02364</t>
  </si>
  <si>
    <t>LOG-02365</t>
  </si>
  <si>
    <t>LOG-02366</t>
  </si>
  <si>
    <t>LOG-02367</t>
  </si>
  <si>
    <t>LOG-02368</t>
  </si>
  <si>
    <t>LOG-02369</t>
  </si>
  <si>
    <t>LOG-02370</t>
  </si>
  <si>
    <t>LOG-02371</t>
  </si>
  <si>
    <t>LOG-02372</t>
  </si>
  <si>
    <t>LOG-02373</t>
  </si>
  <si>
    <t>LOG-02374</t>
  </si>
  <si>
    <t>LOG-02375</t>
  </si>
  <si>
    <t>LOG-02376</t>
  </si>
  <si>
    <t>LOG-02377</t>
  </si>
  <si>
    <t>LOG-02378</t>
  </si>
  <si>
    <t>LOG-02379</t>
  </si>
  <si>
    <t>LOG-02380</t>
  </si>
  <si>
    <t>LOG-02381</t>
  </si>
  <si>
    <t>LOG-02382</t>
  </si>
  <si>
    <t>LOG-02383</t>
  </si>
  <si>
    <t>LOG-02384</t>
  </si>
  <si>
    <t>LOG-02385</t>
  </si>
  <si>
    <t>LOG-02386</t>
  </si>
  <si>
    <t>LOG-02387</t>
  </si>
  <si>
    <t>alejandro.rios@empresa-demo.com</t>
  </si>
  <si>
    <t>LOG-02388</t>
  </si>
  <si>
    <t>LOG-02389</t>
  </si>
  <si>
    <t>LOG-02390</t>
  </si>
  <si>
    <t>LOG-02391</t>
  </si>
  <si>
    <t>LOG-02392</t>
  </si>
  <si>
    <t>LOG-02393</t>
  </si>
  <si>
    <t>LOG-02394</t>
  </si>
  <si>
    <t>LOG-02395</t>
  </si>
  <si>
    <t>LOG-02396</t>
  </si>
  <si>
    <t>LOG-02397</t>
  </si>
  <si>
    <t>LOG-02398</t>
  </si>
  <si>
    <t>LOG-02399</t>
  </si>
  <si>
    <t>LOG-02400</t>
  </si>
  <si>
    <t>LOG-02401</t>
  </si>
  <si>
    <t>LOG-02402</t>
  </si>
  <si>
    <t>LOG-02403</t>
  </si>
  <si>
    <t>LOG-02404</t>
  </si>
  <si>
    <t>LOG-02405</t>
  </si>
  <si>
    <t>LOG-02406</t>
  </si>
  <si>
    <t>LOG-02407</t>
  </si>
  <si>
    <t>LOG-02408</t>
  </si>
  <si>
    <t>LOG-02409</t>
  </si>
  <si>
    <t>LOG-02410</t>
  </si>
  <si>
    <t>LOG-02411</t>
  </si>
  <si>
    <t>LOG-02412</t>
  </si>
  <si>
    <t>LOG-02413</t>
  </si>
  <si>
    <t>LOG-02414</t>
  </si>
  <si>
    <t>LOG-02415</t>
  </si>
  <si>
    <t>LOG-02416</t>
  </si>
  <si>
    <t>LOG-02417</t>
  </si>
  <si>
    <t>LOG-02418</t>
  </si>
  <si>
    <t>LOG-02419</t>
  </si>
  <si>
    <t>LOG-02420</t>
  </si>
  <si>
    <t>LOG-02421</t>
  </si>
  <si>
    <t>LOG-02422</t>
  </si>
  <si>
    <t>LOG-02423</t>
  </si>
  <si>
    <t>LOG-02424</t>
  </si>
  <si>
    <t>LOG-02425</t>
  </si>
  <si>
    <t>LOG-02426</t>
  </si>
  <si>
    <t>LOG-02427</t>
  </si>
  <si>
    <t>LOG-02428</t>
  </si>
  <si>
    <t>LOG-02429</t>
  </si>
  <si>
    <t>LOG-02430</t>
  </si>
  <si>
    <t>LOG-02431</t>
  </si>
  <si>
    <t>LOG-02432</t>
  </si>
  <si>
    <t>LOG-02433</t>
  </si>
  <si>
    <t>LOG-02434</t>
  </si>
  <si>
    <t>LOG-02435</t>
  </si>
  <si>
    <t>LOG-02436</t>
  </si>
  <si>
    <t>LOG-02437</t>
  </si>
  <si>
    <t>LOG-02438</t>
  </si>
  <si>
    <t>LOG-02439</t>
  </si>
  <si>
    <t>LOG-02440</t>
  </si>
  <si>
    <t>LOG-02441</t>
  </si>
  <si>
    <t>LOG-02442</t>
  </si>
  <si>
    <t>LOG-02443</t>
  </si>
  <si>
    <t>LOG-02444</t>
  </si>
  <si>
    <t>LOG-02445</t>
  </si>
  <si>
    <t>LOG-02446</t>
  </si>
  <si>
    <t>LOG-02447</t>
  </si>
  <si>
    <t>LOG-02448</t>
  </si>
  <si>
    <t>LOG-02449</t>
  </si>
  <si>
    <t>LOG-02450</t>
  </si>
  <si>
    <t>LOG-02451</t>
  </si>
  <si>
    <t>LOG-02452</t>
  </si>
  <si>
    <t>LOG-02453</t>
  </si>
  <si>
    <t>LOG-02454</t>
  </si>
  <si>
    <t>LOG-02455</t>
  </si>
  <si>
    <t>LOG-02456</t>
  </si>
  <si>
    <t>LOG-02457</t>
  </si>
  <si>
    <t>LOG-02458</t>
  </si>
  <si>
    <t>LOG-02459</t>
  </si>
  <si>
    <t>LOG-02460</t>
  </si>
  <si>
    <t>LOG-02461</t>
  </si>
  <si>
    <t>LOG-02462</t>
  </si>
  <si>
    <t>LOG-02463</t>
  </si>
  <si>
    <t>LOG-02464</t>
  </si>
  <si>
    <t>LOG-02465</t>
  </si>
  <si>
    <t>LOG-02466</t>
  </si>
  <si>
    <t>LOG-02467</t>
  </si>
  <si>
    <t>LOG-02468</t>
  </si>
  <si>
    <t>LOG-02469</t>
  </si>
  <si>
    <t>LOG-02470</t>
  </si>
  <si>
    <t>LOG-02471</t>
  </si>
  <si>
    <t>LOG-02472</t>
  </si>
  <si>
    <t>LOG-02473</t>
  </si>
  <si>
    <t>LOG-02474</t>
  </si>
  <si>
    <t>LOG-02475</t>
  </si>
  <si>
    <t>LOG-02476</t>
  </si>
  <si>
    <t>LOG-02477</t>
  </si>
  <si>
    <t>LOG-02478</t>
  </si>
  <si>
    <t>LOG-02479</t>
  </si>
  <si>
    <t>LOG-02480</t>
  </si>
  <si>
    <t>LOG-02481</t>
  </si>
  <si>
    <t>LOG-02482</t>
  </si>
  <si>
    <t>LOG-02483</t>
  </si>
  <si>
    <t>LOG-02484</t>
  </si>
  <si>
    <t>LOG-02485</t>
  </si>
  <si>
    <t>LOG-02486</t>
  </si>
  <si>
    <t>LOG-02487</t>
  </si>
  <si>
    <t>LOG-02488</t>
  </si>
  <si>
    <t>LOG-02489</t>
  </si>
  <si>
    <t>LOG-02490</t>
  </si>
  <si>
    <t>LOG-02491</t>
  </si>
  <si>
    <t>LOG-02492</t>
  </si>
  <si>
    <t>LOG-02493</t>
  </si>
  <si>
    <t>LOG-02494</t>
  </si>
  <si>
    <t>LOG-02495</t>
  </si>
  <si>
    <t>LOG-02496</t>
  </si>
  <si>
    <t>LOG-02497</t>
  </si>
  <si>
    <t>LOG-02498</t>
  </si>
  <si>
    <t>LOG-02499</t>
  </si>
  <si>
    <t>LOG-02500</t>
  </si>
  <si>
    <t>LOG-02501</t>
  </si>
  <si>
    <t>LOG-02502</t>
  </si>
  <si>
    <t>LOG-02503</t>
  </si>
  <si>
    <t>LOG-02504</t>
  </si>
  <si>
    <t>LOG-02505</t>
  </si>
  <si>
    <t>LOG-02506</t>
  </si>
  <si>
    <t>LOG-02507</t>
  </si>
  <si>
    <t>LOG-02508</t>
  </si>
  <si>
    <t>LOG-02509</t>
  </si>
  <si>
    <t>LOG-02510</t>
  </si>
  <si>
    <t>LOG-02511</t>
  </si>
  <si>
    <t>LOG-02512</t>
  </si>
  <si>
    <t>LOG-02513</t>
  </si>
  <si>
    <t>LOG-02514</t>
  </si>
  <si>
    <t>LOG-02515</t>
  </si>
  <si>
    <t>LOG-02516</t>
  </si>
  <si>
    <t>LOG-02517</t>
  </si>
  <si>
    <t>LOG-02518</t>
  </si>
  <si>
    <t>LOG-02519</t>
  </si>
  <si>
    <t>LOG-02520</t>
  </si>
  <si>
    <t>LOG-02521</t>
  </si>
  <si>
    <t>LOG-02522</t>
  </si>
  <si>
    <t>LOG-02523</t>
  </si>
  <si>
    <t>LOG-02524</t>
  </si>
  <si>
    <t>LOG-02525</t>
  </si>
  <si>
    <t>LOG-02526</t>
  </si>
  <si>
    <t>LOG-02527</t>
  </si>
  <si>
    <t>LOG-02528</t>
  </si>
  <si>
    <t>LOG-02529</t>
  </si>
  <si>
    <t>LOG-02530</t>
  </si>
  <si>
    <t>LOG-02531</t>
  </si>
  <si>
    <t>LOG-02532</t>
  </si>
  <si>
    <t>LOG-02533</t>
  </si>
  <si>
    <t>LOG-02534</t>
  </si>
  <si>
    <t>LOG-02535</t>
  </si>
  <si>
    <t>LOG-02536</t>
  </si>
  <si>
    <t>LOG-02537</t>
  </si>
  <si>
    <t>LOG-02538</t>
  </si>
  <si>
    <t>LOG-02539</t>
  </si>
  <si>
    <t>LOG-02540</t>
  </si>
  <si>
    <t>LOG-02541</t>
  </si>
  <si>
    <t>LOG-02542</t>
  </si>
  <si>
    <t>LOG-02543</t>
  </si>
  <si>
    <t>LOG-02544</t>
  </si>
  <si>
    <t>LOG-02545</t>
  </si>
  <si>
    <t>LOG-02546</t>
  </si>
  <si>
    <t>LOG-02547</t>
  </si>
  <si>
    <t>LOG-02548</t>
  </si>
  <si>
    <t>LOG-02549</t>
  </si>
  <si>
    <t>LOG-02550</t>
  </si>
  <si>
    <t>LOG-02551</t>
  </si>
  <si>
    <t>LOG-02552</t>
  </si>
  <si>
    <t>LOG-02553</t>
  </si>
  <si>
    <t>LOG-02554</t>
  </si>
  <si>
    <t>LOG-02555</t>
  </si>
  <si>
    <t>LOG-02556</t>
  </si>
  <si>
    <t>LOG-02557</t>
  </si>
  <si>
    <t>LOG-02558</t>
  </si>
  <si>
    <t>LOG-02559</t>
  </si>
  <si>
    <t>LOG-02560</t>
  </si>
  <si>
    <t>LOG-02561</t>
  </si>
  <si>
    <t>LOG-02562</t>
  </si>
  <si>
    <t>LOG-02563</t>
  </si>
  <si>
    <t>LOG-02564</t>
  </si>
  <si>
    <t>LOG-02565</t>
  </si>
  <si>
    <t>LOG-02566</t>
  </si>
  <si>
    <t>LOG-02567</t>
  </si>
  <si>
    <t>LOG-02568</t>
  </si>
  <si>
    <t>LOG-02569</t>
  </si>
  <si>
    <t>LOG-02570</t>
  </si>
  <si>
    <t>LOG-02571</t>
  </si>
  <si>
    <t>LOG-02572</t>
  </si>
  <si>
    <t>LOG-02573</t>
  </si>
  <si>
    <t>LOG-02574</t>
  </si>
  <si>
    <t>LOG-02575</t>
  </si>
  <si>
    <t>LOG-02576</t>
  </si>
  <si>
    <t>LOG-02577</t>
  </si>
  <si>
    <t>LOG-02578</t>
  </si>
  <si>
    <t>LOG-02579</t>
  </si>
  <si>
    <t>LOG-02580</t>
  </si>
  <si>
    <t>LOG-02581</t>
  </si>
  <si>
    <t>LOG-02582</t>
  </si>
  <si>
    <t>LOG-02583</t>
  </si>
  <si>
    <t>LOG-02584</t>
  </si>
  <si>
    <t>LOG-02585</t>
  </si>
  <si>
    <t>LOG-02586</t>
  </si>
  <si>
    <t>LOG-02587</t>
  </si>
  <si>
    <t>LOG-02588</t>
  </si>
  <si>
    <t>LOG-02589</t>
  </si>
  <si>
    <t>LOG-02590</t>
  </si>
  <si>
    <t>LOG-02591</t>
  </si>
  <si>
    <t>LOG-02592</t>
  </si>
  <si>
    <t>LOG-02593</t>
  </si>
  <si>
    <t>LOG-02594</t>
  </si>
  <si>
    <t>LOG-02595</t>
  </si>
  <si>
    <t>LOG-02596</t>
  </si>
  <si>
    <t>LOG-02597</t>
  </si>
  <si>
    <t>LOG-02598</t>
  </si>
  <si>
    <t>LOG-02599</t>
  </si>
  <si>
    <t>LOG-02600</t>
  </si>
  <si>
    <t>LOG-02601</t>
  </si>
  <si>
    <t>LOG-02602</t>
  </si>
  <si>
    <t>LOG-02603</t>
  </si>
  <si>
    <t>LOG-02604</t>
  </si>
  <si>
    <t>LOG-02605</t>
  </si>
  <si>
    <t>LOG-02606</t>
  </si>
  <si>
    <t>LOG-02607</t>
  </si>
  <si>
    <t>LOG-02608</t>
  </si>
  <si>
    <t>LOG-02609</t>
  </si>
  <si>
    <t>LOG-02610</t>
  </si>
  <si>
    <t>LOG-02611</t>
  </si>
  <si>
    <t>LOG-02612</t>
  </si>
  <si>
    <t>LOG-02613</t>
  </si>
  <si>
    <t>LOG-02614</t>
  </si>
  <si>
    <t>LOG-02615</t>
  </si>
  <si>
    <t>LOG-02616</t>
  </si>
  <si>
    <t>LOG-02617</t>
  </si>
  <si>
    <t>LOG-02618</t>
  </si>
  <si>
    <t>LOG-02619</t>
  </si>
  <si>
    <t>LOG-02620</t>
  </si>
  <si>
    <t>LOG-02621</t>
  </si>
  <si>
    <t>LOG-02622</t>
  </si>
  <si>
    <t>LOG-02623</t>
  </si>
  <si>
    <t>LOG-02624</t>
  </si>
  <si>
    <t>LOG-02625</t>
  </si>
  <si>
    <t>LOG-02626</t>
  </si>
  <si>
    <t>LOG-02627</t>
  </si>
  <si>
    <t>LOG-02628</t>
  </si>
  <si>
    <t>LOG-02629</t>
  </si>
  <si>
    <t>LOG-02630</t>
  </si>
  <si>
    <t>LOG-02631</t>
  </si>
  <si>
    <t>LOG-02632</t>
  </si>
  <si>
    <t>LOG-02633</t>
  </si>
  <si>
    <t>LOG-02634</t>
  </si>
  <si>
    <t>LOG-02635</t>
  </si>
  <si>
    <t>LOG-02636</t>
  </si>
  <si>
    <t>LOG-02637</t>
  </si>
  <si>
    <t>LOG-02638</t>
  </si>
  <si>
    <t>LOG-02639</t>
  </si>
  <si>
    <t>LOG-02640</t>
  </si>
  <si>
    <t>LOG-02641</t>
  </si>
  <si>
    <t>LOG-02642</t>
  </si>
  <si>
    <t>LOG-02643</t>
  </si>
  <si>
    <t>LOG-02644</t>
  </si>
  <si>
    <t>LOG-02645</t>
  </si>
  <si>
    <t>LOG-02646</t>
  </si>
  <si>
    <t>LOG-02647</t>
  </si>
  <si>
    <t>LOG-02648</t>
  </si>
  <si>
    <t>LOG-02649</t>
  </si>
  <si>
    <t>LOG-02650</t>
  </si>
  <si>
    <t>LOG-02651</t>
  </si>
  <si>
    <t>LOG-02652</t>
  </si>
  <si>
    <t>LOG-02653</t>
  </si>
  <si>
    <t>LOG-02654</t>
  </si>
  <si>
    <t>LOG-02655</t>
  </si>
  <si>
    <t>LOG-02656</t>
  </si>
  <si>
    <t>LOG-02657</t>
  </si>
  <si>
    <t>LOG-02658</t>
  </si>
  <si>
    <t>LOG-02659</t>
  </si>
  <si>
    <t>LOG-02660</t>
  </si>
  <si>
    <t>LOG-02661</t>
  </si>
  <si>
    <t>LOG-02662</t>
  </si>
  <si>
    <t>LOG-02663</t>
  </si>
  <si>
    <t>LOG-02664</t>
  </si>
  <si>
    <t>LOG-02665</t>
  </si>
  <si>
    <t>LOG-02666</t>
  </si>
  <si>
    <t>LOG-02667</t>
  </si>
  <si>
    <t>LOG-02668</t>
  </si>
  <si>
    <t>LOG-02669</t>
  </si>
  <si>
    <t>LOG-02670</t>
  </si>
  <si>
    <t>LOG-02671</t>
  </si>
  <si>
    <t>LOG-02672</t>
  </si>
  <si>
    <t>LOG-02673</t>
  </si>
  <si>
    <t>LOG-02674</t>
  </si>
  <si>
    <t>LOG-02675</t>
  </si>
  <si>
    <t>LOG-02676</t>
  </si>
  <si>
    <t>LOG-02677</t>
  </si>
  <si>
    <t>LOG-02678</t>
  </si>
  <si>
    <t>LOG-02679</t>
  </si>
  <si>
    <t>LOG-02680</t>
  </si>
  <si>
    <t>LOG-02681</t>
  </si>
  <si>
    <t>LOG-02682</t>
  </si>
  <si>
    <t>LOG-02683</t>
  </si>
  <si>
    <t>LOG-02684</t>
  </si>
  <si>
    <t>LOG-02685</t>
  </si>
  <si>
    <t>LOG-02686</t>
  </si>
  <si>
    <t>LOG-02687</t>
  </si>
  <si>
    <t>LOG-02688</t>
  </si>
  <si>
    <t>LOG-02689</t>
  </si>
  <si>
    <t>LOG-02690</t>
  </si>
  <si>
    <t>LOG-02691</t>
  </si>
  <si>
    <t>LOG-02692</t>
  </si>
  <si>
    <t>LOG-02693</t>
  </si>
  <si>
    <t>LOG-02694</t>
  </si>
  <si>
    <t>LOG-02695</t>
  </si>
  <si>
    <t>LOG-02696</t>
  </si>
  <si>
    <t>LOG-02697</t>
  </si>
  <si>
    <t>LOG-02698</t>
  </si>
  <si>
    <t>LOG-02699</t>
  </si>
  <si>
    <t>LOG-02700</t>
  </si>
  <si>
    <t>LOG-02701</t>
  </si>
  <si>
    <t>LOG-02702</t>
  </si>
  <si>
    <t>LOG-02703</t>
  </si>
  <si>
    <t>LOG-02704</t>
  </si>
  <si>
    <t>LOG-02705</t>
  </si>
  <si>
    <t>LOG-02706</t>
  </si>
  <si>
    <t>LOG-02707</t>
  </si>
  <si>
    <t>LOG-02708</t>
  </si>
  <si>
    <t>LOG-02709</t>
  </si>
  <si>
    <t>LOG-02710</t>
  </si>
  <si>
    <t>LOG-02711</t>
  </si>
  <si>
    <t>LOG-02712</t>
  </si>
  <si>
    <t>LOG-02713</t>
  </si>
  <si>
    <t>LOG-02714</t>
  </si>
  <si>
    <t>LOG-02715</t>
  </si>
  <si>
    <t>LOG-02716</t>
  </si>
  <si>
    <t>LOG-02717</t>
  </si>
  <si>
    <t>LOG-02718</t>
  </si>
  <si>
    <t>LOG-02719</t>
  </si>
  <si>
    <t>LOG-02720</t>
  </si>
  <si>
    <t>LOG-02721</t>
  </si>
  <si>
    <t>LOG-02722</t>
  </si>
  <si>
    <t>LOG-02723</t>
  </si>
  <si>
    <t>LOG-02724</t>
  </si>
  <si>
    <t>LOG-02725</t>
  </si>
  <si>
    <t>LOG-02726</t>
  </si>
  <si>
    <t>LOG-02727</t>
  </si>
  <si>
    <t>LOG-02728</t>
  </si>
  <si>
    <t>LOG-02729</t>
  </si>
  <si>
    <t>LOG-02730</t>
  </si>
  <si>
    <t>LOG-02731</t>
  </si>
  <si>
    <t>LOG-02732</t>
  </si>
  <si>
    <t>LOG-02733</t>
  </si>
  <si>
    <t>LOG-02734</t>
  </si>
  <si>
    <t>LOG-02735</t>
  </si>
  <si>
    <t>LOG-02736</t>
  </si>
  <si>
    <t>LOG-02737</t>
  </si>
  <si>
    <t>LOG-02738</t>
  </si>
  <si>
    <t>LOG-02739</t>
  </si>
  <si>
    <t>LOG-02740</t>
  </si>
  <si>
    <t>LOG-02741</t>
  </si>
  <si>
    <t>LOG-02742</t>
  </si>
  <si>
    <t>LOG-02743</t>
  </si>
  <si>
    <t>LOG-02744</t>
  </si>
  <si>
    <t>LOG-02745</t>
  </si>
  <si>
    <t>LOG-02746</t>
  </si>
  <si>
    <t>LOG-02747</t>
  </si>
  <si>
    <t>LOG-02748</t>
  </si>
  <si>
    <t>LOG-02749</t>
  </si>
  <si>
    <t>LOG-02750</t>
  </si>
  <si>
    <t>LOG-02751</t>
  </si>
  <si>
    <t>LOG-02752</t>
  </si>
  <si>
    <t>LOG-02753</t>
  </si>
  <si>
    <t>LOG-02754</t>
  </si>
  <si>
    <t>LOG-02755</t>
  </si>
  <si>
    <t>LOG-02756</t>
  </si>
  <si>
    <t>LOG-02757</t>
  </si>
  <si>
    <t>LOG-02758</t>
  </si>
  <si>
    <t>LOG-02759</t>
  </si>
  <si>
    <t>LOG-02760</t>
  </si>
  <si>
    <t>LOG-02761</t>
  </si>
  <si>
    <t>LOG-02762</t>
  </si>
  <si>
    <t>LOG-02763</t>
  </si>
  <si>
    <t>LOG-02764</t>
  </si>
  <si>
    <t>LOG-02765</t>
  </si>
  <si>
    <t>LOG-02766</t>
  </si>
  <si>
    <t>LOG-02767</t>
  </si>
  <si>
    <t>LOG-02768</t>
  </si>
  <si>
    <t>LOG-02769</t>
  </si>
  <si>
    <t>LOG-02770</t>
  </si>
  <si>
    <t>LOG-02771</t>
  </si>
  <si>
    <t>LOG-02772</t>
  </si>
  <si>
    <t>LOG-02773</t>
  </si>
  <si>
    <t>LOG-02774</t>
  </si>
  <si>
    <t>LOG-02775</t>
  </si>
  <si>
    <t>LOG-02776</t>
  </si>
  <si>
    <t>LOG-02777</t>
  </si>
  <si>
    <t>LOG-02778</t>
  </si>
  <si>
    <t>LOG-02779</t>
  </si>
  <si>
    <t>LOG-02780</t>
  </si>
  <si>
    <t>LOG-02781</t>
  </si>
  <si>
    <t>LOG-02782</t>
  </si>
  <si>
    <t>LOG-02783</t>
  </si>
  <si>
    <t>LOG-02784</t>
  </si>
  <si>
    <t>LOG-02785</t>
  </si>
  <si>
    <t>LOG-02786</t>
  </si>
  <si>
    <t>LOG-02787</t>
  </si>
  <si>
    <t>LOG-02788</t>
  </si>
  <si>
    <t>LOG-02789</t>
  </si>
  <si>
    <t>LOG-02790</t>
  </si>
  <si>
    <t>LOG-02791</t>
  </si>
  <si>
    <t>LOG-02792</t>
  </si>
  <si>
    <t>LOG-02793</t>
  </si>
  <si>
    <t>LOG-02794</t>
  </si>
  <si>
    <t>LOG-02795</t>
  </si>
  <si>
    <t>LOG-02796</t>
  </si>
  <si>
    <t>LOG-02797</t>
  </si>
  <si>
    <t>LOG-02798</t>
  </si>
  <si>
    <t>LOG-02799</t>
  </si>
  <si>
    <t>LOG-02800</t>
  </si>
  <si>
    <t>LOG-02801</t>
  </si>
  <si>
    <t>LOG-02802</t>
  </si>
  <si>
    <t>LOG-02803</t>
  </si>
  <si>
    <t>LOG-02804</t>
  </si>
  <si>
    <t>LOG-02805</t>
  </si>
  <si>
    <t>LOG-02806</t>
  </si>
  <si>
    <t>LOG-02807</t>
  </si>
  <si>
    <t>LOG-02808</t>
  </si>
  <si>
    <t>LOG-02809</t>
  </si>
  <si>
    <t>LOG-02810</t>
  </si>
  <si>
    <t>LOG-02811</t>
  </si>
  <si>
    <t>LOG-02812</t>
  </si>
  <si>
    <t>LOG-02813</t>
  </si>
  <si>
    <t>LOG-02814</t>
  </si>
  <si>
    <t>LOG-02815</t>
  </si>
  <si>
    <t>LOG-02816</t>
  </si>
  <si>
    <t>LOG-02817</t>
  </si>
  <si>
    <t>LOG-02818</t>
  </si>
  <si>
    <t>LOG-02819</t>
  </si>
  <si>
    <t>LOG-02820</t>
  </si>
  <si>
    <t>LOG-02821</t>
  </si>
  <si>
    <t>LOG-02822</t>
  </si>
  <si>
    <t>LOG-02823</t>
  </si>
  <si>
    <t>LOG-02824</t>
  </si>
  <si>
    <t>LOG-02825</t>
  </si>
  <si>
    <t>LOG-02826</t>
  </si>
  <si>
    <t>LOG-02827</t>
  </si>
  <si>
    <t>LOG-02828</t>
  </si>
  <si>
    <t>LOG-02829</t>
  </si>
  <si>
    <t>LOG-02830</t>
  </si>
  <si>
    <t>LOG-02831</t>
  </si>
  <si>
    <t>LOG-02832</t>
  </si>
  <si>
    <t>LOG-02833</t>
  </si>
  <si>
    <t>LOG-02834</t>
  </si>
  <si>
    <t>LOG-02835</t>
  </si>
  <si>
    <t>LOG-02836</t>
  </si>
  <si>
    <t>LOG-02837</t>
  </si>
  <si>
    <t>LOG-02838</t>
  </si>
  <si>
    <t>LOG-02839</t>
  </si>
  <si>
    <t>LOG-02840</t>
  </si>
  <si>
    <t>LOG-02841</t>
  </si>
  <si>
    <t>LOG-02842</t>
  </si>
  <si>
    <t>LOG-02843</t>
  </si>
  <si>
    <t>LOG-02844</t>
  </si>
  <si>
    <t>LOG-02845</t>
  </si>
  <si>
    <t>LOG-02846</t>
  </si>
  <si>
    <t>LOG-02847</t>
  </si>
  <si>
    <t>LOG-02848</t>
  </si>
  <si>
    <t>LOG-02849</t>
  </si>
  <si>
    <t>LOG-02850</t>
  </si>
  <si>
    <t>LOG-02851</t>
  </si>
  <si>
    <t>LOG-02852</t>
  </si>
  <si>
    <t>LOG-02853</t>
  </si>
  <si>
    <t>LOG-02854</t>
  </si>
  <si>
    <t>LOG-02855</t>
  </si>
  <si>
    <t>LOG-02856</t>
  </si>
  <si>
    <t>LOG-02857</t>
  </si>
  <si>
    <t>LOG-02858</t>
  </si>
  <si>
    <t>LOG-02859</t>
  </si>
  <si>
    <t>LOG-02860</t>
  </si>
  <si>
    <t>LOG-02861</t>
  </si>
  <si>
    <t>LOG-02862</t>
  </si>
  <si>
    <t>LOG-02863</t>
  </si>
  <si>
    <t>LOG-02864</t>
  </si>
  <si>
    <t>LOG-02865</t>
  </si>
  <si>
    <t>LOG-02866</t>
  </si>
  <si>
    <t>LOG-02867</t>
  </si>
  <si>
    <t>LOG-02868</t>
  </si>
  <si>
    <t>LOG-02869</t>
  </si>
  <si>
    <t>LOG-02870</t>
  </si>
  <si>
    <t>LOG-02871</t>
  </si>
  <si>
    <t>LOG-02872</t>
  </si>
  <si>
    <t>LOG-02873</t>
  </si>
  <si>
    <t>LOG-02874</t>
  </si>
  <si>
    <t>LOG-02875</t>
  </si>
  <si>
    <t>LOG-02876</t>
  </si>
  <si>
    <t>LOG-02877</t>
  </si>
  <si>
    <t>LOG-02878</t>
  </si>
  <si>
    <t>LOG-02879</t>
  </si>
  <si>
    <t>LOG-02880</t>
  </si>
  <si>
    <t>LOG-02881</t>
  </si>
  <si>
    <t>LOG-02882</t>
  </si>
  <si>
    <t>LOG-02883</t>
  </si>
  <si>
    <t>LOG-02884</t>
  </si>
  <si>
    <t>LOG-02885</t>
  </si>
  <si>
    <t>LOG-02886</t>
  </si>
  <si>
    <t>LOG-02887</t>
  </si>
  <si>
    <t>LOG-02888</t>
  </si>
  <si>
    <t>LOG-02889</t>
  </si>
  <si>
    <t>LOG-02890</t>
  </si>
  <si>
    <t>LOG-02891</t>
  </si>
  <si>
    <t>LOG-02892</t>
  </si>
  <si>
    <t>LOG-02893</t>
  </si>
  <si>
    <t>LOG-02894</t>
  </si>
  <si>
    <t>LOG-02895</t>
  </si>
  <si>
    <t>LOG-02896</t>
  </si>
  <si>
    <t>LOG-02897</t>
  </si>
  <si>
    <t>LOG-02898</t>
  </si>
  <si>
    <t>LOG-02899</t>
  </si>
  <si>
    <t>LOG-02900</t>
  </si>
  <si>
    <t>LOG-02901</t>
  </si>
  <si>
    <t>LOG-02902</t>
  </si>
  <si>
    <t>LOG-02903</t>
  </si>
  <si>
    <t>LOG-02904</t>
  </si>
  <si>
    <t>LOG-02905</t>
  </si>
  <si>
    <t>LOG-02906</t>
  </si>
  <si>
    <t>LOG-02907</t>
  </si>
  <si>
    <t>LOG-02908</t>
  </si>
  <si>
    <t>LOG-02909</t>
  </si>
  <si>
    <t>LOG-02910</t>
  </si>
  <si>
    <t>LOG-02911</t>
  </si>
  <si>
    <t>LOG-02912</t>
  </si>
  <si>
    <t>LOG-02913</t>
  </si>
  <si>
    <t>LOG-02914</t>
  </si>
  <si>
    <t>LOG-02915</t>
  </si>
  <si>
    <t>LOG-02916</t>
  </si>
  <si>
    <t>LOG-02917</t>
  </si>
  <si>
    <t>LOG-02918</t>
  </si>
  <si>
    <t>LOG-02919</t>
  </si>
  <si>
    <t>LOG-02920</t>
  </si>
  <si>
    <t>LOG-02921</t>
  </si>
  <si>
    <t>LOG-02922</t>
  </si>
  <si>
    <t>LOG-02923</t>
  </si>
  <si>
    <t>LOG-02924</t>
  </si>
  <si>
    <t>LOG-02925</t>
  </si>
  <si>
    <t>LOG-02926</t>
  </si>
  <si>
    <t>LOG-02927</t>
  </si>
  <si>
    <t>LOG-02928</t>
  </si>
  <si>
    <t>LOG-02929</t>
  </si>
  <si>
    <t>LOG-02930</t>
  </si>
  <si>
    <t>LOG-02931</t>
  </si>
  <si>
    <t>LOG-02932</t>
  </si>
  <si>
    <t>LOG-02933</t>
  </si>
  <si>
    <t>LOG-02934</t>
  </si>
  <si>
    <t>LOG-02935</t>
  </si>
  <si>
    <t>LOG-02936</t>
  </si>
  <si>
    <t>LOG-02937</t>
  </si>
  <si>
    <t>LOG-02938</t>
  </si>
  <si>
    <t>LOG-02939</t>
  </si>
  <si>
    <t>LOG-02940</t>
  </si>
  <si>
    <t>LOG-02941</t>
  </si>
  <si>
    <t>LOG-02942</t>
  </si>
  <si>
    <t>LOG-02943</t>
  </si>
  <si>
    <t>LOG-02944</t>
  </si>
  <si>
    <t>LOG-02945</t>
  </si>
  <si>
    <t>LOG-02946</t>
  </si>
  <si>
    <t>LOG-02947</t>
  </si>
  <si>
    <t>LOG-02948</t>
  </si>
  <si>
    <t>LOG-02949</t>
  </si>
  <si>
    <t>LOG-02950</t>
  </si>
  <si>
    <t>LOG-02951</t>
  </si>
  <si>
    <t>LOG-02952</t>
  </si>
  <si>
    <t>LOG-02953</t>
  </si>
  <si>
    <t>LOG-02954</t>
  </si>
  <si>
    <t>LOG-02955</t>
  </si>
  <si>
    <t>LOG-02956</t>
  </si>
  <si>
    <t>LOG-02957</t>
  </si>
  <si>
    <t>LOG-02958</t>
  </si>
  <si>
    <t>LOG-02959</t>
  </si>
  <si>
    <t>LOG-02960</t>
  </si>
  <si>
    <t>LOG-02961</t>
  </si>
  <si>
    <t>LOG-02962</t>
  </si>
  <si>
    <t>LOG-02963</t>
  </si>
  <si>
    <t>LOG-02964</t>
  </si>
  <si>
    <t>LOG-02965</t>
  </si>
  <si>
    <t>LOG-02966</t>
  </si>
  <si>
    <t>LOG-02967</t>
  </si>
  <si>
    <t>LOG-02968</t>
  </si>
  <si>
    <t>LOG-02969</t>
  </si>
  <si>
    <t>LOG-02970</t>
  </si>
  <si>
    <t>LOG-02971</t>
  </si>
  <si>
    <t>LOG-02972</t>
  </si>
  <si>
    <t>LOG-02973</t>
  </si>
  <si>
    <t>LOG-02974</t>
  </si>
  <si>
    <t>LOG-02975</t>
  </si>
  <si>
    <t>LOG-02976</t>
  </si>
  <si>
    <t>LOG-02977</t>
  </si>
  <si>
    <t>LOG-02978</t>
  </si>
  <si>
    <t>LOG-02979</t>
  </si>
  <si>
    <t>LOG-02980</t>
  </si>
  <si>
    <t>LOG-02981</t>
  </si>
  <si>
    <t>LOG-02982</t>
  </si>
  <si>
    <t>LOG-02983</t>
  </si>
  <si>
    <t>LOG-02984</t>
  </si>
  <si>
    <t>LOG-02985</t>
  </si>
  <si>
    <t>LOG-02986</t>
  </si>
  <si>
    <t>LOG-02987</t>
  </si>
  <si>
    <t>LOG-02988</t>
  </si>
  <si>
    <t>LOG-02989</t>
  </si>
  <si>
    <t>LOG-02990</t>
  </si>
  <si>
    <t>LOG-02991</t>
  </si>
  <si>
    <t>LOG-02992</t>
  </si>
  <si>
    <t>LOG-02993</t>
  </si>
  <si>
    <t>LOG-02994</t>
  </si>
  <si>
    <t>LOG-02995</t>
  </si>
  <si>
    <t>LOG-02996</t>
  </si>
  <si>
    <t>LOG-02997</t>
  </si>
  <si>
    <t>LOG-02998</t>
  </si>
  <si>
    <t>LOG-02999</t>
  </si>
  <si>
    <t>LOG-03000</t>
  </si>
  <si>
    <t>LOG-03001</t>
  </si>
  <si>
    <t>LOG-03002</t>
  </si>
  <si>
    <t>LOG-03003</t>
  </si>
  <si>
    <t>LOG-03004</t>
  </si>
  <si>
    <t>LOG-03005</t>
  </si>
  <si>
    <t>LOG-03006</t>
  </si>
  <si>
    <t>LOG-03007</t>
  </si>
  <si>
    <t>LOG-03008</t>
  </si>
  <si>
    <t>LOG-03009</t>
  </si>
  <si>
    <t>LOG-03010</t>
  </si>
  <si>
    <t>LOG-03011</t>
  </si>
  <si>
    <t>LOG-03012</t>
  </si>
  <si>
    <t>LOG-03013</t>
  </si>
  <si>
    <t>LOG-03014</t>
  </si>
  <si>
    <t>LOG-03015</t>
  </si>
  <si>
    <t>LOG-03016</t>
  </si>
  <si>
    <t>LOG-03017</t>
  </si>
  <si>
    <t>LOG-03018</t>
  </si>
  <si>
    <t>LOG-03019</t>
  </si>
  <si>
    <t>LOG-03020</t>
  </si>
  <si>
    <t>LOG-03021</t>
  </si>
  <si>
    <t>LOG-03022</t>
  </si>
  <si>
    <t>LOG-03023</t>
  </si>
  <si>
    <t>LOG-03024</t>
  </si>
  <si>
    <t>LOG-03025</t>
  </si>
  <si>
    <t>LOG-03026</t>
  </si>
  <si>
    <t>LOG-03027</t>
  </si>
  <si>
    <t>LOG-03028</t>
  </si>
  <si>
    <t>LOG-03029</t>
  </si>
  <si>
    <t>LOG-03030</t>
  </si>
  <si>
    <t>LOG-03031</t>
  </si>
  <si>
    <t>LOG-03032</t>
  </si>
  <si>
    <t>LOG-03033</t>
  </si>
  <si>
    <t>LOG-03034</t>
  </si>
  <si>
    <t>LOG-03035</t>
  </si>
  <si>
    <t>LOG-03036</t>
  </si>
  <si>
    <t>LOG-03037</t>
  </si>
  <si>
    <t>LOG-03038</t>
  </si>
  <si>
    <t>LOG-03039</t>
  </si>
  <si>
    <t>LOG-03040</t>
  </si>
  <si>
    <t>LOG-03041</t>
  </si>
  <si>
    <t>LOG-03042</t>
  </si>
  <si>
    <t>LOG-03043</t>
  </si>
  <si>
    <t>LOG-03044</t>
  </si>
  <si>
    <t>LOG-03045</t>
  </si>
  <si>
    <t>LOG-03046</t>
  </si>
  <si>
    <t>LOG-03047</t>
  </si>
  <si>
    <t>LOG-03048</t>
  </si>
  <si>
    <t>LOG-03049</t>
  </si>
  <si>
    <t>LOG-03050</t>
  </si>
  <si>
    <t>LOG-03051</t>
  </si>
  <si>
    <t>LOG-03052</t>
  </si>
  <si>
    <t>LOG-03053</t>
  </si>
  <si>
    <t>LOG-03054</t>
  </si>
  <si>
    <t>LOG-03055</t>
  </si>
  <si>
    <t>LOG-03056</t>
  </si>
  <si>
    <t>LOG-03057</t>
  </si>
  <si>
    <t>LOG-03058</t>
  </si>
  <si>
    <t>LOG-03059</t>
  </si>
  <si>
    <t>LOG-03060</t>
  </si>
  <si>
    <t>LOG-03061</t>
  </si>
  <si>
    <t>LOG-03062</t>
  </si>
  <si>
    <t>LOG-03063</t>
  </si>
  <si>
    <t>LOG-03064</t>
  </si>
  <si>
    <t>LOG-03065</t>
  </si>
  <si>
    <t>LOG-03066</t>
  </si>
  <si>
    <t>LOG-03067</t>
  </si>
  <si>
    <t>LOG-03068</t>
  </si>
  <si>
    <t>LOG-03069</t>
  </si>
  <si>
    <t>LOG-03070</t>
  </si>
  <si>
    <t>LOG-03071</t>
  </si>
  <si>
    <t>LOG-03072</t>
  </si>
  <si>
    <t>LOG-03073</t>
  </si>
  <si>
    <t>LOG-03074</t>
  </si>
  <si>
    <t>LOG-03075</t>
  </si>
  <si>
    <t>LOG-03076</t>
  </si>
  <si>
    <t>LOG-03077</t>
  </si>
  <si>
    <t>LOG-03078</t>
  </si>
  <si>
    <t>LOG-03079</t>
  </si>
  <si>
    <t>LOG-03080</t>
  </si>
  <si>
    <t>LOG-03081</t>
  </si>
  <si>
    <t>LOG-03082</t>
  </si>
  <si>
    <t>LOG-03083</t>
  </si>
  <si>
    <t>LOG-03084</t>
  </si>
  <si>
    <t>LOG-03085</t>
  </si>
  <si>
    <t>LOG-03086</t>
  </si>
  <si>
    <t>LOG-03087</t>
  </si>
  <si>
    <t>LOG-03088</t>
  </si>
  <si>
    <t>LOG-03089</t>
  </si>
  <si>
    <t>LOG-03090</t>
  </si>
  <si>
    <t>LOG-03091</t>
  </si>
  <si>
    <t>LOG-03092</t>
  </si>
  <si>
    <t>LOG-03093</t>
  </si>
  <si>
    <t>LOG-03094</t>
  </si>
  <si>
    <t>LOG-03095</t>
  </si>
  <si>
    <t>LOG-03096</t>
  </si>
  <si>
    <t>LOG-03097</t>
  </si>
  <si>
    <t>LOG-03098</t>
  </si>
  <si>
    <t>LOG-03099</t>
  </si>
  <si>
    <t>LOG-03100</t>
  </si>
  <si>
    <t>LOG-03101</t>
  </si>
  <si>
    <t>LOG-03102</t>
  </si>
  <si>
    <t>LOG-03103</t>
  </si>
  <si>
    <t>LOG-03104</t>
  </si>
  <si>
    <t>LOG-03105</t>
  </si>
  <si>
    <t>LOG-03106</t>
  </si>
  <si>
    <t>LOG-03107</t>
  </si>
  <si>
    <t>LOG-03108</t>
  </si>
  <si>
    <t>LOG-03109</t>
  </si>
  <si>
    <t>LOG-03110</t>
  </si>
  <si>
    <t>LOG-03111</t>
  </si>
  <si>
    <t>LOG-03112</t>
  </si>
  <si>
    <t>LOG-03113</t>
  </si>
  <si>
    <t>LOG-03114</t>
  </si>
  <si>
    <t>LOG-03115</t>
  </si>
  <si>
    <t>LOG-03116</t>
  </si>
  <si>
    <t>LOG-03117</t>
  </si>
  <si>
    <t>LOG-03118</t>
  </si>
  <si>
    <t>LOG-03119</t>
  </si>
  <si>
    <t>LOG-03120</t>
  </si>
  <si>
    <t>LOG-03121</t>
  </si>
  <si>
    <t>LOG-03122</t>
  </si>
  <si>
    <t>LOG-03123</t>
  </si>
  <si>
    <t>LOG-03124</t>
  </si>
  <si>
    <t>LOG-03125</t>
  </si>
  <si>
    <t>LOG-03126</t>
  </si>
  <si>
    <t>LOG-03127</t>
  </si>
  <si>
    <t>LOG-03128</t>
  </si>
  <si>
    <t>LOG-03129</t>
  </si>
  <si>
    <t>LOG-03130</t>
  </si>
  <si>
    <t>LOG-03131</t>
  </si>
  <si>
    <t>LOG-03132</t>
  </si>
  <si>
    <t>LOG-03133</t>
  </si>
  <si>
    <t>LOG-03134</t>
  </si>
  <si>
    <t>LOG-03135</t>
  </si>
  <si>
    <t>LOG-03136</t>
  </si>
  <si>
    <t>LOG-03137</t>
  </si>
  <si>
    <t>LOG-03138</t>
  </si>
  <si>
    <t>LOG-03139</t>
  </si>
  <si>
    <t>LOG-03140</t>
  </si>
  <si>
    <t>LOG-03141</t>
  </si>
  <si>
    <t>LOG-03142</t>
  </si>
  <si>
    <t>LOG-03143</t>
  </si>
  <si>
    <t>LOG-03144</t>
  </si>
  <si>
    <t>LOG-03145</t>
  </si>
  <si>
    <t>LOG-03146</t>
  </si>
  <si>
    <t>LOG-03147</t>
  </si>
  <si>
    <t>LOG-03148</t>
  </si>
  <si>
    <t>LOG-03149</t>
  </si>
  <si>
    <t>LOG-03150</t>
  </si>
  <si>
    <t>LOG-03151</t>
  </si>
  <si>
    <t>LOG-03152</t>
  </si>
  <si>
    <t>LOG-03153</t>
  </si>
  <si>
    <t>LOG-03154</t>
  </si>
  <si>
    <t>LOG-03155</t>
  </si>
  <si>
    <t>LOG-03156</t>
  </si>
  <si>
    <t>LOG-03157</t>
  </si>
  <si>
    <t>LOG-03158</t>
  </si>
  <si>
    <t>LOG-03159</t>
  </si>
  <si>
    <t>LOG-03160</t>
  </si>
  <si>
    <t>LOG-03161</t>
  </si>
  <si>
    <t>LOG-03162</t>
  </si>
  <si>
    <t>LOG-03163</t>
  </si>
  <si>
    <t>LOG-03164</t>
  </si>
  <si>
    <t>LOG-03165</t>
  </si>
  <si>
    <t>LOG-03166</t>
  </si>
  <si>
    <t>LOG-03167</t>
  </si>
  <si>
    <t>LOG-03168</t>
  </si>
  <si>
    <t>LOG-03169</t>
  </si>
  <si>
    <t>LOG-03170</t>
  </si>
  <si>
    <t>LOG-03171</t>
  </si>
  <si>
    <t>LOG-03172</t>
  </si>
  <si>
    <t>LOG-03173</t>
  </si>
  <si>
    <t>LOG-03174</t>
  </si>
  <si>
    <t>LOG-03175</t>
  </si>
  <si>
    <t>LOG-03176</t>
  </si>
  <si>
    <t>LOG-03177</t>
  </si>
  <si>
    <t>LOG-03178</t>
  </si>
  <si>
    <t>LOG-03179</t>
  </si>
  <si>
    <t>LOG-03180</t>
  </si>
  <si>
    <t>LOG-03181</t>
  </si>
  <si>
    <t>LOG-03182</t>
  </si>
  <si>
    <t>LOG-03183</t>
  </si>
  <si>
    <t>LOG-03184</t>
  </si>
  <si>
    <t>LOG-03185</t>
  </si>
  <si>
    <t>LOG-03186</t>
  </si>
  <si>
    <t>LOG-03187</t>
  </si>
  <si>
    <t>LOG-03188</t>
  </si>
  <si>
    <t>LOG-03189</t>
  </si>
  <si>
    <t>LOG-03190</t>
  </si>
  <si>
    <t>LOG-03191</t>
  </si>
  <si>
    <t>LOG-03192</t>
  </si>
  <si>
    <t>LOG-03193</t>
  </si>
  <si>
    <t>LOG-03194</t>
  </si>
  <si>
    <t>LOG-03195</t>
  </si>
  <si>
    <t>LOG-03196</t>
  </si>
  <si>
    <t>LOG-03197</t>
  </si>
  <si>
    <t>LOG-03198</t>
  </si>
  <si>
    <t>LOG-03199</t>
  </si>
  <si>
    <t>LOG-03200</t>
  </si>
  <si>
    <t>LOG-03201</t>
  </si>
  <si>
    <t>LOG-03202</t>
  </si>
  <si>
    <t>LOG-03203</t>
  </si>
  <si>
    <t>LOG-03204</t>
  </si>
  <si>
    <t>LOG-03205</t>
  </si>
  <si>
    <t>LOG-03206</t>
  </si>
  <si>
    <t>LOG-03207</t>
  </si>
  <si>
    <t>LOG-03208</t>
  </si>
  <si>
    <t>LOG-03209</t>
  </si>
  <si>
    <t>LOG-03210</t>
  </si>
  <si>
    <t>LOG-03211</t>
  </si>
  <si>
    <t>LOG-03212</t>
  </si>
  <si>
    <t>LOG-03213</t>
  </si>
  <si>
    <t>LOG-03214</t>
  </si>
  <si>
    <t>LOG-03215</t>
  </si>
  <si>
    <t>LOG-03216</t>
  </si>
  <si>
    <t>LOG-03217</t>
  </si>
  <si>
    <t>LOG-03218</t>
  </si>
  <si>
    <t>LOG-03219</t>
  </si>
  <si>
    <t>LOG-03220</t>
  </si>
  <si>
    <t>LOG-03221</t>
  </si>
  <si>
    <t>LOG-03222</t>
  </si>
  <si>
    <t>LOG-03223</t>
  </si>
  <si>
    <t>LOG-03224</t>
  </si>
  <si>
    <t>LOG-03225</t>
  </si>
  <si>
    <t>LOG-03226</t>
  </si>
  <si>
    <t>LOG-03227</t>
  </si>
  <si>
    <t>LOG-03228</t>
  </si>
  <si>
    <t>LOG-03229</t>
  </si>
  <si>
    <t>LOG-03230</t>
  </si>
  <si>
    <t>LOG-03231</t>
  </si>
  <si>
    <t>LOG-03232</t>
  </si>
  <si>
    <t>LOG-03233</t>
  </si>
  <si>
    <t>LOG-03234</t>
  </si>
  <si>
    <t>LOG-03235</t>
  </si>
  <si>
    <t>LOG-03236</t>
  </si>
  <si>
    <t>LOG-03237</t>
  </si>
  <si>
    <t>LOG-03238</t>
  </si>
  <si>
    <t>LOG-03239</t>
  </si>
  <si>
    <t>LOG-03240</t>
  </si>
  <si>
    <t>LOG-03241</t>
  </si>
  <si>
    <t>LOG-03242</t>
  </si>
  <si>
    <t>LOG-03243</t>
  </si>
  <si>
    <t>LOG-03244</t>
  </si>
  <si>
    <t>LOG-03245</t>
  </si>
  <si>
    <t>LOG-03246</t>
  </si>
  <si>
    <t>LOG-03247</t>
  </si>
  <si>
    <t>LOG-03248</t>
  </si>
  <si>
    <t>LOG-03249</t>
  </si>
  <si>
    <t>LOG-03250</t>
  </si>
  <si>
    <t>LOG-03251</t>
  </si>
  <si>
    <t>LOG-03252</t>
  </si>
  <si>
    <t>LOG-03253</t>
  </si>
  <si>
    <t>LOG-03254</t>
  </si>
  <si>
    <t>LOG-03255</t>
  </si>
  <si>
    <t>LOG-03256</t>
  </si>
  <si>
    <t>LOG-03257</t>
  </si>
  <si>
    <t>LOG-03258</t>
  </si>
  <si>
    <t>LOG-03259</t>
  </si>
  <si>
    <t>LOG-03260</t>
  </si>
  <si>
    <t>LOG-03261</t>
  </si>
  <si>
    <t>LOG-03262</t>
  </si>
  <si>
    <t>LOG-03263</t>
  </si>
  <si>
    <t>LOG-03264</t>
  </si>
  <si>
    <t>LOG-03265</t>
  </si>
  <si>
    <t>LOG-03266</t>
  </si>
  <si>
    <t>LOG-03267</t>
  </si>
  <si>
    <t>LOG-03268</t>
  </si>
  <si>
    <t>LOG-03269</t>
  </si>
  <si>
    <t>LOG-03270</t>
  </si>
  <si>
    <t>LOG-03271</t>
  </si>
  <si>
    <t>LOG-03272</t>
  </si>
  <si>
    <t>LOG-03273</t>
  </si>
  <si>
    <t>LOG-03274</t>
  </si>
  <si>
    <t>LOG-03275</t>
  </si>
  <si>
    <t>LOG-03276</t>
  </si>
  <si>
    <t>LOG-03277</t>
  </si>
  <si>
    <t>LOG-03278</t>
  </si>
  <si>
    <t>LOG-03279</t>
  </si>
  <si>
    <t>LOG-03280</t>
  </si>
  <si>
    <t>LOG-03281</t>
  </si>
  <si>
    <t>LOG-03282</t>
  </si>
  <si>
    <t>LOG-03283</t>
  </si>
  <si>
    <t>LOG-03284</t>
  </si>
  <si>
    <t>LOG-03285</t>
  </si>
  <si>
    <t>LOG-03286</t>
  </si>
  <si>
    <t>LOG-03287</t>
  </si>
  <si>
    <t>LOG-03288</t>
  </si>
  <si>
    <t>LOG-03289</t>
  </si>
  <si>
    <t>LOG-03290</t>
  </si>
  <si>
    <t>LOG-03291</t>
  </si>
  <si>
    <t>LOG-03292</t>
  </si>
  <si>
    <t>LOG-03293</t>
  </si>
  <si>
    <t>LOG-03294</t>
  </si>
  <si>
    <t>LOG-03295</t>
  </si>
  <si>
    <t>LOG-03296</t>
  </si>
  <si>
    <t>LOG-03297</t>
  </si>
  <si>
    <t>LOG-03298</t>
  </si>
  <si>
    <t>LOG-03299</t>
  </si>
  <si>
    <t>LOG-03300</t>
  </si>
  <si>
    <t>LOG-03301</t>
  </si>
  <si>
    <t>LOG-03302</t>
  </si>
  <si>
    <t>LOG-03303</t>
  </si>
  <si>
    <t>LOG-03304</t>
  </si>
  <si>
    <t>LOG-03305</t>
  </si>
  <si>
    <t>LOG-03306</t>
  </si>
  <si>
    <t>LOG-03307</t>
  </si>
  <si>
    <t>LOG-03308</t>
  </si>
  <si>
    <t>LOG-03309</t>
  </si>
  <si>
    <t>LOG-03310</t>
  </si>
  <si>
    <t>LOG-03311</t>
  </si>
  <si>
    <t>LOG-03312</t>
  </si>
  <si>
    <t>LOG-03313</t>
  </si>
  <si>
    <t>LOG-03314</t>
  </si>
  <si>
    <t>LOG-03315</t>
  </si>
  <si>
    <t>LOG-03316</t>
  </si>
  <si>
    <t>LOG-03317</t>
  </si>
  <si>
    <t>LOG-03318</t>
  </si>
  <si>
    <t>LOG-03319</t>
  </si>
  <si>
    <t>LOG-03320</t>
  </si>
  <si>
    <t>LOG-03321</t>
  </si>
  <si>
    <t>LOG-03322</t>
  </si>
  <si>
    <t>LOG-03323</t>
  </si>
  <si>
    <t>LOG-03324</t>
  </si>
  <si>
    <t>LOG-03325</t>
  </si>
  <si>
    <t>LOG-03326</t>
  </si>
  <si>
    <t>LOG-03327</t>
  </si>
  <si>
    <t>LOG-03328</t>
  </si>
  <si>
    <t>LOG-03329</t>
  </si>
  <si>
    <t>LOG-03330</t>
  </si>
  <si>
    <t>LOG-03331</t>
  </si>
  <si>
    <t>LOG-03332</t>
  </si>
  <si>
    <t>LOG-03333</t>
  </si>
  <si>
    <t>LOG-03334</t>
  </si>
  <si>
    <t>LOG-03335</t>
  </si>
  <si>
    <t>LOG-03336</t>
  </si>
  <si>
    <t>LOG-03337</t>
  </si>
  <si>
    <t>LOG-03338</t>
  </si>
  <si>
    <t>LOG-03339</t>
  </si>
  <si>
    <t>LOG-03340</t>
  </si>
  <si>
    <t>LOG-03341</t>
  </si>
  <si>
    <t>LOG-03342</t>
  </si>
  <si>
    <t>LOG-03343</t>
  </si>
  <si>
    <t>LOG-03344</t>
  </si>
  <si>
    <t>LOG-03345</t>
  </si>
  <si>
    <t>LOG-03346</t>
  </si>
  <si>
    <t>LOG-03347</t>
  </si>
  <si>
    <t>LOG-03348</t>
  </si>
  <si>
    <t>LOG-03349</t>
  </si>
  <si>
    <t>LOG-03350</t>
  </si>
  <si>
    <t>LOG-03351</t>
  </si>
  <si>
    <t>LOG-03352</t>
  </si>
  <si>
    <t>LOG-03353</t>
  </si>
  <si>
    <t>LOG-03354</t>
  </si>
  <si>
    <t>LOG-03355</t>
  </si>
  <si>
    <t>LOG-03356</t>
  </si>
  <si>
    <t>LOG-03357</t>
  </si>
  <si>
    <t>LOG-03358</t>
  </si>
  <si>
    <t>LOG-03359</t>
  </si>
  <si>
    <t>LOG-03360</t>
  </si>
  <si>
    <t>LOG-03361</t>
  </si>
  <si>
    <t>LOG-03362</t>
  </si>
  <si>
    <t>LOG-03363</t>
  </si>
  <si>
    <t>LOG-03364</t>
  </si>
  <si>
    <t>LOG-03365</t>
  </si>
  <si>
    <t>LOG-03366</t>
  </si>
  <si>
    <t>LOG-03367</t>
  </si>
  <si>
    <t>LOG-03368</t>
  </si>
  <si>
    <t>LOG-03369</t>
  </si>
  <si>
    <t>LOG-03370</t>
  </si>
  <si>
    <t>LOG-03371</t>
  </si>
  <si>
    <t>LOG-03372</t>
  </si>
  <si>
    <t>LOG-03373</t>
  </si>
  <si>
    <t>LOG-03374</t>
  </si>
  <si>
    <t>LOG-03375</t>
  </si>
  <si>
    <t>LOG-03376</t>
  </si>
  <si>
    <t>LOG-03377</t>
  </si>
  <si>
    <t>LOG-03378</t>
  </si>
  <si>
    <t>LOG-03379</t>
  </si>
  <si>
    <t>LOG-03380</t>
  </si>
  <si>
    <t>LOG-03381</t>
  </si>
  <si>
    <t>LOG-03382</t>
  </si>
  <si>
    <t>LOG-03383</t>
  </si>
  <si>
    <t>LOG-03384</t>
  </si>
  <si>
    <t>LOG-03385</t>
  </si>
  <si>
    <t>LOG-03386</t>
  </si>
  <si>
    <t>LOG-03387</t>
  </si>
  <si>
    <t>LOG-03388</t>
  </si>
  <si>
    <t>LOG-03389</t>
  </si>
  <si>
    <t>LOG-03390</t>
  </si>
  <si>
    <t>LOG-03391</t>
  </si>
  <si>
    <t>LOG-03392</t>
  </si>
  <si>
    <t>LOG-03393</t>
  </si>
  <si>
    <t>LOG-03394</t>
  </si>
  <si>
    <t>LOG-03395</t>
  </si>
  <si>
    <t>LOG-03396</t>
  </si>
  <si>
    <t>LOG-03397</t>
  </si>
  <si>
    <t>LOG-03398</t>
  </si>
  <si>
    <t>LOG-03399</t>
  </si>
  <si>
    <t>LOG-03400</t>
  </si>
  <si>
    <t>LOG-03401</t>
  </si>
  <si>
    <t>LOG-03402</t>
  </si>
  <si>
    <t>LOG-03403</t>
  </si>
  <si>
    <t>LOG-03404</t>
  </si>
  <si>
    <t>LOG-03405</t>
  </si>
  <si>
    <t>LOG-03406</t>
  </si>
  <si>
    <t>LOG-03407</t>
  </si>
  <si>
    <t>LOG-03408</t>
  </si>
  <si>
    <t>LOG-03409</t>
  </si>
  <si>
    <t>LOG-03410</t>
  </si>
  <si>
    <t>LOG-03411</t>
  </si>
  <si>
    <t>LOG-03412</t>
  </si>
  <si>
    <t>LOG-03413</t>
  </si>
  <si>
    <t>LOG-03414</t>
  </si>
  <si>
    <t>LOG-03415</t>
  </si>
  <si>
    <t>LOG-03416</t>
  </si>
  <si>
    <t>LOG-03417</t>
  </si>
  <si>
    <t>LOG-03418</t>
  </si>
  <si>
    <t>LOG-03419</t>
  </si>
  <si>
    <t>LOG-03420</t>
  </si>
  <si>
    <t>LOG-03421</t>
  </si>
  <si>
    <t>LOG-03422</t>
  </si>
  <si>
    <t>LOG-03423</t>
  </si>
  <si>
    <t>LOG-03424</t>
  </si>
  <si>
    <t>LOG-03425</t>
  </si>
  <si>
    <t>LOG-03426</t>
  </si>
  <si>
    <t>LOG-03427</t>
  </si>
  <si>
    <t>LOG-03428</t>
  </si>
  <si>
    <t>LOG-03429</t>
  </si>
  <si>
    <t>LOG-03430</t>
  </si>
  <si>
    <t>LOG-03431</t>
  </si>
  <si>
    <t>LOG-03432</t>
  </si>
  <si>
    <t>LOG-03433</t>
  </si>
  <si>
    <t>LOG-03434</t>
  </si>
  <si>
    <t>LOG-03435</t>
  </si>
  <si>
    <t>LOG-03436</t>
  </si>
  <si>
    <t>LOG-03437</t>
  </si>
  <si>
    <t>LOG-03438</t>
  </si>
  <si>
    <t>LOG-03439</t>
  </si>
  <si>
    <t>LOG-03440</t>
  </si>
  <si>
    <t>LOG-03441</t>
  </si>
  <si>
    <t>LOG-03442</t>
  </si>
  <si>
    <t>LOG-03443</t>
  </si>
  <si>
    <t>LOG-03444</t>
  </si>
  <si>
    <t>LOG-03445</t>
  </si>
  <si>
    <t>LOG-03446</t>
  </si>
  <si>
    <t>LOG-03447</t>
  </si>
  <si>
    <t>LOG-03448</t>
  </si>
  <si>
    <t>LOG-03449</t>
  </si>
  <si>
    <t>LOG-03450</t>
  </si>
  <si>
    <t>LOG-03451</t>
  </si>
  <si>
    <t>LOG-03452</t>
  </si>
  <si>
    <t>LOG-03453</t>
  </si>
  <si>
    <t>LOG-03454</t>
  </si>
  <si>
    <t>LOG-03455</t>
  </si>
  <si>
    <t>LOG-03456</t>
  </si>
  <si>
    <t>LOG-03457</t>
  </si>
  <si>
    <t>LOG-03458</t>
  </si>
  <si>
    <t>LOG-03459</t>
  </si>
  <si>
    <t>LOG-03460</t>
  </si>
  <si>
    <t>LOG-03461</t>
  </si>
  <si>
    <t>LOG-03462</t>
  </si>
  <si>
    <t>LOG-03463</t>
  </si>
  <si>
    <t>LOG-03464</t>
  </si>
  <si>
    <t>LOG-03465</t>
  </si>
  <si>
    <t>LOG-03466</t>
  </si>
  <si>
    <t>LOG-03467</t>
  </si>
  <si>
    <t>LOG-03468</t>
  </si>
  <si>
    <t>LOG-03469</t>
  </si>
  <si>
    <t>LOG-03470</t>
  </si>
  <si>
    <t>LOG-03471</t>
  </si>
  <si>
    <t>LOG-03472</t>
  </si>
  <si>
    <t>LOG-03473</t>
  </si>
  <si>
    <t>LOG-03474</t>
  </si>
  <si>
    <t>LOG-03475</t>
  </si>
  <si>
    <t>LOG-03476</t>
  </si>
  <si>
    <t>LOG-03477</t>
  </si>
  <si>
    <t>LOG-03478</t>
  </si>
  <si>
    <t>LOG-03479</t>
  </si>
  <si>
    <t>LOG-03480</t>
  </si>
  <si>
    <t>LOG-03481</t>
  </si>
  <si>
    <t>LOG-03482</t>
  </si>
  <si>
    <t>LOG-03483</t>
  </si>
  <si>
    <t>LOG-03484</t>
  </si>
  <si>
    <t>LOG-03485</t>
  </si>
  <si>
    <t>LOG-03486</t>
  </si>
  <si>
    <t>LOG-03487</t>
  </si>
  <si>
    <t>LOG-03488</t>
  </si>
  <si>
    <t>LOG-03489</t>
  </si>
  <si>
    <t>LOG-03490</t>
  </si>
  <si>
    <t>LOG-03491</t>
  </si>
  <si>
    <t>LOG-03492</t>
  </si>
  <si>
    <t>LOG-03493</t>
  </si>
  <si>
    <t>LOG-03494</t>
  </si>
  <si>
    <t>LOG-03495</t>
  </si>
  <si>
    <t>LOG-03496</t>
  </si>
  <si>
    <t>LOG-03497</t>
  </si>
  <si>
    <t>LOG-03498</t>
  </si>
  <si>
    <t>LOG-03499</t>
  </si>
  <si>
    <t>LOG-03500</t>
  </si>
  <si>
    <t>LOG-03501</t>
  </si>
  <si>
    <t>LOG-03502</t>
  </si>
  <si>
    <t>LOG-03503</t>
  </si>
  <si>
    <t>LOG-03504</t>
  </si>
  <si>
    <t>LOG-03505</t>
  </si>
  <si>
    <t>LOG-03506</t>
  </si>
  <si>
    <t>LOG-03507</t>
  </si>
  <si>
    <t>LOG-03508</t>
  </si>
  <si>
    <t>LOG-03509</t>
  </si>
  <si>
    <t>LOG-03510</t>
  </si>
  <si>
    <t>LOG-03511</t>
  </si>
  <si>
    <t>LOG-03512</t>
  </si>
  <si>
    <t>LOG-03513</t>
  </si>
  <si>
    <t>LOG-03514</t>
  </si>
  <si>
    <t>LOG-03515</t>
  </si>
  <si>
    <t>LOG-03516</t>
  </si>
  <si>
    <t>LOG-03517</t>
  </si>
  <si>
    <t>LOG-03518</t>
  </si>
  <si>
    <t>LOG-03519</t>
  </si>
  <si>
    <t>LOG-03520</t>
  </si>
  <si>
    <t>LOG-03521</t>
  </si>
  <si>
    <t>LOG-03522</t>
  </si>
  <si>
    <t>LOG-03523</t>
  </si>
  <si>
    <t>LOG-03524</t>
  </si>
  <si>
    <t>LOG-03525</t>
  </si>
  <si>
    <t>LOG-03526</t>
  </si>
  <si>
    <t>LOG-03527</t>
  </si>
  <si>
    <t>LOG-03528</t>
  </si>
  <si>
    <t>LOG-03529</t>
  </si>
  <si>
    <t>LOG-03530</t>
  </si>
  <si>
    <t>LOG-03531</t>
  </si>
  <si>
    <t>LOG-03532</t>
  </si>
  <si>
    <t>LOG-03533</t>
  </si>
  <si>
    <t>LOG-03534</t>
  </si>
  <si>
    <t>LOG-03535</t>
  </si>
  <si>
    <t>LOG-03536</t>
  </si>
  <si>
    <t>LOG-03537</t>
  </si>
  <si>
    <t>LOG-03538</t>
  </si>
  <si>
    <t>LOG-03539</t>
  </si>
  <si>
    <t>LOG-03540</t>
  </si>
  <si>
    <t>LOG-03541</t>
  </si>
  <si>
    <t>LOG-03542</t>
  </si>
  <si>
    <t>LOG-03543</t>
  </si>
  <si>
    <t>LOG-03544</t>
  </si>
  <si>
    <t>LOG-03545</t>
  </si>
  <si>
    <t>LOG-03546</t>
  </si>
  <si>
    <t>LOG-03547</t>
  </si>
  <si>
    <t>LOG-03548</t>
  </si>
  <si>
    <t>LOG-03549</t>
  </si>
  <si>
    <t>LOG-03550</t>
  </si>
  <si>
    <t>LOG-03551</t>
  </si>
  <si>
    <t>LOG-03552</t>
  </si>
  <si>
    <t>LOG-03553</t>
  </si>
  <si>
    <t>LOG-03554</t>
  </si>
  <si>
    <t>LOG-03555</t>
  </si>
  <si>
    <t>LOG-03556</t>
  </si>
  <si>
    <t>LOG-03557</t>
  </si>
  <si>
    <t>LOG-03558</t>
  </si>
  <si>
    <t>LOG-03559</t>
  </si>
  <si>
    <t>LOG-03560</t>
  </si>
  <si>
    <t>LOG-03561</t>
  </si>
  <si>
    <t>LOG-03562</t>
  </si>
  <si>
    <t>LOG-03563</t>
  </si>
  <si>
    <t>LOG-03564</t>
  </si>
  <si>
    <t>LOG-03565</t>
  </si>
  <si>
    <t>LOG-03566</t>
  </si>
  <si>
    <t>LOG-03567</t>
  </si>
  <si>
    <t>LOG-03568</t>
  </si>
  <si>
    <t>LOG-03569</t>
  </si>
  <si>
    <t>LOG-03570</t>
  </si>
  <si>
    <t>LOG-03571</t>
  </si>
  <si>
    <t>LOG-03572</t>
  </si>
  <si>
    <t>LOG-03573</t>
  </si>
  <si>
    <t>LOG-03574</t>
  </si>
  <si>
    <t>LOG-03575</t>
  </si>
  <si>
    <t>LOG-03576</t>
  </si>
  <si>
    <t>LOG-03577</t>
  </si>
  <si>
    <t>LOG-03578</t>
  </si>
  <si>
    <t>LOG-03579</t>
  </si>
  <si>
    <t>LOG-03580</t>
  </si>
  <si>
    <t>LOG-03581</t>
  </si>
  <si>
    <t>LOG-03582</t>
  </si>
  <si>
    <t>LOG-03583</t>
  </si>
  <si>
    <t>LOG-03584</t>
  </si>
  <si>
    <t>LOG-03585</t>
  </si>
  <si>
    <t>LOG-03586</t>
  </si>
  <si>
    <t>LOG-03587</t>
  </si>
  <si>
    <t>LOG-03588</t>
  </si>
  <si>
    <t>LOG-03589</t>
  </si>
  <si>
    <t>LOG-03590</t>
  </si>
  <si>
    <t>LOG-03591</t>
  </si>
  <si>
    <t>LOG-03592</t>
  </si>
  <si>
    <t>LOG-03593</t>
  </si>
  <si>
    <t>LOG-03594</t>
  </si>
  <si>
    <t>LOG-03595</t>
  </si>
  <si>
    <t>LOG-03596</t>
  </si>
  <si>
    <t>LOG-03597</t>
  </si>
  <si>
    <t>LOG-03598</t>
  </si>
  <si>
    <t>LOG-03599</t>
  </si>
  <si>
    <t>LOG-03600</t>
  </si>
  <si>
    <t>LOG-03601</t>
  </si>
  <si>
    <t>LOG-03602</t>
  </si>
  <si>
    <t>LOG-03603</t>
  </si>
  <si>
    <t>LOG-03604</t>
  </si>
  <si>
    <t>LOG-03605</t>
  </si>
  <si>
    <t>LOG-03606</t>
  </si>
  <si>
    <t>LOG-03607</t>
  </si>
  <si>
    <t>LOG-03608</t>
  </si>
  <si>
    <t>LOG-03609</t>
  </si>
  <si>
    <t>LOG-03610</t>
  </si>
  <si>
    <t>LOG-03611</t>
  </si>
  <si>
    <t>LOG-03612</t>
  </si>
  <si>
    <t>LOG-03613</t>
  </si>
  <si>
    <t>LOG-03614</t>
  </si>
  <si>
    <t>LOG-03615</t>
  </si>
  <si>
    <t>LOG-03616</t>
  </si>
  <si>
    <t>LOG-03617</t>
  </si>
  <si>
    <t>LOG-03618</t>
  </si>
  <si>
    <t>LOG-03619</t>
  </si>
  <si>
    <t>LOG-03620</t>
  </si>
  <si>
    <t>LOG-03621</t>
  </si>
  <si>
    <t>LOG-03622</t>
  </si>
  <si>
    <t>LOG-03623</t>
  </si>
  <si>
    <t>LOG-03624</t>
  </si>
  <si>
    <t>LOG-03625</t>
  </si>
  <si>
    <t>LOG-03626</t>
  </si>
  <si>
    <t>LOG-03627</t>
  </si>
  <si>
    <t>LOG-03628</t>
  </si>
  <si>
    <t>LOG-03629</t>
  </si>
  <si>
    <t>LOG-03630</t>
  </si>
  <si>
    <t>LOG-03631</t>
  </si>
  <si>
    <t>Práctica de Excel · Analyst, Customer Success Operations</t>
  </si>
  <si>
    <t>Versión: PRÁCTICA (llena las celdas amarillas)</t>
  </si>
  <si>
    <t>Escenario: eres analista de CS Ops en una empresa SaaS B2B. Liderazgo quiere (1) entender la salud de las cuentas para que los CSMs prioricen, (2) auditar los reportes actuales para decidir qué mantener, consolidar, automatizar o retirar, y (3) tener datos limpios y confiables para QBRs/EBRs, renovaciones y reportes contractuales. Todos los datos son ficticios.</t>
  </si>
  <si>
    <t>Parámetros (usados en todas las fórmulas)</t>
  </si>
  <si>
    <t>AsOfDate (fecha de corte)</t>
  </si>
  <si>
    <t>Nombre definido AsOfDate. Se usa en lugar de TODAY() para que los resultados sean reproducibles.</t>
  </si>
  <si>
    <t>LastMonth (último mes cerrado)</t>
  </si>
  <si>
    <t>Nombre definido LastMonth = primer día del mes de AsOfDate.</t>
  </si>
  <si>
    <t>CostPerHour (USD)</t>
  </si>
  <si>
    <t>Costo por hora de analista; se usa para estimar el costo de mantener un reporte.</t>
  </si>
  <si>
    <t>Cómo usar este libro</t>
  </si>
  <si>
    <t>1. Cada hoja E# es un ejercicio. Lee el objetivo (fila 2), el contexto de negocio (fila 3) y la pista gris debajo de cada encabezado.</t>
  </si>
  <si>
    <t>2. Escribe tus fórmulas en las celdas AMARILLAS. Las columnas ✓/✗ se validan solas contra la respuesta correcta (oculta). Copia/arrastra la fórmula de la primera fila hacia abajo.</t>
  </si>
  <si>
    <t>3. Si te atoras, abre CS_Ops_Soluciones.xlsx (mismo set de datos) y compara tu fórmula.</t>
  </si>
  <si>
    <t>4. Los datos están en las hojas grises como Tablas de Excel (tbl_Accounts, tbl_Usage, etc.). Úsalas con referencias estructuradas: tbl_Accounts[ARR_USD]. Revisa la hoja Diccionario.</t>
  </si>
  <si>
    <t>5. Las verificaciones asumen los parámetros y pesos por defecto. Si los cambias para experimentar, algunas ✓ pasarán a ✗ (eso es normal).</t>
  </si>
  <si>
    <t>6. Regenera el archivo con otra semilla (python generar_practica_excel.py --semilla 123) para practicar de nuevo con números diferentes.</t>
  </si>
  <si>
    <t>7. Excel en español: los nombres de funciones se traducen solos al abrir el archivo y el separador puede ser ';' en vez de ','. Abajo a la derecha tienes la tabla de traducción.</t>
  </si>
  <si>
    <t>Ejercicios y progreso</t>
  </si>
  <si>
    <t>Hoja</t>
  </si>
  <si>
    <t>Habilidad clave</t>
  </si>
  <si>
    <t>Qué practicas / para qué sirve en el puesto</t>
  </si>
  <si>
    <t>✓</t>
  </si>
  <si>
    <t>Total</t>
  </si>
  <si>
    <t>Avance</t>
  </si>
  <si>
    <t>E1_Lookups</t>
  </si>
  <si>
    <t>Lookups</t>
  </si>
  <si>
    <t>VLOOKUP, INDEX/MATCH, XLOOKUP anidado, búsqueda aproximada (tiers), búsqueda inversa (último registro), IFERROR y TRIM.</t>
  </si>
  <si>
    <t>E2_Agregaciones</t>
  </si>
  <si>
    <t>SUMIFS/COUNTIFS</t>
  </si>
  <si>
    <t>Matrices ARR segmento×región, book of business por CSM, tickets por prioridad, NPS. Base de cualquier reporte.</t>
  </si>
  <si>
    <t>E3_Health_Score</t>
  </si>
  <si>
    <t>Health score</t>
  </si>
  <si>
    <t>Construir un health score ponderado (adopción, tendencia, soporte, NPS), categorías Green/Yellow/Red y riesgo de renovación.</t>
  </si>
  <si>
    <t>E4_Auditoria_Reportes</t>
  </si>
  <si>
    <t>Auditoría de reportes</t>
  </si>
  <si>
    <t>Uso real de cada reporte, usuarios únicos, última consulta, costo por vista y recomendación (retirar / consolidar / automatizar / mantener).</t>
  </si>
  <si>
    <t>E5_Limpieza_Datos</t>
  </si>
  <si>
    <t>Calidad de datos</t>
  </si>
  <si>
    <t>Limpiar un export del CRM: espacios, mayúsculas, montos y fechas en texto, duplicados, IDs inexistentes y diferencias vs. el maestro.</t>
  </si>
  <si>
    <t>E6_Pivots</t>
  </si>
  <si>
    <t>Tablas dinámicas</t>
  </si>
  <si>
    <t>Construir pivots (agrupación por mes, % del total, campos calculados, slicers) y validar con GETPIVOTDATA.</t>
  </si>
  <si>
    <t>E7_Dinamicas_365</t>
  </si>
  <si>
    <t>Matrices dinámicas</t>
  </si>
  <si>
    <t>FILTER, UNIQUE, SORT, XLOOKUP de varias columnas, TEXTJOIN, LET, SEQUENCE.</t>
  </si>
  <si>
    <t>E8_Tendencias</t>
  </si>
  <si>
    <t>Tendencias y churn</t>
  </si>
  <si>
    <t>Uso mensual, MoM %, promedio móvil, churn y GRR, pipeline de renovaciones con ARR en riesgo.</t>
  </si>
  <si>
    <t>E9_Dashboard_CSM</t>
  </si>
  <si>
    <t>Dashboard</t>
  </si>
  <si>
    <t>Tablero para un CSM con lista desplegable, KPIs, top 5 cuentas en riesgo y gráfica.</t>
  </si>
  <si>
    <t>TOTAL</t>
  </si>
  <si>
    <t>Extras (sin verificación automática)</t>
  </si>
  <si>
    <t>E10_PowerQuery</t>
  </si>
  <si>
    <t>Importar y combinar los CSV con Power Query; refrescar.</t>
  </si>
  <si>
    <t>Entrevista</t>
  </si>
  <si>
    <t>Preguntas técnicas y de negocio para practicar en voz alta (en inglés).</t>
  </si>
  <si>
    <t>Diccionario</t>
  </si>
  <si>
    <t>Qué contiene cada tabla y columna.</t>
  </si>
  <si>
    <t>Atajos útiles</t>
  </si>
  <si>
    <t>Ctrl + T</t>
  </si>
  <si>
    <t>Convertir rango en Tabla</t>
  </si>
  <si>
    <t>Alt, N, V</t>
  </si>
  <si>
    <t>Insertar tabla dinámica</t>
  </si>
  <si>
    <t>F4</t>
  </si>
  <si>
    <t>Fijar referencia ($A$1)</t>
  </si>
  <si>
    <t>Ctrl + Shift + L</t>
  </si>
  <si>
    <t>Activar filtros</t>
  </si>
  <si>
    <t>Ctrl + Flecha</t>
  </si>
  <si>
    <t>Ir al final de los datos</t>
  </si>
  <si>
    <t>Ctrl + Shift + Flecha</t>
  </si>
  <si>
    <t>Seleccionar hasta el final</t>
  </si>
  <si>
    <t>Alt + =</t>
  </si>
  <si>
    <t>Autosuma</t>
  </si>
  <si>
    <t>Ctrl + `</t>
  </si>
  <si>
    <t>Mostrar fórmulas</t>
  </si>
  <si>
    <t>F9 (dentro de una fórmula)</t>
  </si>
  <si>
    <t>Evaluar una parte de la fórmula</t>
  </si>
  <si>
    <t>Fórmulas &gt; Evaluar fórmula</t>
  </si>
  <si>
    <t>Depurar fórmulas paso a paso</t>
  </si>
  <si>
    <t>Ctrl + Alt + F5</t>
  </si>
  <si>
    <t>Actualizar todo (pivots / Power Query)</t>
  </si>
  <si>
    <t>Funciones: inglés → español (Excel las traduce solo)</t>
  </si>
  <si>
    <t>Inglés</t>
  </si>
  <si>
    <t>Español</t>
  </si>
  <si>
    <t>XLOOKUP</t>
  </si>
  <si>
    <t>BUSCARX</t>
  </si>
  <si>
    <t>VLOOKUP</t>
  </si>
  <si>
    <t>BUSCARV</t>
  </si>
  <si>
    <t>HLOOKUP</t>
  </si>
  <si>
    <t>BUSCARH</t>
  </si>
  <si>
    <t>INDEX</t>
  </si>
  <si>
    <t>INDICE</t>
  </si>
  <si>
    <t>MATCH</t>
  </si>
  <si>
    <t>COINCIDIR</t>
  </si>
  <si>
    <t>XMATCH</t>
  </si>
  <si>
    <t>COINCIDIRX</t>
  </si>
  <si>
    <t>SUMIFS</t>
  </si>
  <si>
    <t>SUMAR.SI.CONJUNTO</t>
  </si>
  <si>
    <t>COUNTIFS</t>
  </si>
  <si>
    <t>CONTAR.SI.CONJUNTO</t>
  </si>
  <si>
    <t>AVERAGEIFS</t>
  </si>
  <si>
    <t>PROMEDIO.SI.CONJUNTO</t>
  </si>
  <si>
    <t>MAXIFS / MINIFS</t>
  </si>
  <si>
    <t>MAX.SI.CONJUNTO / MIN.SI.CONJUNTO</t>
  </si>
  <si>
    <t>SUMPRODUCT</t>
  </si>
  <si>
    <t>SUMAPRODUCTO</t>
  </si>
  <si>
    <t>IFS</t>
  </si>
  <si>
    <t>SI.CONJUNTO</t>
  </si>
  <si>
    <t>SWITCH</t>
  </si>
  <si>
    <t>CAMBIAR</t>
  </si>
  <si>
    <t>IFERROR</t>
  </si>
  <si>
    <t>SI.ERROR</t>
  </si>
  <si>
    <t>TRIM</t>
  </si>
  <si>
    <t>ESPACIOS</t>
  </si>
  <si>
    <t>PROPER / UPPER / LOWER</t>
  </si>
  <si>
    <t>NOMPROPIO / MAYUSC / MINUSC</t>
  </si>
  <si>
    <t>SUBSTITUTE</t>
  </si>
  <si>
    <t>SUSTITUIR</t>
  </si>
  <si>
    <t>NUMBERVALUE</t>
  </si>
  <si>
    <t>VALOR.NUMERO</t>
  </si>
  <si>
    <t>LEFT / MID / RIGHT</t>
  </si>
  <si>
    <t>IZQUIERDA / EXTRAE / DERECHA</t>
  </si>
  <si>
    <t>EOMONTH / EDATE</t>
  </si>
  <si>
    <t>FIN.MES / FECHA.MES</t>
  </si>
  <si>
    <t>RANK.EQ</t>
  </si>
  <si>
    <t>JERARQUIA.EQV</t>
  </si>
  <si>
    <t>FILTER / UNIQUE / SORT / SORTBY</t>
  </si>
  <si>
    <t>FILTRAR / UNICOS / ORDENAR / ORDENARPOR</t>
  </si>
  <si>
    <t>TEXTJOIN</t>
  </si>
  <si>
    <t>UNIRCADENAS</t>
  </si>
  <si>
    <t>LET</t>
  </si>
  <si>
    <t>TAKE / HSTACK</t>
  </si>
  <si>
    <t>TOMAR / APILARH</t>
  </si>
  <si>
    <t>SEQUENCE</t>
  </si>
  <si>
    <t>SECUENCIA</t>
  </si>
  <si>
    <t>GETPIVOTDATA</t>
  </si>
  <si>
    <t>IMPORTARDATOSDINAMICOS</t>
  </si>
  <si>
    <t>Diccionario de datos</t>
  </si>
  <si>
    <t>Antes de analizar, entiende la granularidad de cada tabla (¿una fila = qué?) y cuáles son las llaves para relacionarlas.</t>
  </si>
  <si>
    <t>Tabla</t>
  </si>
  <si>
    <t>Columna</t>
  </si>
  <si>
    <t>Descripción</t>
  </si>
  <si>
    <t>Filas</t>
  </si>
  <si>
    <t>tbl_Accounts</t>
  </si>
  <si>
    <t>Accounts</t>
  </si>
  <si>
    <t>Maestro de cuentas (1 fila por cliente)</t>
  </si>
  <si>
    <t>ID único de la cuenta (llave primaria)</t>
  </si>
  <si>
    <t>Nombre del cliente</t>
  </si>
  <si>
    <t>Enterprise / Mid-Market / SMB</t>
  </si>
  <si>
    <t>Región comercial</t>
  </si>
  <si>
    <t>Industria</t>
  </si>
  <si>
    <t>Producto principal contratado</t>
  </si>
  <si>
    <t>CSM asignado (llave hacia tbl_CSMs)</t>
  </si>
  <si>
    <t>Ingreso recurrente anual</t>
  </si>
  <si>
    <t>Licencias contratadas</t>
  </si>
  <si>
    <t>Inicio de contrato</t>
  </si>
  <si>
    <t>Próxima renovación (o fecha de churn si Status = Churned)</t>
  </si>
  <si>
    <t>Active / Churned</t>
  </si>
  <si>
    <t>Fecha en que se perdió la cuenta</t>
  </si>
  <si>
    <t>Si el contrato obliga a enviar reportes de uso (Monthly/Quarterly/None)</t>
  </si>
  <si>
    <t>tbl_CSMs</t>
  </si>
  <si>
    <t>CSMs</t>
  </si>
  <si>
    <t>Customer Success Managers</t>
  </si>
  <si>
    <t>ID del CSM</t>
  </si>
  <si>
    <t>Nombre</t>
  </si>
  <si>
    <t>Correo</t>
  </si>
  <si>
    <t>Segmento que atiende</t>
  </si>
  <si>
    <t>Líder</t>
  </si>
  <si>
    <t>tbl_Usage</t>
  </si>
  <si>
    <t>Usage_Monthly</t>
  </si>
  <si>
    <t>Uso del producto por cuenta y mes (12 meses)</t>
  </si>
  <si>
    <t>Cuenta</t>
  </si>
  <si>
    <t>Primer día del mes</t>
  </si>
  <si>
    <t>Usuarios activos en el mes</t>
  </si>
  <si>
    <t>Inicios de sesión</t>
  </si>
  <si>
    <t>Reportes ejecutados dentro del producto</t>
  </si>
  <si>
    <t>Funcionalidades clave usadas (1-10)</t>
  </si>
  <si>
    <t>Duración media de sesión</t>
  </si>
  <si>
    <t>tbl_Tickets</t>
  </si>
  <si>
    <t>Support_Tickets</t>
  </si>
  <si>
    <t>Tickets de soporte (último año)</t>
  </si>
  <si>
    <t>ID</t>
  </si>
  <si>
    <t>Apertura</t>
  </si>
  <si>
    <t>Cierre (vacío = abierto)</t>
  </si>
  <si>
    <t>P1 (crítico) a P4</t>
  </si>
  <si>
    <t>Tipo</t>
  </si>
  <si>
    <t>Satisfacción 1-5 (vacío = sin respuesta)</t>
  </si>
  <si>
    <t>tbl_NPS</t>
  </si>
  <si>
    <t>NPS</t>
  </si>
  <si>
    <t>Respuestas de encuesta NPS (algunas &gt; 12 meses)</t>
  </si>
  <si>
    <t>Fecha</t>
  </si>
  <si>
    <t>0-10. Promotor 9-10, Pasivo 7-8, Detractor 0-6</t>
  </si>
  <si>
    <t>tbl_Reports</t>
  </si>
  <si>
    <t>Report_Catalog</t>
  </si>
  <si>
    <t>Inventario de reportes que mantiene CS Ops</t>
  </si>
  <si>
    <t>Standard / Custom / Contractual</t>
  </si>
  <si>
    <t>Para quién es</t>
  </si>
  <si>
    <t>Cada cuánto se actualiza/envía</t>
  </si>
  <si>
    <t>Sistema origen</t>
  </si>
  <si>
    <t>Analista dueño</t>
  </si>
  <si>
    <t>Creación</t>
  </si>
  <si>
    <t>Última modificación</t>
  </si>
  <si>
    <t>Personas en la lista de distribución</t>
  </si>
  <si>
    <t>Horas al mes para mantenerlo</t>
  </si>
  <si>
    <t>tbl_ReportLog</t>
  </si>
  <si>
    <t>Report_Usage_Log</t>
  </si>
  <si>
    <t>Log de consultas de reportes (últimos 180 días)</t>
  </si>
  <si>
    <t>Reporte</t>
  </si>
  <si>
    <t>Usuario</t>
  </si>
  <si>
    <t>Rol del usuario</t>
  </si>
  <si>
    <t>View / Export / Subscribe</t>
  </si>
  <si>
    <t>Segundos en el reporte</t>
  </si>
  <si>
    <t>Relaciones: tbl_Accounts[AccountID] 1→N tbl_Usage / tbl_Tickets / tbl_NPS · tbl_CSMs[CSM_ID] 1→N tbl_Accounts · tbl_Reports[ReportID] 1→N tbl_ReportLog</t>
  </si>
  <si>
    <t>E1 · Lookups: traer datos de otras tablas</t>
  </si>
  <si>
    <t>Objetivo: un CSM te manda una lista de IDs (copiada de un correo, con espacios y minúsculas) y necesita nombre, segmento, CSM, ARR, tier, uso del último mes y días para la renovación. Practica las 3 familias de búsqueda y cuándo usar cada una.</t>
  </si>
  <si>
    <t>Contexto: es el trabajo diario de CS Ops — enriquecer listas con datos del CRM. XLOOKUP es el estándar hoy, pero en entrevistas y archivos heredados verás VLOOKUP e INDEX/MATCH.</t>
  </si>
  <si>
    <t>AccountID (lista del CSM)</t>
  </si>
  <si>
    <t>Dato dado (ojo: espacios y minúsculas)</t>
  </si>
  <si>
    <t>VLOOKUP(TRIM(A7), tbl_Accounts, 2, FALSE) + IFERROR → "No encontrado"</t>
  </si>
  <si>
    <t>INDEX(tbl_Accounts[Segment], MATCH(TRIM(A7), tbl_Accounts[AccountID], 0)) + IFERROR → "No encontrado"</t>
  </si>
  <si>
    <t>XLOOKUP anidado: primero el CSM_ID en tbl_Accounts y luego el nombre en tbl_CSMs. IFERROR → "No encontrado"</t>
  </si>
  <si>
    <t>XLOOKUP con if_not_found = 0</t>
  </si>
  <si>
    <t>Tier (aprox.)</t>
  </si>
  <si>
    <t>Si ARR=0 → ""; si no VLOOKUP(E7, $T$7:$U$10, 2, TRUE) (búsqueda aproximada)</t>
  </si>
  <si>
    <t>Tier (XLOOKUP)</t>
  </si>
  <si>
    <t>Igual pero con XLOOKUP(E7, $T$7:$T$10, $U$7:$U$10, , -1)</t>
  </si>
  <si>
    <t>ActiveUsers último registro</t>
  </si>
  <si>
    <t>XLOOKUP con search_mode -1 (de abajo hacia arriba) en tbl_Usage → último mes con datos. if_not_found → "No encontrado"</t>
  </si>
  <si>
    <t>Días a renovación</t>
  </si>
  <si>
    <t>IFERROR(XLOOKUP(...RenewalDate) - AsOfDate, "")</t>
  </si>
  <si>
    <t>✓B</t>
  </si>
  <si>
    <t>✓C</t>
  </si>
  <si>
    <t>✓D</t>
  </si>
  <si>
    <t>✓E</t>
  </si>
  <si>
    <t>✓F</t>
  </si>
  <si>
    <t>✓G</t>
  </si>
  <si>
    <t>✓H</t>
  </si>
  <si>
    <t>✓I</t>
  </si>
  <si>
    <t>Platinum</t>
  </si>
  <si>
    <t>Silver</t>
  </si>
  <si>
    <t xml:space="preserve">acc-0096 </t>
  </si>
  <si>
    <t>Bronze</t>
  </si>
  <si>
    <t>Gold</t>
  </si>
  <si>
    <t>ACC-9999</t>
  </si>
  <si>
    <t>No encontrado</t>
  </si>
  <si>
    <t xml:space="preserve"> ACC-0141</t>
  </si>
  <si>
    <t>Min ARR</t>
  </si>
  <si>
    <t>Tier</t>
  </si>
  <si>
    <t>Tabla de tiers: ordenada ascendente (requisito de la búsqueda aproximada)</t>
  </si>
  <si>
    <t>Para pensar (entrevista): ¿por qué VLOOKUP se rompe si alguien inserta una columna en tbl_Accounts? ¿Qué ventajas tiene XLOOKUP (búsqueda a la izquierda, if_not_found, búsqueda inversa, coincidencia aproximada sin ordenar)? ¿Qué pasa con el ID que tiene espacios si no usas TRIM?</t>
  </si>
  <si>
    <t>E2 · Agregaciones condicionales (SUMIFS, COUNTIFS, AVERAGEIFS, MAXIFS, SUMPRODUCT)</t>
  </si>
  <si>
    <t>Objetivo: responder con fórmulas las preguntas típicas de liderazgo: ¿cuánto ARR activo tenemos por segmento y región? ¿cómo está el book of business de cada CSM? ¿cómo va el backlog de soporte? ¿cuál es nuestro NPS?</t>
  </si>
  <si>
    <t>Tip: estas mismas preguntas se pueden contestar con una tabla dinámica (E6). Saber hacerlas con fórmulas te permite construir reportes que se actualizan solos y validar los pivots.</t>
  </si>
  <si>
    <t>1) ARR activo por Segmento × Región</t>
  </si>
  <si>
    <t>Segment \ Region</t>
  </si>
  <si>
    <t>SUMIFS(tbl_Accounts[ARR_USD], ...[Segment], $A7, ...[Region], B$5, ...[Status], "Active")</t>
  </si>
  <si>
    <t>Fija fila/columna con $ para arrastrar</t>
  </si>
  <si>
    <t>SUM de la fila</t>
  </si>
  <si>
    <t>Chk</t>
  </si>
  <si>
    <t>2) Book of business por CSM (solo cuentas activas)</t>
  </si>
  <si>
    <t>Dado</t>
  </si>
  <si>
    <t>XLOOKUP en tbl_CSMs</t>
  </si>
  <si>
    <t># Cuentas</t>
  </si>
  <si>
    <t>COUNTIFS con 2 criterios</t>
  </si>
  <si>
    <t>ARR</t>
  </si>
  <si>
    <t>ARR promedio</t>
  </si>
  <si>
    <t>AVERAGEIFS (IFERROR → 0)</t>
  </si>
  <si>
    <t>Cuenta más grande (ARR)</t>
  </si>
  <si>
    <t>MAXIFS</t>
  </si>
  <si>
    <t>Próxima renovación</t>
  </si>
  <si>
    <t>MINIFS sobre RenewalDate</t>
  </si>
  <si>
    <t>% del ARR total</t>
  </si>
  <si>
    <t xml:space="preserve">D / SUM($D$...) </t>
  </si>
  <si>
    <t>3) Soporte por prioridad (todos los tickets del año)</t>
  </si>
  <si>
    <t>Total tickets</t>
  </si>
  <si>
    <t>Abiertos</t>
  </si>
  <si>
    <t>COUNTIFS con ClosedDate = "" (vacío)</t>
  </si>
  <si>
    <t>% abiertos</t>
  </si>
  <si>
    <t>C / B</t>
  </si>
  <si>
    <t>Días prom. de resolución</t>
  </si>
  <si>
    <t>SUMPRODUCT((Priority=A)*(ClosedDate&lt;&gt;"")*(ClosedDate-OpenedDate)) / COUNTIFS(..., ClosedDate, "&lt;&gt;")</t>
  </si>
  <si>
    <t>CSAT promedio</t>
  </si>
  <si>
    <t>AVERAGEIFS (ignora vacíos) + IFERROR</t>
  </si>
  <si>
    <t>4) NPS global (todas las respuestas)</t>
  </si>
  <si>
    <t>Métrica</t>
  </si>
  <si>
    <t>Valor</t>
  </si>
  <si>
    <t>Pista</t>
  </si>
  <si>
    <t>Promotores (9-10)</t>
  </si>
  <si>
    <t>COUNTIF &gt;=9</t>
  </si>
  <si>
    <t>Pasivos (7-8)</t>
  </si>
  <si>
    <t>COUNTIFS con 2 criterios sobre la misma columna</t>
  </si>
  <si>
    <t>Detractores (0-6)</t>
  </si>
  <si>
    <t>COUNTIF &lt;=6</t>
  </si>
  <si>
    <t>Total respuestas</t>
  </si>
  <si>
    <t>SUM</t>
  </si>
  <si>
    <t>(%Promotores − %Detractores) × 100. Rango −100 a 100</t>
  </si>
  <si>
    <t>E3 · Customer Health Score</t>
  </si>
  <si>
    <t>Objetivo: calcular para cada cuenta activa un health score de 0-100 combinando adopción (uso de licencias), tendencia de uso, tickets críticos abiertos y NPS; clasificar Green/Yellow/Red y marcar las cuentas en rojo que renuevan en ≤180 días. Los pesos están en la fila 4 (deben sumar 100%).</t>
  </si>
  <si>
    <t>Contexto: es lo que pide la vacante — 'build and refine health-score and KPI frameworks'. En la entrevista explica POR QUÉ elegiste cada métrica y peso, y qué validarías con los CSMs (¿las cuentas Red realmente están en riesgo?).</t>
  </si>
  <si>
    <t>Pesos →</t>
  </si>
  <si>
    <t>ActiveUsers (LastMonth)</t>
  </si>
  <si>
    <t>SUMIFS(tbl_Usage[ActiveUsers], ...[AccountID], A8, ...[Month], LastMonth)</t>
  </si>
  <si>
    <t>Seat Utilization</t>
  </si>
  <si>
    <t>IFERROR(ROUND(G8/F8, 4), 0)</t>
  </si>
  <si>
    <t>Logins últimos 3m</t>
  </si>
  <si>
    <t>SUMIFS(...[Logins], ..., [Month], "&gt;="&amp;EDATE(LastMonth,-2))</t>
  </si>
  <si>
    <t>Logins 3m previos</t>
  </si>
  <si>
    <t>Meses −5 a −3: "&gt;="&amp;EDATE(LastMonth,-5) y "&lt;"&amp;EDATE(LastMonth,-2)</t>
  </si>
  <si>
    <t>Tendencia uso %</t>
  </si>
  <si>
    <t>IFERROR(ROUND(I8/J8-1, 4), 0)</t>
  </si>
  <si>
    <t>Tickets P1/P2 abiertos</t>
  </si>
  <si>
    <t>SUM(COUNTIFS(...[AccountID],A8, ...[ClosedDate],"", ...[Priority],{"P1","P2"}))</t>
  </si>
  <si>
    <t>NPS prom. 12m</t>
  </si>
  <si>
    <t>IFERROR(AVERAGEIFS(tbl_NPS[Score], ..., [ResponseDate], "&gt;"&amp;EDATE(AsOfDate,-12)), "")</t>
  </si>
  <si>
    <t>XLOOKUP(RenewalDate) − AsOfDate</t>
  </si>
  <si>
    <t>Score Adopción</t>
  </si>
  <si>
    <t>IFS: ≥80%→100, ≥60%→75, ≥40%→50, ≥20%→25, si no 0</t>
  </si>
  <si>
    <t>Score Tendencia</t>
  </si>
  <si>
    <t>IFS: ≥10%→100, ≥0%→75, ≥−10%→50, ≥−25%→25, si no 0</t>
  </si>
  <si>
    <t>Score Soporte</t>
  </si>
  <si>
    <t>IFS: 0→100, 1→60, ≤3→30, si no 0</t>
  </si>
  <si>
    <t>Score NPS</t>
  </si>
  <si>
    <t>Sin NPS ("")→50; IFS: ≥9→100, ≥7→70, ≥5→40, si no 10</t>
  </si>
  <si>
    <t>HEALTH SCORE</t>
  </si>
  <si>
    <t>ROUND(SUMPRODUCT(O8:R8, $O$4:$R$4), 1)</t>
  </si>
  <si>
    <t>Categoría</t>
  </si>
  <si>
    <t>IFS: ≥75 Green, ≥50 Yellow, si no Red</t>
  </si>
  <si>
    <t>Alerta</t>
  </si>
  <si>
    <t>Red y renovación ≤180 días → "⚠ Riesgo renovación", si no ""</t>
  </si>
  <si>
    <t>Rank (1 = peor)</t>
  </si>
  <si>
    <t>RANK.EQ(S8, $S$8:$S$n, 1)</t>
  </si>
  <si>
    <t>✓K</t>
  </si>
  <si>
    <t>✓L</t>
  </si>
  <si>
    <t>✓M</t>
  </si>
  <si>
    <t>✓S</t>
  </si>
  <si>
    <t>✓T</t>
  </si>
  <si>
    <t>✓V</t>
  </si>
  <si>
    <t>Yellow</t>
  </si>
  <si>
    <t>Green</t>
  </si>
  <si>
    <t>Red</t>
  </si>
  <si>
    <t>Resumen (usa los nombres definidos HS_Cat, HS_ARR, ...)</t>
  </si>
  <si>
    <t>Health score promedio</t>
  </si>
  <si>
    <t>ARR ponderado por health (prom.)</t>
  </si>
  <si>
    <t># Cuentas con alerta de renovación</t>
  </si>
  <si>
    <t>ARR en riesgo (Red, ≤180 días)</t>
  </si>
  <si>
    <t>✓ de la columna ARR (G/Y/R) →</t>
  </si>
  <si>
    <t>E4 · Auditoría del uso de reportes</t>
  </si>
  <si>
    <t>Objetivo: con el log de uso (Report_Usage_Log) y el inventario (Report_Catalog) mide cuánto se usa realmente cada reporte, cuánto cuesta mantenerlo y genera una recomendación: Retirar, Consolidar, Automatizar o Mantener. Luego resume cuántas horas se liberarían.</t>
  </si>
  <si>
    <t>Contexto: la vacante pide 'analizar y auditar' los reportes actuales para saber qué mejorar, quitar o agregar. Fíjate en reportes duplicados (Login v1 vs v2, 'Copy of...'), reportes ad hoc que se piden tanto que conviene automatizarlos y reportes contractuales que nadie abre (¿se envían por otro lado?).</t>
  </si>
  <si>
    <t>Views (180d)</t>
  </si>
  <si>
    <t>COUNTIFS(tbl_ReportLog[ReportID], A7, ...[Action], "View")</t>
  </si>
  <si>
    <t>Exports (180d)</t>
  </si>
  <si>
    <t>Igual con "Export"</t>
  </si>
  <si>
    <t>Usuarios únicos</t>
  </si>
  <si>
    <t>IFERROR(ROWS(UNIQUE(FILTER(tbl_ReportLog[UserEmail], tbl_ReportLog[ReportID]=A7))), 0)</t>
  </si>
  <si>
    <t>Último uso</t>
  </si>
  <si>
    <t>Si no hay registros → ""; si no MAXIFS(tbl_ReportLog[Date], ...)</t>
  </si>
  <si>
    <t>Días sin uso</t>
  </si>
  <si>
    <t>IF(H7="", "", AsOfDate − H7)</t>
  </si>
  <si>
    <t>Views últimos 90d</t>
  </si>
  <si>
    <t>COUNTIFS(..., "View", ...[Date], "&gt;"&amp;AsOfDate-90)</t>
  </si>
  <si>
    <t>Horas mant./mes</t>
  </si>
  <si>
    <t>XLOOKUP MaintHrsPerMonth</t>
  </si>
  <si>
    <t>Costo por vista (USD)</t>
  </si>
  <si>
    <t>IFERROR(K7*6*CostPerHour/E7, "")</t>
  </si>
  <si>
    <t>Recomendación</t>
  </si>
  <si>
    <t>IFS: Contractual→"Mantener (contractual)"; J=0→"Retirar"; J&lt;10→"Consolidar / revisar"; Ad hoc y J≥30→"Automatizar"; si no "Mantener"</t>
  </si>
  <si>
    <t>✓J</t>
  </si>
  <si>
    <t>Mantener</t>
  </si>
  <si>
    <t>Retirar</t>
  </si>
  <si>
    <t>Consolidar / revisar</t>
  </si>
  <si>
    <t>Mantener (contractual)</t>
  </si>
  <si>
    <t>Automatizar</t>
  </si>
  <si>
    <t>Resumen para liderazgo</t>
  </si>
  <si>
    <t># Reportes</t>
  </si>
  <si>
    <t>COUNTIF($M$7:$M$n, W7)</t>
  </si>
  <si>
    <t>Horas/mes</t>
  </si>
  <si>
    <t>SUMIF(..., $K$7:$K$n)</t>
  </si>
  <si>
    <t>✓ de Horas/mes →</t>
  </si>
  <si>
    <t>Ahorro anual si se retiran (USD)</t>
  </si>
  <si>
    <t>% reportes sin views en 90 días</t>
  </si>
  <si>
    <t>¿Quién consume los reportes? (views por rol)</t>
  </si>
  <si>
    <t>Views</t>
  </si>
  <si>
    <t>COUNTIFS(...[UserRole], W24, ...[Action], "View")</t>
  </si>
  <si>
    <t>% del total</t>
  </si>
  <si>
    <t>X / SUM(X)</t>
  </si>
  <si>
    <t>Para la entrevista: redacta 3-5 bullets para liderazgo con los hallazgos (p. ej. 'X reportes sin uso en 90 días → retirarlos libera N h/mes'; 'Login v1 y v2 duplican información'; 'el reporte ad hoc Y se pide cada semana → automatizar'; 'un reporte contractual sin views: validar con el CSM que se esté entregando al cliente').</t>
  </si>
  <si>
    <t>E5 · Limpieza y auditoría de datos (export del CRM)</t>
  </si>
  <si>
    <t>Objetivo: un CSM te pasó este export del CRM (columnas A-F, tal cual). Límpialo con fórmulas (columnas H-M), detecta duplicados, cuentas que no existen en el maestro y diferencias de ARR (columnas N-Q). Después resume la calidad de los datos a la derecha.</t>
  </si>
  <si>
    <t>Contexto: antes de cualquier reporte o health score hay que confiar en los datos. En la entrevista describe tu proceso: estandarizar → deduplicar → conciliar contra la fuente de verdad → documentar y corregir en el origen (no solo en Excel).</t>
  </si>
  <si>
    <t>Account ID (raw)</t>
  </si>
  <si>
    <t>Account Name (raw)</t>
  </si>
  <si>
    <t>Segment (raw)</t>
  </si>
  <si>
    <t>ARR (raw)</t>
  </si>
  <si>
    <t>Renewal (raw)</t>
  </si>
  <si>
    <t>Formatos: AAAA-MM-DD o DD/MM/AAAA</t>
  </si>
  <si>
    <t>CSM Email (raw)</t>
  </si>
  <si>
    <t>ID limpio</t>
  </si>
  <si>
    <t>UPPER(TRIM(A8))</t>
  </si>
  <si>
    <t>Nombre limpio</t>
  </si>
  <si>
    <t>PROPER(TRIM(B8))</t>
  </si>
  <si>
    <t>Segment limpio</t>
  </si>
  <si>
    <t>SWITCH(UPPER(TRIM(C8)), "ENTERPRISE","Enterprise", "ENT","Enterprise", "MID-MARKET",..., "MID MARKET",..., "MM",..., "SMB","SMB", "SMALL BUSINESS","SMB", "Revisar")</t>
  </si>
  <si>
    <t>ARR (número)</t>
  </si>
  <si>
    <t>NUMBERVALUE(SUBSTITUTE(SUBSTITUTE(D8,"$",""),"USD",""), ".", ",")</t>
  </si>
  <si>
    <t>Renewal (fecha)</t>
  </si>
  <si>
    <t>IF(MID(E8,5,1)="-", DATE(LEFT(E8,4),MID(E8,6,2),RIGHT(E8,2)), DATE(RIGHT(E8,4),MID(E8,4,2),LEFT(E8,2)))</t>
  </si>
  <si>
    <t>Email limpio</t>
  </si>
  <si>
    <t>LOWER(TRIM(F8))</t>
  </si>
  <si>
    <t>¿Duplicado?</t>
  </si>
  <si>
    <t>IF(COUNTIF($H$8:H8, H8)&gt;1, "Duplicado", "")  ← rango que crece</t>
  </si>
  <si>
    <t>¿Existe en maestro?</t>
  </si>
  <si>
    <t>IF(ISNUMBER(MATCH(H8, tbl_Accounts[AccountID], 0)), "Sí", "No")</t>
  </si>
  <si>
    <t>Dif. ARR vs maestro</t>
  </si>
  <si>
    <t>IFERROR(K8 − XLOOKUP(H8, ...[AccountID], ...[ARR_USD]), "")</t>
  </si>
  <si>
    <t># Problemas</t>
  </si>
  <si>
    <t>(N8&lt;&gt;"") + (O8="No") + IF(ISNUMBER(P8), --(P8&lt;&gt;0), 0) + (M8="")</t>
  </si>
  <si>
    <t>✓N</t>
  </si>
  <si>
    <t>✓O</t>
  </si>
  <si>
    <t>✓P</t>
  </si>
  <si>
    <t>✓Q</t>
  </si>
  <si>
    <t xml:space="preserve"> ACC-0073</t>
  </si>
  <si>
    <t>Riverbend  Group</t>
  </si>
  <si>
    <t xml:space="preserve"> Mid Market</t>
  </si>
  <si>
    <t>$80,100</t>
  </si>
  <si>
    <t>2026-10-16</t>
  </si>
  <si>
    <t xml:space="preserve">  sofia.ramirez@empresa-demo.com</t>
  </si>
  <si>
    <t>Sí</t>
  </si>
  <si>
    <t>Atlas  Energy</t>
  </si>
  <si>
    <t>38,200 USD</t>
  </si>
  <si>
    <t>24/12/2026</t>
  </si>
  <si>
    <t/>
  </si>
  <si>
    <t>COBALT MANUFACTURING</t>
  </si>
  <si>
    <t xml:space="preserve"> SMB </t>
  </si>
  <si>
    <t>12500</t>
  </si>
  <si>
    <t>2027-05-12</t>
  </si>
  <si>
    <t xml:space="preserve">  michael.brooks@empresa-demo.com</t>
  </si>
  <si>
    <t>Cobalt  Legal</t>
  </si>
  <si>
    <t>84000</t>
  </si>
  <si>
    <t>2026-01-02</t>
  </si>
  <si>
    <t>Emily.Carter@Empresa-Demo.Com</t>
  </si>
  <si>
    <t xml:space="preserve">ACC-0071  </t>
  </si>
  <si>
    <t>SUMMIT MANUFACTURING</t>
  </si>
  <si>
    <t>Small Business</t>
  </si>
  <si>
    <t>$36,000.00</t>
  </si>
  <si>
    <t>17/07/2027</t>
  </si>
  <si>
    <t xml:space="preserve">ACC-0094  </t>
  </si>
  <si>
    <t>DRIFTWOOD GROUP</t>
  </si>
  <si>
    <t>smb</t>
  </si>
  <si>
    <t>$9,400</t>
  </si>
  <si>
    <t>2027-04-05</t>
  </si>
  <si>
    <t>westfield systems</t>
  </si>
  <si>
    <t xml:space="preserve"> 112500.00</t>
  </si>
  <si>
    <t>17/05/2027</t>
  </si>
  <si>
    <t>CRESCENT GROUP</t>
  </si>
  <si>
    <t>mid-market</t>
  </si>
  <si>
    <t>$136,500.00</t>
  </si>
  <si>
    <t>2027-08-08</t>
  </si>
  <si>
    <t xml:space="preserve"> ACC-0252</t>
  </si>
  <si>
    <t xml:space="preserve">  Elmstone Ventures</t>
  </si>
  <si>
    <t>USD 68000</t>
  </si>
  <si>
    <t>24/03/2027</t>
  </si>
  <si>
    <t>ACC-0252</t>
  </si>
  <si>
    <t>Elmstone Ventures</t>
  </si>
  <si>
    <t>No</t>
  </si>
  <si>
    <t xml:space="preserve">ACC-0034  </t>
  </si>
  <si>
    <t>Evergreen  Logistics</t>
  </si>
  <si>
    <t>$125,200.00</t>
  </si>
  <si>
    <t>26/05/2027</t>
  </si>
  <si>
    <t>EMILY.CARTER@EMPRESA-DEMO.COM</t>
  </si>
  <si>
    <t>PINNACLE PARTNERS</t>
  </si>
  <si>
    <t>$189,000</t>
  </si>
  <si>
    <t>11/08/2027</t>
  </si>
  <si>
    <t xml:space="preserve">ACC-0092  </t>
  </si>
  <si>
    <t xml:space="preserve">  Riverbend Capital</t>
  </si>
  <si>
    <t>100400</t>
  </si>
  <si>
    <t>2027-08-14</t>
  </si>
  <si>
    <t>SOFIA.RAMIREZ@EMPRESA-DEMO.COM</t>
  </si>
  <si>
    <t>sterling retail</t>
  </si>
  <si>
    <t>Ent</t>
  </si>
  <si>
    <t>209,600 USD</t>
  </si>
  <si>
    <t>10/08/2026</t>
  </si>
  <si>
    <t>ANA.LOPEZ@EMPRESA-DEMO.COM</t>
  </si>
  <si>
    <t xml:space="preserve"> ACC-0068</t>
  </si>
  <si>
    <t xml:space="preserve">  Horizon Financial</t>
  </si>
  <si>
    <t>20,100 USD</t>
  </si>
  <si>
    <t>2026-11-09</t>
  </si>
  <si>
    <t>JAMES.WALKER@EMPRESA-DEMO.COM</t>
  </si>
  <si>
    <t xml:space="preserve">  Vantage Retail</t>
  </si>
  <si>
    <t>41500</t>
  </si>
  <si>
    <t>2027-09-13</t>
  </si>
  <si>
    <t>DANIEL.ORTIZ@EMPRESA-DEMO.COM</t>
  </si>
  <si>
    <t>acc-0113</t>
  </si>
  <si>
    <t xml:space="preserve">  Keystone Insurance</t>
  </si>
  <si>
    <t>$22,300</t>
  </si>
  <si>
    <t>25/03/2027</t>
  </si>
  <si>
    <t>acc-0096</t>
  </si>
  <si>
    <t>Riverbend  Insurance</t>
  </si>
  <si>
    <t>USD 18100</t>
  </si>
  <si>
    <t>2026-10-21</t>
  </si>
  <si>
    <t xml:space="preserve">  james.walker@empresa-demo.com</t>
  </si>
  <si>
    <t xml:space="preserve"> 89000.00</t>
  </si>
  <si>
    <t>Duplicado</t>
  </si>
  <si>
    <t>KEYSTONE PARTNERS</t>
  </si>
  <si>
    <t>$71,700.00</t>
  </si>
  <si>
    <t>30/04/2027</t>
  </si>
  <si>
    <t xml:space="preserve"> ACC-0253</t>
  </si>
  <si>
    <t>cobalt ventures</t>
  </si>
  <si>
    <t>USD 80000</t>
  </si>
  <si>
    <t>24/02/2027</t>
  </si>
  <si>
    <t>ACC-0253</t>
  </si>
  <si>
    <t>Cobalt Ventures</t>
  </si>
  <si>
    <t xml:space="preserve">  Riverbend Manufacturing</t>
  </si>
  <si>
    <t xml:space="preserve"> 24900.00</t>
  </si>
  <si>
    <t>16/09/2027</t>
  </si>
  <si>
    <t>Lucia.Herrera@Empresa-Demo.Com</t>
  </si>
  <si>
    <t>lakeshore holdings</t>
  </si>
  <si>
    <t>320,700 USD</t>
  </si>
  <si>
    <t>2027-09-02</t>
  </si>
  <si>
    <t>Carlos.Mendez@Empresa-Demo.Com</t>
  </si>
  <si>
    <t>Silverline  Systems</t>
  </si>
  <si>
    <t>USD 8500</t>
  </si>
  <si>
    <t>2027-05-02</t>
  </si>
  <si>
    <t xml:space="preserve"> ACC-0130</t>
  </si>
  <si>
    <t xml:space="preserve"> 45000.00</t>
  </si>
  <si>
    <t>23/04/2027</t>
  </si>
  <si>
    <t>EVERGREEN SYSTEMS</t>
  </si>
  <si>
    <t>USD 224800</t>
  </si>
  <si>
    <t>2026-11-22</t>
  </si>
  <si>
    <t>acc-0128</t>
  </si>
  <si>
    <t>riverbend manufacturing</t>
  </si>
  <si>
    <t>2027-09-16</t>
  </si>
  <si>
    <t xml:space="preserve"> ACC-0114</t>
  </si>
  <si>
    <t>Monarch  Bank</t>
  </si>
  <si>
    <t>$595,800</t>
  </si>
  <si>
    <t>23/06/2027</t>
  </si>
  <si>
    <t xml:space="preserve"> ACC-0044</t>
  </si>
  <si>
    <t>ATLAS HEALTH</t>
  </si>
  <si>
    <t>$105,800.00</t>
  </si>
  <si>
    <t>2027-09-26</t>
  </si>
  <si>
    <t>HARBOR CAPITAL</t>
  </si>
  <si>
    <t>enterprise</t>
  </si>
  <si>
    <t xml:space="preserve"> 486200.00</t>
  </si>
  <si>
    <t>2026-12-12</t>
  </si>
  <si>
    <t>CARLOS.MENDEZ@EMPRESA-DEMO.COM</t>
  </si>
  <si>
    <t>$301,100.00</t>
  </si>
  <si>
    <t>19/08/2027</t>
  </si>
  <si>
    <t>ACC-0251</t>
  </si>
  <si>
    <t>liberty ventures</t>
  </si>
  <si>
    <t xml:space="preserve">ENTERPRISE </t>
  </si>
  <si>
    <t>27,000 USD</t>
  </si>
  <si>
    <t>14/04/2027</t>
  </si>
  <si>
    <t>Liberty Ventures</t>
  </si>
  <si>
    <t xml:space="preserve">  Sierra Holdings</t>
  </si>
  <si>
    <t xml:space="preserve"> 21700.00</t>
  </si>
  <si>
    <t>02/08/2027</t>
  </si>
  <si>
    <t>Michael.Brooks@Empresa-Demo.Com</t>
  </si>
  <si>
    <t xml:space="preserve">ACC-0030  </t>
  </si>
  <si>
    <t>liberty financial</t>
  </si>
  <si>
    <t>45,700 USD</t>
  </si>
  <si>
    <t>06/05/2027</t>
  </si>
  <si>
    <t xml:space="preserve"> ACC-0133</t>
  </si>
  <si>
    <t>pioneer capital</t>
  </si>
  <si>
    <t>USD 86100</t>
  </si>
  <si>
    <t xml:space="preserve">ACC-0079  </t>
  </si>
  <si>
    <t xml:space="preserve">  Ironwood Systems</t>
  </si>
  <si>
    <t>$12,700.00</t>
  </si>
  <si>
    <t>30/03/2027</t>
  </si>
  <si>
    <t xml:space="preserve"> ACC-0096</t>
  </si>
  <si>
    <t xml:space="preserve"> ACC-0067</t>
  </si>
  <si>
    <t xml:space="preserve">  Meridian Manufacturing</t>
  </si>
  <si>
    <t>479800</t>
  </si>
  <si>
    <t>22/06/2027</t>
  </si>
  <si>
    <t>cedar partners</t>
  </si>
  <si>
    <t>37400</t>
  </si>
  <si>
    <t>2027-06-28</t>
  </si>
  <si>
    <t xml:space="preserve">  lucia.herrera@empresa-demo.com</t>
  </si>
  <si>
    <t>blue ridge partners</t>
  </si>
  <si>
    <t>$36,400</t>
  </si>
  <si>
    <t>03/07/2027</t>
  </si>
  <si>
    <t xml:space="preserve"> ACC-0062</t>
  </si>
  <si>
    <t>coastal energy</t>
  </si>
  <si>
    <t>20,400 USD</t>
  </si>
  <si>
    <t>12/06/2027</t>
  </si>
  <si>
    <t xml:space="preserve">ACC-0081  </t>
  </si>
  <si>
    <t xml:space="preserve">  Atlas Logistics</t>
  </si>
  <si>
    <t>$35,700</t>
  </si>
  <si>
    <t>01/11/2026</t>
  </si>
  <si>
    <t xml:space="preserve"> 35700.00</t>
  </si>
  <si>
    <t>MICHAEL.BROOKS@EMPRESA-DEMO.COM</t>
  </si>
  <si>
    <t>18600</t>
  </si>
  <si>
    <t>2027-03-31</t>
  </si>
  <si>
    <t xml:space="preserve">ACC-0036  </t>
  </si>
  <si>
    <t xml:space="preserve">  Granite Logistics</t>
  </si>
  <si>
    <t>30100</t>
  </si>
  <si>
    <t>03/02/2027</t>
  </si>
  <si>
    <t>James.Walker@Empresa-Demo.Com</t>
  </si>
  <si>
    <t xml:space="preserve">ACC-0148  </t>
  </si>
  <si>
    <t>22,000 USD</t>
  </si>
  <si>
    <t>2027-06-16</t>
  </si>
  <si>
    <t>LIBERTY LOGISTICS</t>
  </si>
  <si>
    <t xml:space="preserve"> 18400.00</t>
  </si>
  <si>
    <t>16/10/2026</t>
  </si>
  <si>
    <t>FALCON CAPITAL</t>
  </si>
  <si>
    <t>$114,500</t>
  </si>
  <si>
    <t>2026-12-25</t>
  </si>
  <si>
    <t xml:space="preserve">  emily.carter@empresa-demo.com</t>
  </si>
  <si>
    <t xml:space="preserve">  Oakmont Logistics</t>
  </si>
  <si>
    <t>19,900 USD</t>
  </si>
  <si>
    <t>14/08/2027</t>
  </si>
  <si>
    <t>$104,100.00</t>
  </si>
  <si>
    <t>15/07/2027</t>
  </si>
  <si>
    <t>ACC-0254</t>
  </si>
  <si>
    <t>$10,000</t>
  </si>
  <si>
    <t>29/03/2027</t>
  </si>
  <si>
    <t xml:space="preserve">ACC-0142  </t>
  </si>
  <si>
    <t>HORIZON SYSTEMS</t>
  </si>
  <si>
    <t>USD 45300</t>
  </si>
  <si>
    <t>07/07/2027</t>
  </si>
  <si>
    <t xml:space="preserve">ACC-0067  </t>
  </si>
  <si>
    <t>meridian manufacturing</t>
  </si>
  <si>
    <t>477,300 USD</t>
  </si>
  <si>
    <t>2027-06-22</t>
  </si>
  <si>
    <t>Ana.Lopez@Empresa-Demo.Com</t>
  </si>
  <si>
    <t xml:space="preserve">ACC-0114  </t>
  </si>
  <si>
    <t>MONARCH BANK</t>
  </si>
  <si>
    <t>USD 595800</t>
  </si>
  <si>
    <t xml:space="preserve">  carlos.mendez@empresa-demo.com</t>
  </si>
  <si>
    <t xml:space="preserve">  Westfield Energy</t>
  </si>
  <si>
    <t>USD 131300</t>
  </si>
  <si>
    <t>2027-03-22</t>
  </si>
  <si>
    <t>BRIGHTPATH PHARMA</t>
  </si>
  <si>
    <t>$186,000.00</t>
  </si>
  <si>
    <t>07/08/2027</t>
  </si>
  <si>
    <t xml:space="preserve"> ACC-0117</t>
  </si>
  <si>
    <t xml:space="preserve">  Ironwood Retail</t>
  </si>
  <si>
    <t>$21,200.00</t>
  </si>
  <si>
    <t>08/01/2027</t>
  </si>
  <si>
    <t xml:space="preserve"> ACC-0004</t>
  </si>
  <si>
    <t>Sterling  Financial</t>
  </si>
  <si>
    <t>$23,200</t>
  </si>
  <si>
    <t>07/11/2026</t>
  </si>
  <si>
    <t xml:space="preserve"> ACC-0104</t>
  </si>
  <si>
    <t>LIBERTY RETAIL</t>
  </si>
  <si>
    <t>$119,100</t>
  </si>
  <si>
    <t>2026-12-08</t>
  </si>
  <si>
    <t>Resumen de calidad de datos</t>
  </si>
  <si>
    <t>Filas en el export</t>
  </si>
  <si>
    <t>IDs únicos</t>
  </si>
  <si>
    <t>Filas duplicadas</t>
  </si>
  <si>
    <t>IDs que no existen en el maestro</t>
  </si>
  <si>
    <t>Filas con ARR distinto al maestro</t>
  </si>
  <si>
    <t>Filas sin email de CSM</t>
  </si>
  <si>
    <t>% filas sin problemas</t>
  </si>
  <si>
    <t>Siguiente paso real: documenta las reglas de limpieza, avisa al dueño del dato (Sales Ops / CSM) y corrige en Salesforce. Opcional: repite esta limpieza con Power Query (E10) y compara.</t>
  </si>
  <si>
    <t>E6 · Tablas dinámicas (Pivot Tables)</t>
  </si>
  <si>
    <t>Objetivo: crea cada tabla dinámica en una hoja nueva (Insertar &gt; Tabla dinámica, origen = la tabla indicada) y copia aquí los resultados (a mano o con GETPIVOTDATA). Las ✓ te dicen si tu pivot está bien. En la versión de soluciones verás cómo obtener lo mismo con fórmulas.</t>
  </si>
  <si>
    <t>Tip: usa siempre una Tabla de Excel como origen (se expande sola), cambia 'Resumir valores por' y 'Mostrar valores como' (% del total), agrupa fechas por mes, agrega segmentaciones (slicers) y una escala de tiempo. Recuerda 'Actualizar' después de cambiar datos.</t>
  </si>
  <si>
    <t>P1 · Cuentas y ARR por Producto (solo activas)</t>
  </si>
  <si>
    <t>Origen: tbl_Accounts. Filtros: Status = Active. Filas: Product. Valores: Recuento de AccountID, Suma de ARR_USD y otra vez Suma de ARR_USD mostrada como '% del total general'. Extra: agrega un campo calculado ARR por licencia = ARR_USD / LicensedSeats y un slicer por Region.</t>
  </si>
  <si>
    <t>% del ARR</t>
  </si>
  <si>
    <t>P2 · Usuarios activos por Mes y Segmento</t>
  </si>
  <si>
    <t>Origen: tbl_Usage. Primero agrega a tbl_Usage una columna Segment con XLOOKUP hacia tbl_Accounts (o usa el Modelo de datos con una relación por AccountID). Filas: Month (agrupado por meses/años). Columnas: Segment. Valores: Suma de ActiveUsers. Extra: inserta un gráfico dinámico de líneas.</t>
  </si>
  <si>
    <t>P3 · Tickets por Categoría y Prioridad + CSAT</t>
  </si>
  <si>
    <t>Origen: tbl_Tickets. Filas: Category. Columnas: Priority. Valores: Recuento de TicketID. Agrega también Promedio de CSAT (Resumir valores por &gt; Promedio) en una columna aparte. Extra: aplica formato condicional de escala de color a la matriz.</t>
  </si>
  <si>
    <t>P4 · Top 5 reportes más vistos</t>
  </si>
  <si>
    <t>Origen: tbl_ReportLog. Filtro: Action = View. Filas: ReportID. Valores: Recuento de LogID. Ordena descendente y aplica Filtro de valor &gt; Top 10 (cámbialo a 5). Extra: agrega ReportName con el Modelo de datos o con una columna XLOOKUP en el log.</t>
  </si>
  <si>
    <t>Posición</t>
  </si>
  <si>
    <t>P5 · Views por rol de usuario</t>
  </si>
  <si>
    <t>Origen: tbl_ReportLog. Filtro: Action = View. Filas: UserRole. Valores: Recuento de LogID y el mismo campo como '% del total de columnas'. Extra: Columnas = Date agrupada por Mes para ver la tendencia; agrega una escala de tiempo (Timeline).</t>
  </si>
  <si>
    <t>P6 · NPS por Segmento</t>
  </si>
  <si>
    <t>Origen: tbl_NPS. Agrega 2 columnas a tbl_NPS: Segment (XLOOKUP a tbl_Accounts) y NPS_Category =IFS([@Score]&gt;=9,"Promoter",[@Score]&gt;=7,"Passive",TRUE,"Detractor"). Pivot: Filas Segment, Columnas NPS_Category, Valores Recuento de SurveyID. Luego calcula NPS = (P − D) / Total × 100 fuera del pivot (usa GETPIVOTDATA).</t>
  </si>
  <si>
    <t>Promoter</t>
  </si>
  <si>
    <t>Passive</t>
  </si>
  <si>
    <t>Detractor</t>
  </si>
  <si>
    <t>GETPIVOTDATA: escribe '=' y haz clic en una celda del pivot; Excel genera algo como =GETPIVOTDATA("SurveyID", Pivot!$A$3, "Segment", "SMB", "NPS_Category", "Promoter"). Así tus cálculos no se rompen si el pivot cambia de tamaño.</t>
  </si>
  <si>
    <t>E7 · Funciones de matriz dinámica (Excel 365)</t>
  </si>
  <si>
    <t>Objetivo: resolver cada tarea con UNA fórmula en la celda amarilla; el resultado se 'derrama' (spill) hacia abajo/derecha. Deja libre el espacio gris debajo de cada celda. Solo algunas tareas tienen ✓.</t>
  </si>
  <si>
    <t>Si tu Excel no tiene estas funciones (2019 o anterior) verás #NAME?. Son muy valoradas porque reemplazan filtros manuales y copiar/pegar en reportes recurrentes.</t>
  </si>
  <si>
    <t>7.1</t>
  </si>
  <si>
    <t>Lista ordenada (A-Z) de industrias distintas en tbl_Accounts.</t>
  </si>
  <si>
    <t>Pista: SORT(UNIQUE(tbl_Accounts[Industry]))</t>
  </si>
  <si>
    <t>7.2 ¿Cuántas industrias distintas hay? →</t>
  </si>
  <si>
    <t>Pista: ROWS(UNIQUE(...)) o COUNTA(UNIQUE(...))</t>
  </si>
  <si>
    <t>7.3</t>
  </si>
  <si>
    <t>Todas las cuentas Enterprise ACTIVAS con ARR mayor al umbral de la celda M18, con las columnas AccountID a ARR_USD, ordenadas por ARR de mayor a menor.</t>
  </si>
  <si>
    <t>Pista: SORT(FILTER(tbl_Accounts[[AccountID]:[ARR_USD]], (tbl_Accounts[Segment]="Enterprise") * (tbl_Accounts[Status]="Active") * (tbl_Accounts[ARR_USD]&gt;M..)), 8, -1). El * funciona como AND.</t>
  </si>
  <si>
    <t>Umbral ARR →</t>
  </si>
  <si>
    <t>7.4 ¿Cuántas cuentas cumplen 7.3? (una fórmula) →</t>
  </si>
  <si>
    <t>Pista: IFERROR(ROWS(FILTER(...)), 0) o COUNTIFS (FILTER sin resultados da #CALC!)</t>
  </si>
  <si>
    <t>7.5</t>
  </si>
  <si>
    <t>En una sola celda, los nombres de las cuentas activas del CSM indicado, separados por coma (útil para un correo o un resumen).</t>
  </si>
  <si>
    <t>Pista: TEXTJOIN(", ", TRUE, FILTER(tbl_Accounts[AccountName], (tbl_Accounts[CSM_ID]=B..)*(tbl_Accounts[Status]="Active")))</t>
  </si>
  <si>
    <t>← ✓ válida solo con este CSM_ID</t>
  </si>
  <si>
    <t>Blue Ridge Financial, Vantage Pharma, Aurora Bank, Summit Legal, Westfield Systems, Keystone Partners, Atlas Partners, Atlas Health, Coastal Capital, Redwood Legal, Oakmont Insurance, Pinnacle Legal, Riverbend Group, Aurora Partners, Riverbend Capital, Westfield Energy, Bluewater Logistics, Monarch Retail, Lakeshore Partners, Aurora Holdings, Silverline Logistics, Driftwood Retail</t>
  </si>
  <si>
    <t>7.6</t>
  </si>
  <si>
    <t>Calcula el NPS global en UNA fórmula legible usando LET (variables con nombre).</t>
  </si>
  <si>
    <t>Pista: LET(s, tbl_NPS[Score], p, COUNTIF(s, "&gt;=9"), d, COUNTIF(s, "&lt;=6"), (p − d) / COUNT(s) * 100)</t>
  </si>
  <si>
    <t>7.7</t>
  </si>
  <si>
    <t>Escribe un AccountID en la celda azul y trae con UN solo XLOOKUP las columnas Segment, Region, Industry y Product.</t>
  </si>
  <si>
    <t>Pista: XLOOKUP(B.., tbl_Accounts[AccountID], tbl_Accounts[[Segment]:[Product]]) → devuelve 4 columnas</t>
  </si>
  <si>
    <t>7.8</t>
  </si>
  <si>
    <t>Desde E3 (usa los nombres HS_ID, HS_Name, HS_ARR, HS_Score, HS_Cat, HS_Days): lista de cuentas Red que renuevan en ≤180 días con ID, nombre, ARR y días, ordenada por días a renovación (más urgente primero). Depende de que hayas resuelto E3.</t>
  </si>
  <si>
    <t>Pista: SORT(FILTER(HSTACK(HS_ID, HS_Name, HS_ARR, HS_Days), (HS_Cat="Red")*(HS_Days&lt;=180)), 4, 1)</t>
  </si>
  <si>
    <t>7.9</t>
  </si>
  <si>
    <t>Genera en una fila los 12 meses del análisis (de LastMonth − 11 a LastMonth) con UNA fórmula. Úsalo como encabezado de reportes que se actualizan solos.</t>
  </si>
  <si>
    <t>Pista: DATE(YEAR(LastMonth), MONTH(LastMonth) + SEQUENCE(1, 12, -11), 1)  → dale formato mmm yyyy</t>
  </si>
  <si>
    <t>E8 · Tendencias de uso, churn y pipeline de renovaciones</t>
  </si>
  <si>
    <t>Objetivo: construir la vista mensual que liderazgo revisa en el QBR interno: uso total, crecimiento mes a mes, promedio móvil, cuentas perdidas (churn) y GRR; y el pipeline de renovaciones de los próximos 6 meses con el ARR en riesgo según tu health score (E3).</t>
  </si>
  <si>
    <t>Tip: los meses en la columna A son el primer día de cada mes; usa EOMONTH(A,0) como fin de mes en criterios de fecha: "&gt;="&amp;A8 y "&lt;="&amp;EOMONTH(A8,0).</t>
  </si>
  <si>
    <t>Cuentas con uso</t>
  </si>
  <si>
    <t>COUNTIFS(tbl_Usage[Month], A8)</t>
  </si>
  <si>
    <t>MoM %</t>
  </si>
  <si>
    <t>C8/C7 − 1 (desde el 2º mes)</t>
  </si>
  <si>
    <t>Features prom.</t>
  </si>
  <si>
    <t>AVERAGEIFS(...[FeaturesAdopted], ...)</t>
  </si>
  <si>
    <t>Prom. móvil 3m (ActiveUsers)</t>
  </si>
  <si>
    <t>AVERAGE(C6:C8) desde el 3er mes</t>
  </si>
  <si>
    <t>Cuentas churned</t>
  </si>
  <si>
    <t>COUNTIFS(tbl_Accounts[ChurnDate], "&gt;="&amp;A8, ...[ChurnDate], "&lt;="&amp;EOMONTH(A8,0))</t>
  </si>
  <si>
    <t>ARR churned</t>
  </si>
  <si>
    <t>SUMIFS igual</t>
  </si>
  <si>
    <t>Tendencia</t>
  </si>
  <si>
    <t>↑ ActiveUsers / Logins</t>
  </si>
  <si>
    <t>GRR aprox. 12m</t>
  </si>
  <si>
    <t>Pipeline de renovaciones (próximos 6 meses, cuentas activas)</t>
  </si>
  <si>
    <t># Renovaciones</t>
  </si>
  <si>
    <t>COUNTIFS RenewalDate entre A y EOMONTH(A,0), Status Active</t>
  </si>
  <si>
    <t>ARR que renueva</t>
  </si>
  <si>
    <t># en Red (E3)</t>
  </si>
  <si>
    <t>COUNTIFS(HS_Days, "&gt;="&amp;(A−AsOfDate), HS_Days, "&lt;="&amp;(EOMONTH(A,0)−AsOfDate), HS_Cat, "Red")</t>
  </si>
  <si>
    <t>ARR en Red</t>
  </si>
  <si>
    <t>SUMIFS(HS_ARR, ...)</t>
  </si>
  <si>
    <t>% ARR en riesgo</t>
  </si>
  <si>
    <t>IFERROR(E/C, 0)</t>
  </si>
  <si>
    <t>E9 · Dashboard del CSM (book of business)</t>
  </si>
  <si>
    <t>Objetivo: un tablero de una página que el CSM abre antes de su 1:1 con su manager. Elige el CSM en la lista desplegable y todos los KPIs se recalculan. Usa los nombres definidos de E3 (HS_*).</t>
  </si>
  <si>
    <t>Las ✓ son válidas con el CSM que viene por defecto. Cuando termines, cambia el CSM para ver cómo se actualiza todo. Bonus: la tabla Top 5 usa LET + FILTER + SORTBY + TAKE.</t>
  </si>
  <si>
    <t>Selecciona el CSM ▶</t>
  </si>
  <si>
    <t>KPI</t>
  </si>
  <si>
    <t>Team / Manager</t>
  </si>
  <si>
    <t>Enterprise / Laura Kim</t>
  </si>
  <si>
    <t># Cuentas activas</t>
  </si>
  <si>
    <t>ARR total</t>
  </si>
  <si>
    <t># Green</t>
  </si>
  <si>
    <t># Yellow</t>
  </si>
  <si>
    <t># Red</t>
  </si>
  <si>
    <t>Renovaciones en ≤90 días</t>
  </si>
  <si>
    <t>Pista: C8 se usa en los demás KPIs. Los conteos G/Y/R usan HS_CSM y HS_Cat.</t>
  </si>
  <si>
    <t>Top 5 cuentas con peor health score</t>
  </si>
  <si>
    <t>Health</t>
  </si>
  <si>
    <t>Días renov.</t>
  </si>
  <si>
    <t>Pista: LET + FILTER(HSTACK(...)) + SORTBY + TAKE → fórmula completa debajo de la gráfica ↓</t>
  </si>
  <si>
    <t>Pista Top 5: LET(f, HS_CSM=$C$8, t, FILTER(HSTACK(HS_ID, HS_Name, HS_ARR, HS_Score, HS_Cat, HS_Days), f), TAKE(SORTBY(t, FILTER(HS_Score, f), 1), 5)). Una sola fórmula en F9; el resultado se derrama a F9:K13.</t>
  </si>
  <si>
    <t>Para la entrevista: ¿qué 3 acciones le sugerirías a este CSM esta semana con base en el tablero? ¿Qué dato le falta al tablero para ser más útil (p. ej. fecha del último QBR, sponsor ejecutivo, oportunidades de upsell)?</t>
  </si>
  <si>
    <t>E10 · Extra: Power Query (sin verificación automática)</t>
  </si>
  <si>
    <t>Objetivo: automatizar la ingesta de datos para que el reporte mensual se actualice con un clic en vez de copiar/pegar. Junto a este archivo hay una carpeta csv/ con las mismas tablas.</t>
  </si>
  <si>
    <t>Datos &gt; Obtener datos &gt; Desde archivo &gt; Desde texto/CSV &gt; csv/Accounts.csv. Revisa que Power Query detecte bien los tipos (fechas, números). Cierra y carga como Tabla.</t>
  </si>
  <si>
    <t>Repite con Usage_Monthly.csv. En el editor: Inicio &gt; Combinar consultas (Merge) con Accounts por AccountID (Left Outer) y expande Segment, Region y CSM_ID.</t>
  </si>
  <si>
    <t>Agrupa (Transformar &gt; Agrupar por) Month + Segment → suma de ActiveUsers. Compara con tu pivot P2 de E6.</t>
  </si>
  <si>
    <t>Limpieza en Power Query: carga el rango del ejercicio E5 (columnas A:F) → Formato &gt; Recortar, Poner en mayúsculas, Reemplazar valores ('$', 'USD'), Cambiar tipo usando configuración regional, Quitar duplicados. Compara el resultado con tus fórmulas de E5.</t>
  </si>
  <si>
    <t>Report_Usage_Log.csv: agrega columna personalizada Days_Since = Duration.Days(#date(...) - [Date]) y agrupa por ReportID con Recuento, Recuento distinto de UserEmail y Máximo de Date (= auditoría E4 sin fórmulas).</t>
  </si>
  <si>
    <t>Desde carpeta: pon varios CSV mensuales en una carpeta y usa Obtener datos &gt; Desde carpeta &gt; Combinar. Es el patrón típico para reportes contractuales mensuales.</t>
  </si>
  <si>
    <t>Ctrl+Alt+F5 para actualizar todo. Documenta los pasos aplicados (panel derecho): es tu 'audit trail'.</t>
  </si>
  <si>
    <t>Preguntas de práctica para la entrevista</t>
  </si>
  <si>
    <t>Practica en voz alta y en inglés. Usa los resultados de tus ejercicios (E3, E4, E5) como ejemplos concretos con números.</t>
  </si>
  <si>
    <t>Excel técnico</t>
  </si>
  <si>
    <t>Walk me through how you would build a customer health score. Which inputs and weights would you choose, and how would you validate it?</t>
  </si>
  <si>
    <t>XLOOKUP vs VLOOKUP vs INDEX/MATCH: when would you use each one?</t>
  </si>
  <si>
    <t>How do you find and handle duplicates in a 10,000-row export from Salesforce?</t>
  </si>
  <si>
    <t>A pivot table total doesn't match the number in Salesforce. How do you troubleshoot it?</t>
  </si>
  <si>
    <t>How would you calculate unique users per report? (UNIQUE/FILTER, pivot with Distinct Count via Data Model, Power Query)</t>
  </si>
  <si>
    <t>What's the difference between SUMIFS and SUMPRODUCT? Give an example where you need SUMPRODUCT.</t>
  </si>
  <si>
    <t>Auditoría de reportes y datos</t>
  </si>
  <si>
    <t>We have ~40 recurring reports. How would you decide which ones to retire, consolidate or automate?</t>
  </si>
  <si>
    <t>What usage metrics would you track for internal reports (views, unique users, recency, exports, time spent, cost to maintain)?</t>
  </si>
  <si>
    <t>A contractual report shows zero views. What do you do before recommending any change?</t>
  </si>
  <si>
    <t>How do you make sure the data you deliver is accurate? Describe your QA checklist.</t>
  </si>
  <si>
    <t>Trabajo con CSMs y liderazgo</t>
  </si>
  <si>
    <t>How would you partner with CSMs to understand which reports actually help them manage account health?</t>
  </si>
  <si>
    <t>A CSM disagrees with the health score of one of their accounts (it shows Red but they say it is fine). How do you handle it?</t>
  </si>
  <si>
    <t>Tell me about a time you turned data into a clear story for a non-technical audience.</t>
  </si>
  <si>
    <t>You receive five urgent ad hoc requests on the same day. How do you prioritize?</t>
  </si>
  <si>
    <t>What would your first 30/60/90 days look like in this role?</t>
  </si>
  <si>
    <t>Preguntas para hacerles a ellos</t>
  </si>
  <si>
    <t>Which tools are the source of truth today (Salesforce, Gainsight, product database, BI tool)?</t>
  </si>
  <si>
    <t>How is the current health score defined and how much do CSMs trust it?</t>
  </si>
  <si>
    <t>Which reports take the most time to produce today?</t>
  </si>
  <si>
    <t>How will success be measured for this role in the first 6 months?</t>
  </si>
</sst>
</file>

<file path=xl/styles.xml><?xml version="1.0" encoding="utf-8"?>
<styleSheet xmlns="http://schemas.openxmlformats.org/spreadsheetml/2006/main">
  <numFmts count="9">
    <numFmt numFmtId="164" formatCode="yyyy-mm-dd"/>
    <numFmt numFmtId="165" formatCode="0%"/>
    <numFmt numFmtId="166" formatCode="#,##0"/>
    <numFmt numFmtId="167" formatCode="$#,##0"/>
    <numFmt numFmtId="168" formatCode="0.0%"/>
    <numFmt numFmtId="169" formatCode="0.0"/>
    <numFmt numFmtId="170" formatCode="0.00"/>
    <numFmt numFmtId="171" formatCode="$#,##0.00"/>
    <numFmt numFmtId="172" formatCode="mmm yyyy"/>
  </numFmts>
  <fonts count="18">
    <font>
      <sz val="11"/>
      <color theme="1"/>
      <name val="Calibri"/>
      <family val="2"/>
      <scheme val="minor"/>
    </font>
    <font>
      <b/>
      <sz val="18"/>
      <color rgb="FFFFFFFF"/>
      <name val="Calibri"/>
      <family val="2"/>
      <scheme val="minor"/>
    </font>
    <font>
      <b/>
      <sz val="10"/>
      <color rgb="FF1F3864"/>
      <name val="Calibri"/>
      <family val="2"/>
      <scheme val="minor"/>
    </font>
    <font>
      <sz val="10"/>
      <color theme="1"/>
      <name val="Calibri"/>
      <family val="2"/>
      <scheme val="minor"/>
    </font>
    <font>
      <b/>
      <sz val="10"/>
      <color theme="1"/>
      <name val="Calibri"/>
      <family val="2"/>
      <scheme val="minor"/>
    </font>
    <font>
      <b/>
      <sz val="10"/>
      <color rgb="FFFFFFFF"/>
      <name val="Calibri"/>
      <family val="2"/>
      <scheme val="minor"/>
    </font>
    <font>
      <u/>
      <sz val="10"/>
      <color rgb="FF0000FF"/>
      <name val="Calibri"/>
      <family val="2"/>
      <scheme val="minor"/>
    </font>
    <font>
      <b/>
      <sz val="16"/>
      <color rgb="FFFFFFFF"/>
      <name val="Calibri"/>
      <family val="2"/>
      <scheme val="minor"/>
    </font>
    <font>
      <i/>
      <sz val="10"/>
      <color theme="1"/>
      <name val="Calibri"/>
      <family val="2"/>
      <scheme val="minor"/>
    </font>
    <font>
      <i/>
      <sz val="10"/>
      <color rgb="FF595959"/>
      <name val="Calibri"/>
      <family val="2"/>
      <scheme val="minor"/>
    </font>
    <font>
      <i/>
      <sz val="8"/>
      <color rgb="FF595959"/>
      <name val="Calibri"/>
      <family val="2"/>
      <scheme val="minor"/>
    </font>
    <font>
      <i/>
      <sz val="8"/>
      <color theme="1"/>
      <name val="Calibri"/>
      <family val="2"/>
      <scheme val="minor"/>
    </font>
    <font>
      <sz val="10"/>
      <color rgb="FF808080"/>
      <name val="Calibri"/>
      <family val="2"/>
      <scheme val="minor"/>
    </font>
    <font>
      <i/>
      <sz val="10"/>
      <color rgb="FFC00000"/>
      <name val="Calibri"/>
      <family val="2"/>
      <scheme val="minor"/>
    </font>
    <font>
      <sz val="9"/>
      <color theme="1"/>
      <name val="Calibri"/>
      <family val="2"/>
      <scheme val="minor"/>
    </font>
    <font>
      <i/>
      <sz val="9"/>
      <color rgb="FF595959"/>
      <name val="Calibri"/>
      <family val="2"/>
      <scheme val="minor"/>
    </font>
    <font>
      <b/>
      <sz val="12"/>
      <color theme="1"/>
      <name val="Calibri"/>
      <family val="2"/>
      <scheme val="minor"/>
    </font>
    <font>
      <i/>
      <sz val="9"/>
      <color theme="1"/>
      <name val="Calibri"/>
      <family val="2"/>
      <scheme val="minor"/>
    </font>
  </fonts>
  <fills count="9">
    <fill>
      <patternFill patternType="none"/>
    </fill>
    <fill>
      <patternFill patternType="gray125"/>
    </fill>
    <fill>
      <patternFill patternType="solid">
        <fgColor rgb="FF1F3864"/>
        <bgColor indexed="64"/>
      </patternFill>
    </fill>
    <fill>
      <patternFill patternType="solid">
        <fgColor rgb="FFDDEBF7"/>
        <bgColor indexed="64"/>
      </patternFill>
    </fill>
    <fill>
      <patternFill patternType="solid">
        <fgColor rgb="FF305496"/>
        <bgColor indexed="64"/>
      </patternFill>
    </fill>
    <fill>
      <patternFill patternType="solid">
        <fgColor rgb="FFF2F2F2"/>
        <bgColor indexed="64"/>
      </patternFill>
    </fill>
    <fill>
      <patternFill patternType="solid">
        <fgColor rgb="FFFFF2CC"/>
        <bgColor indexed="64"/>
      </patternFill>
    </fill>
    <fill>
      <patternFill patternType="solid">
        <fgColor rgb="FFFBE5D6"/>
        <bgColor indexed="64"/>
      </patternFill>
    </fill>
    <fill>
      <patternFill patternType="solid">
        <fgColor rgb="FFF7F7F7"/>
        <bgColor indexed="64"/>
      </patternFill>
    </fill>
  </fills>
  <borders count="5">
    <border>
      <left/>
      <right/>
      <top/>
      <bottom/>
      <diagonal/>
    </border>
    <border>
      <left style="thin">
        <color auto="1"/>
      </left>
      <right style="thin">
        <color auto="1"/>
      </right>
      <top style="thin">
        <color auto="1"/>
      </top>
      <bottom style="thin">
        <color auto="1"/>
      </bottom>
      <diagonal/>
    </border>
    <border>
      <left style="thin">
        <color rgb="FFBFBFBF"/>
      </left>
      <right style="thin">
        <color rgb="FFBFBFBF"/>
      </right>
      <top style="thin">
        <color rgb="FFBFBFBF"/>
      </top>
      <bottom style="thin">
        <color rgb="FFBFBFBF"/>
      </bottom>
      <diagonal/>
    </border>
    <border>
      <left style="thin">
        <color rgb="FFBF9000"/>
      </left>
      <right style="thin">
        <color rgb="FFBF9000"/>
      </right>
      <top style="thin">
        <color rgb="FFBF9000"/>
      </top>
      <bottom style="thin">
        <color rgb="FFBF9000"/>
      </bottom>
      <diagonal/>
    </border>
    <border>
      <left style="medium">
        <color auto="1"/>
      </left>
      <right style="medium">
        <color auto="1"/>
      </right>
      <top style="medium">
        <color auto="1"/>
      </top>
      <bottom style="medium">
        <color auto="1"/>
      </bottom>
      <diagonal/>
    </border>
  </borders>
  <cellStyleXfs count="1">
    <xf numFmtId="0" fontId="0" fillId="0" borderId="0"/>
  </cellStyleXfs>
  <cellXfs count="72">
    <xf numFmtId="0" fontId="0" fillId="0" borderId="0" xfId="0"/>
    <xf numFmtId="0" fontId="1" fillId="2" borderId="0" xfId="0" applyFont="1" applyFill="1" applyAlignment="1">
      <alignment vertical="center"/>
    </xf>
    <xf numFmtId="0" fontId="2" fillId="0" borderId="0" xfId="0" applyFont="1"/>
    <xf numFmtId="0" fontId="3" fillId="0" borderId="0" xfId="0" applyFont="1" applyAlignment="1">
      <alignment vertical="top" wrapText="1"/>
    </xf>
    <xf numFmtId="0" fontId="2" fillId="0" borderId="0" xfId="0" applyFont="1" applyAlignment="1">
      <alignment vertical="top"/>
    </xf>
    <xf numFmtId="164" fontId="4" fillId="3" borderId="1" xfId="0" applyNumberFormat="1" applyFont="1" applyFill="1" applyBorder="1"/>
    <xf numFmtId="0" fontId="4" fillId="3" borderId="1" xfId="0" applyFont="1" applyFill="1" applyBorder="1"/>
    <xf numFmtId="0" fontId="5" fillId="4" borderId="1" xfId="0" applyFont="1" applyFill="1" applyBorder="1" applyAlignment="1">
      <alignment vertical="center" wrapText="1"/>
    </xf>
    <xf numFmtId="0" fontId="6" fillId="0" borderId="0" xfId="0" applyFont="1"/>
    <xf numFmtId="0" fontId="4" fillId="0" borderId="0" xfId="0" applyFont="1" applyAlignment="1">
      <alignment wrapText="1"/>
    </xf>
    <xf numFmtId="0" fontId="3" fillId="0" borderId="0" xfId="0" applyFont="1" applyAlignment="1">
      <alignment wrapText="1"/>
    </xf>
    <xf numFmtId="0" fontId="3" fillId="0" borderId="0" xfId="0" applyFont="1" applyAlignment="1">
      <alignment horizontal="center"/>
    </xf>
    <xf numFmtId="165" fontId="3" fillId="0" borderId="0" xfId="0" applyNumberFormat="1" applyFont="1"/>
    <xf numFmtId="0" fontId="4" fillId="0" borderId="0" xfId="0" applyFont="1" applyAlignment="1">
      <alignment horizontal="right"/>
    </xf>
    <xf numFmtId="0" fontId="4" fillId="0" borderId="0" xfId="0" applyFont="1" applyAlignment="1">
      <alignment horizontal="center"/>
    </xf>
    <xf numFmtId="165" fontId="4" fillId="0" borderId="0" xfId="0" applyNumberFormat="1" applyFont="1"/>
    <xf numFmtId="0" fontId="4" fillId="0" borderId="0" xfId="0" applyFont="1"/>
    <xf numFmtId="0" fontId="3" fillId="0" borderId="2" xfId="0" applyFont="1" applyBorder="1"/>
    <xf numFmtId="0" fontId="7" fillId="2" borderId="0" xfId="0" applyFont="1" applyFill="1" applyAlignment="1">
      <alignment vertical="center"/>
    </xf>
    <xf numFmtId="0" fontId="4" fillId="3" borderId="0" xfId="0" applyFont="1" applyFill="1"/>
    <xf numFmtId="0" fontId="6" fillId="3" borderId="0" xfId="0" applyFont="1" applyFill="1"/>
    <xf numFmtId="0" fontId="3" fillId="3" borderId="0" xfId="0" applyFont="1" applyFill="1"/>
    <xf numFmtId="0" fontId="8" fillId="3" borderId="0" xfId="0" applyFont="1" applyFill="1"/>
    <xf numFmtId="166" fontId="3" fillId="3" borderId="0" xfId="0" applyNumberFormat="1" applyFont="1" applyFill="1"/>
    <xf numFmtId="0" fontId="4" fillId="0" borderId="0" xfId="0" applyFont="1" applyAlignment="1">
      <alignment vertical="top" wrapText="1"/>
    </xf>
    <xf numFmtId="0" fontId="9" fillId="0" borderId="0" xfId="0" applyFont="1" applyAlignment="1">
      <alignment vertical="top" wrapText="1"/>
    </xf>
    <xf numFmtId="0" fontId="10" fillId="5" borderId="1" xfId="0" applyFont="1" applyFill="1" applyBorder="1" applyAlignment="1">
      <alignment vertical="top" wrapText="1"/>
    </xf>
    <xf numFmtId="0" fontId="11" fillId="5" borderId="0" xfId="0" applyFont="1" applyFill="1" applyAlignment="1">
      <alignment wrapText="1"/>
    </xf>
    <xf numFmtId="0" fontId="3" fillId="6" borderId="3" xfId="0" applyFont="1" applyFill="1" applyBorder="1"/>
    <xf numFmtId="167" fontId="3" fillId="6" borderId="3" xfId="0" applyNumberFormat="1" applyFont="1" applyFill="1" applyBorder="1"/>
    <xf numFmtId="166" fontId="3" fillId="6" borderId="3" xfId="0" applyNumberFormat="1" applyFont="1" applyFill="1" applyBorder="1"/>
    <xf numFmtId="0" fontId="12" fillId="0" borderId="0" xfId="0" applyFont="1" applyAlignment="1">
      <alignment horizontal="center"/>
    </xf>
    <xf numFmtId="167" fontId="3" fillId="0" borderId="2" xfId="0" applyNumberFormat="1" applyFont="1" applyBorder="1"/>
    <xf numFmtId="0" fontId="8" fillId="0" borderId="0" xfId="0" applyFont="1" applyAlignment="1">
      <alignment vertical="top" wrapText="1"/>
    </xf>
    <xf numFmtId="0" fontId="4" fillId="0" borderId="2" xfId="0" applyFont="1" applyBorder="1"/>
    <xf numFmtId="167" fontId="4" fillId="6" borderId="3" xfId="0" applyNumberFormat="1" applyFont="1" applyFill="1" applyBorder="1"/>
    <xf numFmtId="164" fontId="3" fillId="6" borderId="3" xfId="0" applyNumberFormat="1" applyFont="1" applyFill="1" applyBorder="1"/>
    <xf numFmtId="168" fontId="3" fillId="6" borderId="3" xfId="0" applyNumberFormat="1" applyFont="1" applyFill="1" applyBorder="1"/>
    <xf numFmtId="169" fontId="3" fillId="6" borderId="3" xfId="0" applyNumberFormat="1" applyFont="1" applyFill="1" applyBorder="1"/>
    <xf numFmtId="170" fontId="3" fillId="6" borderId="3" xfId="0" applyNumberFormat="1" applyFont="1" applyFill="1" applyBorder="1"/>
    <xf numFmtId="0" fontId="10" fillId="0" borderId="0" xfId="0" applyFont="1"/>
    <xf numFmtId="165" fontId="4" fillId="3" borderId="1" xfId="0" applyNumberFormat="1" applyFont="1" applyFill="1" applyBorder="1"/>
    <xf numFmtId="0" fontId="13" fillId="0" borderId="0" xfId="0" applyFont="1"/>
    <xf numFmtId="169" fontId="4" fillId="6" borderId="3" xfId="0" applyNumberFormat="1" applyFont="1" applyFill="1" applyBorder="1"/>
    <xf numFmtId="0" fontId="11" fillId="0" borderId="0" xfId="0" applyFont="1" applyAlignment="1">
      <alignment horizontal="right"/>
    </xf>
    <xf numFmtId="171" fontId="3" fillId="6" borderId="3" xfId="0" applyNumberFormat="1" applyFont="1" applyFill="1" applyBorder="1"/>
    <xf numFmtId="0" fontId="4" fillId="6" borderId="3" xfId="0" applyFont="1" applyFill="1" applyBorder="1"/>
    <xf numFmtId="0" fontId="3" fillId="7" borderId="2" xfId="0" applyFont="1" applyFill="1" applyBorder="1"/>
    <xf numFmtId="0" fontId="5" fillId="4" borderId="0" xfId="0" applyFont="1" applyFill="1"/>
    <xf numFmtId="0" fontId="14" fillId="5" borderId="0" xfId="0" applyFont="1" applyFill="1" applyAlignment="1">
      <alignment vertical="top" wrapText="1"/>
    </xf>
    <xf numFmtId="172" fontId="3" fillId="0" borderId="2" xfId="0" applyNumberFormat="1" applyFont="1" applyBorder="1"/>
    <xf numFmtId="0" fontId="5" fillId="4" borderId="0" xfId="0" applyFont="1" applyFill="1" applyAlignment="1">
      <alignment horizontal="center"/>
    </xf>
    <xf numFmtId="0" fontId="15" fillId="5" borderId="0" xfId="0" applyFont="1" applyFill="1" applyAlignment="1">
      <alignment wrapText="1"/>
    </xf>
    <xf numFmtId="0" fontId="3" fillId="8" borderId="0" xfId="0" applyFont="1" applyFill="1"/>
    <xf numFmtId="0" fontId="11" fillId="0" borderId="0" xfId="0" applyFont="1"/>
    <xf numFmtId="167" fontId="4" fillId="3" borderId="1" xfId="0" applyNumberFormat="1" applyFont="1" applyFill="1" applyBorder="1"/>
    <xf numFmtId="167" fontId="3" fillId="8" borderId="0" xfId="0" applyNumberFormat="1" applyFont="1" applyFill="1"/>
    <xf numFmtId="172" fontId="3" fillId="6" borderId="3" xfId="0" applyNumberFormat="1" applyFont="1" applyFill="1" applyBorder="1"/>
    <xf numFmtId="172" fontId="3" fillId="8" borderId="0" xfId="0" applyNumberFormat="1" applyFont="1" applyFill="1"/>
    <xf numFmtId="168" fontId="4" fillId="6" borderId="3" xfId="0" applyNumberFormat="1" applyFont="1" applyFill="1" applyBorder="1"/>
    <xf numFmtId="0" fontId="16" fillId="0" borderId="0" xfId="0" applyFont="1" applyAlignment="1">
      <alignment horizontal="right"/>
    </xf>
    <xf numFmtId="0" fontId="16" fillId="3" borderId="4" xfId="0" applyFont="1" applyFill="1" applyBorder="1"/>
    <xf numFmtId="166" fontId="4" fillId="6" borderId="3" xfId="0" applyNumberFormat="1" applyFont="1" applyFill="1" applyBorder="1"/>
    <xf numFmtId="0" fontId="11" fillId="5" borderId="0" xfId="0" applyFont="1" applyFill="1"/>
    <xf numFmtId="0" fontId="17" fillId="5" borderId="0" xfId="0" applyFont="1" applyFill="1" applyAlignment="1">
      <alignment vertical="top" wrapText="1"/>
    </xf>
    <xf numFmtId="0" fontId="4" fillId="0" borderId="0" xfId="0" applyFont="1" applyAlignment="1">
      <alignment horizontal="center" vertical="top"/>
    </xf>
    <xf numFmtId="0" fontId="3" fillId="0" borderId="0" xfId="0" applyFont="1" applyAlignment="1">
      <alignment horizontal="center" vertical="top"/>
    </xf>
    <xf numFmtId="0" fontId="3" fillId="0" borderId="0" xfId="0" applyFont="1"/>
    <xf numFmtId="167" fontId="3" fillId="0" borderId="0" xfId="0" applyNumberFormat="1" applyFont="1"/>
    <xf numFmtId="166" fontId="3" fillId="0" borderId="0" xfId="0" applyNumberFormat="1" applyFont="1"/>
    <xf numFmtId="164" fontId="3" fillId="0" borderId="0" xfId="0" applyNumberFormat="1" applyFont="1"/>
    <xf numFmtId="169" fontId="3" fillId="0" borderId="0" xfId="0" applyNumberFormat="1" applyFont="1"/>
  </cellXfs>
  <cellStyles count="1">
    <cellStyle name="Normal" xfId="0" builtinId="0"/>
  </cellStyles>
  <dxfs count="15">
    <dxf/>
    <dxf>
      <numFmt numFmtId="167" formatCode="$#,##0"/>
    </dxf>
    <dxf>
      <numFmt numFmtId="166" formatCode="#,##0"/>
    </dxf>
    <dxf>
      <numFmt numFmtId="164" formatCode="yyyy-mm-dd"/>
    </dxf>
    <dxf>
      <numFmt numFmtId="169" formatCode="0.0"/>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b/>
        <color rgb="FFC00000"/>
      </font>
    </dxf>
    <dxf>
      <font>
        <b/>
        <color rgb="FF9C0006"/>
      </font>
      <fill>
        <patternFill>
          <bgColor rgb="FFFFC7CE"/>
        </patternFill>
      </fill>
    </dxf>
    <dxf>
      <font>
        <b/>
        <color rgb="FF9C5700"/>
      </font>
      <fill>
        <patternFill>
          <bgColor rgb="FFFFEB9C"/>
        </patternFill>
      </fill>
    </dxf>
    <dxf>
      <font>
        <b/>
        <color rgb="FF1F4E78"/>
      </font>
      <fill>
        <patternFill>
          <bgColor rgb="FFDDEBF7"/>
        </patternFill>
      </fill>
    </dxf>
    <dxf>
      <font>
        <b/>
        <color rgb="FF006100"/>
      </font>
      <fill>
        <patternFill>
          <bgColor rgb="FFC6EFCE"/>
        </patternFill>
      </fill>
    </dxf>
    <dxf>
      <font>
        <b/>
        <color rgb="FF5B2C6F"/>
      </font>
      <fill>
        <patternFill>
          <bgColor rgb="FFE4DFEC"/>
        </patternFill>
      </fill>
    </dxf>
    <dxf>
      <fill>
        <patternFill>
          <bgColor rgb="FFFFEB9C"/>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theme" Target="theme/theme1.xml"/><Relationship Id="rId23" Type="http://schemas.openxmlformats.org/officeDocument/2006/relationships/styles" Target="styles.xml"/><Relationship Id="rId2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Cuentas por categoría</a:t>
            </a:r>
          </a:p>
        </c:rich>
      </c:tx>
      <c:layout/>
    </c:title>
    <c:plotArea>
      <c:layout/>
      <c:doughnutChart>
        <c:varyColors val="1"/>
        <c:ser>
          <c:idx val="0"/>
          <c:order val="0"/>
          <c:tx>
            <c:v>Cuentas por categoría</c:v>
          </c:tx>
          <c:dPt>
            <c:idx val="0"/>
            <c:spPr>
              <a:solidFill>
                <a:srgbClr val="70AD47"/>
              </a:solidFill>
            </c:spPr>
          </c:dPt>
          <c:dPt>
            <c:idx val="1"/>
            <c:spPr>
              <a:solidFill>
                <a:srgbClr val="FFC000"/>
              </a:solidFill>
            </c:spPr>
          </c:dPt>
          <c:dPt>
            <c:idx val="2"/>
            <c:spPr>
              <a:solidFill>
                <a:srgbClr val="C00000"/>
              </a:solidFill>
            </c:spPr>
          </c:dPt>
          <c:cat>
            <c:strRef>
              <c:f>E3_Health_Score!$AF$7:$AF$9</c:f>
              <c:strCache>
                <c:ptCount val="3"/>
                <c:pt idx="0">
                  <c:v>Green</c:v>
                </c:pt>
                <c:pt idx="1">
                  <c:v>Yellow</c:v>
                </c:pt>
                <c:pt idx="2">
                  <c:v>Red</c:v>
                </c:pt>
              </c:strCache>
            </c:strRef>
          </c:cat>
          <c:val>
            <c:numRef>
              <c:f>E3_Health_Score!$AG$7:$AG$9</c:f>
              <c:numCache>
                <c:formatCode>General</c:formatCode>
                <c:ptCount val="3"/>
                <c:pt idx="0">
                  <c:v>0</c:v>
                </c:pt>
                <c:pt idx="1">
                  <c:v>0</c:v>
                </c:pt>
                <c:pt idx="2">
                  <c:v>0</c:v>
                </c:pt>
              </c:numCache>
            </c:numRef>
          </c:val>
        </c:ser>
        <c:firstSliceAng val="0"/>
        <c:holeSize val="50"/>
      </c:doughnut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Usuarios activos por mes</a:t>
            </a:r>
          </a:p>
        </c:rich>
      </c:tx>
      <c:layout/>
    </c:title>
    <c:plotArea>
      <c:layout/>
      <c:lineChart>
        <c:grouping val="standard"/>
        <c:ser>
          <c:idx val="0"/>
          <c:order val="0"/>
          <c:tx>
            <c:v>ActiveUsers</c:v>
          </c:tx>
          <c:marker>
            <c:symbol val="circle"/>
          </c:marker>
          <c:cat>
            <c:numRef>
              <c:f>E8_Tendencias!$A$8:$A$19</c:f>
              <c:numCache>
                <c:formatCode>General</c:formatCode>
                <c:ptCount val="12"/>
                <c:pt idx="0">
                  <c:v>45931</c:v>
                </c:pt>
                <c:pt idx="1">
                  <c:v>45962</c:v>
                </c:pt>
                <c:pt idx="2">
                  <c:v>45992</c:v>
                </c:pt>
                <c:pt idx="3">
                  <c:v>46023</c:v>
                </c:pt>
                <c:pt idx="4">
                  <c:v>46054</c:v>
                </c:pt>
                <c:pt idx="5">
                  <c:v>46082</c:v>
                </c:pt>
                <c:pt idx="6">
                  <c:v>46113</c:v>
                </c:pt>
                <c:pt idx="7">
                  <c:v>46143</c:v>
                </c:pt>
                <c:pt idx="8">
                  <c:v>46174</c:v>
                </c:pt>
                <c:pt idx="9">
                  <c:v>46204</c:v>
                </c:pt>
                <c:pt idx="10">
                  <c:v>46235</c:v>
                </c:pt>
                <c:pt idx="11">
                  <c:v>46266</c:v>
                </c:pt>
              </c:numCache>
            </c:numRef>
          </c:cat>
          <c:val>
            <c:numRef>
              <c:f>E8_Tendencias!$C$8:$C$19</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
          <c:order val="1"/>
          <c:tx>
            <c:v>Prom. móvil 3m</c:v>
          </c:tx>
          <c:spPr>
            <a:ln>
              <a:prstDash val="dash"/>
            </a:ln>
          </c:spPr>
          <c:marker>
            <c:symbol val="none"/>
          </c:marker>
          <c:cat>
            <c:numRef>
              <c:f>E8_Tendencias!$A$8:$A$19</c:f>
              <c:numCache>
                <c:formatCode>General</c:formatCode>
                <c:ptCount val="12"/>
                <c:pt idx="0">
                  <c:v>45931</c:v>
                </c:pt>
                <c:pt idx="1">
                  <c:v>45962</c:v>
                </c:pt>
                <c:pt idx="2">
                  <c:v>45992</c:v>
                </c:pt>
                <c:pt idx="3">
                  <c:v>46023</c:v>
                </c:pt>
                <c:pt idx="4">
                  <c:v>46054</c:v>
                </c:pt>
                <c:pt idx="5">
                  <c:v>46082</c:v>
                </c:pt>
                <c:pt idx="6">
                  <c:v>46113</c:v>
                </c:pt>
                <c:pt idx="7">
                  <c:v>46143</c:v>
                </c:pt>
                <c:pt idx="8">
                  <c:v>46174</c:v>
                </c:pt>
                <c:pt idx="9">
                  <c:v>46204</c:v>
                </c:pt>
                <c:pt idx="10">
                  <c:v>46235</c:v>
                </c:pt>
                <c:pt idx="11">
                  <c:v>46266</c:v>
                </c:pt>
              </c:numCache>
            </c:numRef>
          </c:cat>
          <c:val>
            <c:numRef>
              <c:f>E8_Tendencias!$G$8:$G$19</c:f>
              <c:numCache>
                <c:formatCode>General</c:formatCode>
                <c:ptCount val="12"/>
                <c:pt idx="2">
                  <c:v>0</c:v>
                </c:pt>
                <c:pt idx="3">
                  <c:v>0</c:v>
                </c:pt>
                <c:pt idx="4">
                  <c:v>0</c:v>
                </c:pt>
                <c:pt idx="5">
                  <c:v>0</c:v>
                </c:pt>
                <c:pt idx="6">
                  <c:v>0</c:v>
                </c:pt>
                <c:pt idx="7">
                  <c:v>0</c:v>
                </c:pt>
                <c:pt idx="8">
                  <c:v>0</c:v>
                </c:pt>
                <c:pt idx="9">
                  <c:v>0</c:v>
                </c:pt>
                <c:pt idx="10">
                  <c:v>0</c:v>
                </c:pt>
                <c:pt idx="11">
                  <c:v>0</c:v>
                </c:pt>
              </c:numCache>
            </c:numRef>
          </c:val>
        </c:ser>
        <c:marker val="1"/>
        <c:axId val="50020001"/>
        <c:axId val="50020002"/>
      </c:lineChart>
      <c:catAx>
        <c:axId val="50020001"/>
        <c:scaling>
          <c:orientation val="minMax"/>
        </c:scaling>
        <c:axPos val="b"/>
        <c:numFmt formatCode="General" sourceLinked="1"/>
        <c:tickLblPos val="nextTo"/>
        <c:crossAx val="50020002"/>
        <c:crosses val="autoZero"/>
        <c:auto val="1"/>
        <c:lblAlgn val="ctr"/>
        <c:lblOffset val="100"/>
      </c:catAx>
      <c:valAx>
        <c:axId val="50020002"/>
        <c:scaling>
          <c:orientation val="minMax"/>
        </c:scaling>
        <c:axPos val="l"/>
        <c:majorGridlines/>
        <c:numFmt formatCode="General" sourceLinked="1"/>
        <c:tickLblPos val="nextTo"/>
        <c:crossAx val="50020001"/>
        <c:crosses val="autoZero"/>
        <c:crossBetween val="between"/>
      </c:valAx>
    </c:plotArea>
    <c:legend>
      <c:legendPos val="b"/>
      <c:layout/>
    </c:legend>
    <c:plotVisOnly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Distribución de health</a:t>
            </a:r>
          </a:p>
        </c:rich>
      </c:tx>
      <c:layout/>
    </c:title>
    <c:plotArea>
      <c:layout/>
      <c:barChart>
        <c:barDir val="col"/>
        <c:grouping val="clustered"/>
        <c:ser>
          <c:idx val="0"/>
          <c:order val="0"/>
          <c:tx>
            <c:v>Cuentas</c:v>
          </c:tx>
          <c:dPt>
            <c:idx val="0"/>
            <c:spPr>
              <a:solidFill>
                <a:srgbClr val="70AD47"/>
              </a:solidFill>
            </c:spPr>
          </c:dPt>
          <c:dPt>
            <c:idx val="1"/>
            <c:spPr>
              <a:solidFill>
                <a:srgbClr val="FFC000"/>
              </a:solidFill>
            </c:spPr>
          </c:dPt>
          <c:dPt>
            <c:idx val="2"/>
            <c:spPr>
              <a:solidFill>
                <a:srgbClr val="C00000"/>
              </a:solidFill>
            </c:spPr>
          </c:dPt>
          <c:dLbls>
            <c:showVal val="1"/>
          </c:dLbls>
          <c:cat>
            <c:strRef>
              <c:f>E9_Dashboard_CSM!$B$13:$B$15</c:f>
              <c:strCache>
                <c:ptCount val="3"/>
                <c:pt idx="0">
                  <c:v># Green</c:v>
                </c:pt>
                <c:pt idx="1">
                  <c:v># Yellow</c:v>
                </c:pt>
                <c:pt idx="2">
                  <c:v># Red</c:v>
                </c:pt>
              </c:strCache>
            </c:strRef>
          </c:cat>
          <c:val>
            <c:numRef>
              <c:f>E9_Dashboard_CSM!$C$13:$C$15</c:f>
              <c:numCache>
                <c:formatCode>General</c:formatCode>
                <c:ptCount val="3"/>
                <c:pt idx="0">
                  <c:v>0</c:v>
                </c:pt>
                <c:pt idx="1">
                  <c:v>0</c:v>
                </c:pt>
                <c:pt idx="2">
                  <c:v>0</c:v>
                </c:pt>
              </c:numCache>
            </c:numRef>
          </c:val>
        </c:ser>
        <c:axId val="50030001"/>
        <c:axId val="50030002"/>
      </c:barChart>
      <c:catAx>
        <c:axId val="50030001"/>
        <c:scaling>
          <c:orientation val="minMax"/>
        </c:scaling>
        <c:axPos val="b"/>
        <c:tickLblPos val="nextTo"/>
        <c:crossAx val="50030002"/>
        <c:crosses val="autoZero"/>
        <c:auto val="1"/>
        <c:lblAlgn val="ctr"/>
        <c:lblOffset val="100"/>
      </c:catAx>
      <c:valAx>
        <c:axId val="50030002"/>
        <c:scaling>
          <c:orientation val="minMax"/>
        </c:scaling>
        <c:axPos val="l"/>
        <c:majorGridlines/>
        <c:numFmt formatCode="General" sourceLinked="1"/>
        <c:tickLblPos val="nextTo"/>
        <c:crossAx val="50030001"/>
        <c:crosses val="autoZero"/>
        <c:crossBetween val="between"/>
      </c:valAx>
    </c:plotArea>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31</xdr:col>
      <xdr:colOff>0</xdr:colOff>
      <xdr:row>19</xdr:row>
      <xdr:rowOff>0</xdr:rowOff>
    </xdr:from>
    <xdr:to>
      <xdr:col>33</xdr:col>
      <xdr:colOff>666750</xdr:colOff>
      <xdr:row>31</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33</xdr:row>
      <xdr:rowOff>0</xdr:rowOff>
    </xdr:from>
    <xdr:to>
      <xdr:col>5</xdr:col>
      <xdr:colOff>447675</xdr:colOff>
      <xdr:row>47</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0</xdr:colOff>
      <xdr:row>15</xdr:row>
      <xdr:rowOff>0</xdr:rowOff>
    </xdr:from>
    <xdr:to>
      <xdr:col>9</xdr:col>
      <xdr:colOff>352425</xdr:colOff>
      <xdr:row>27</xdr:row>
      <xdr:rowOff>95250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id="1" name="tbl_Accounts" displayName="tbl_Accounts" ref="A1:N151" totalsRowShown="0">
  <autoFilter ref="A1:N151"/>
  <tableColumns count="14">
    <tableColumn id="1" name="AccountID" dataDxfId="0"/>
    <tableColumn id="2" name="AccountName" dataDxfId="0"/>
    <tableColumn id="3" name="Segment" dataDxfId="0"/>
    <tableColumn id="4" name="Region" dataDxfId="0"/>
    <tableColumn id="5" name="Industry" dataDxfId="0"/>
    <tableColumn id="6" name="Product" dataDxfId="0"/>
    <tableColumn id="7" name="CSM_ID" dataDxfId="0"/>
    <tableColumn id="8" name="ARR_USD" dataDxfId="1"/>
    <tableColumn id="9" name="LicensedSeats" dataDxfId="2"/>
    <tableColumn id="10" name="ContractStart" dataDxfId="3"/>
    <tableColumn id="11" name="RenewalDate" dataDxfId="3"/>
    <tableColumn id="12" name="Status" dataDxfId="0"/>
    <tableColumn id="13" name="ChurnDate" dataDxfId="3"/>
    <tableColumn id="14" name="ContractualReporting" dataDxfId="0"/>
  </tableColumns>
  <tableStyleInfo name="TableStyleMedium2" showFirstColumn="0" showLastColumn="0" showRowStripes="1" showColumnStripes="0"/>
</table>
</file>

<file path=xl/tables/table2.xml><?xml version="1.0" encoding="utf-8"?>
<table xmlns="http://schemas.openxmlformats.org/spreadsheetml/2006/main" id="2" name="tbl_CSMs" displayName="tbl_CSMs" ref="A1:E9" totalsRowShown="0">
  <autoFilter ref="A1:E9"/>
  <tableColumns count="5">
    <tableColumn id="1" name="CSM_ID" dataDxfId="0"/>
    <tableColumn id="2" name="CSM_Name" dataDxfId="0"/>
    <tableColumn id="3" name="Email" dataDxfId="0"/>
    <tableColumn id="4" name="Team" dataDxfId="0"/>
    <tableColumn id="5" name="Manager" dataDxfId="0"/>
  </tableColumns>
  <tableStyleInfo name="TableStyleMedium2" showFirstColumn="0" showLastColumn="0" showRowStripes="1" showColumnStripes="0"/>
</table>
</file>

<file path=xl/tables/table3.xml><?xml version="1.0" encoding="utf-8"?>
<table xmlns="http://schemas.openxmlformats.org/spreadsheetml/2006/main" id="3" name="tbl_Usage" displayName="tbl_Usage" ref="A1:G1749" totalsRowShown="0">
  <autoFilter ref="A1:G1749"/>
  <tableColumns count="7">
    <tableColumn id="1" name="AccountID" dataDxfId="0"/>
    <tableColumn id="2" name="Month" dataDxfId="3"/>
    <tableColumn id="3" name="ActiveUsers" dataDxfId="2"/>
    <tableColumn id="4" name="Logins" dataDxfId="2"/>
    <tableColumn id="5" name="ReportsRun" dataDxfId="2"/>
    <tableColumn id="6" name="FeaturesAdopted" dataDxfId="0"/>
    <tableColumn id="7" name="AvgSessionMin" dataDxfId="4"/>
  </tableColumns>
  <tableStyleInfo name="TableStyleMedium2" showFirstColumn="0" showLastColumn="0" showRowStripes="1" showColumnStripes="0"/>
</table>
</file>

<file path=xl/tables/table4.xml><?xml version="1.0" encoding="utf-8"?>
<table xmlns="http://schemas.openxmlformats.org/spreadsheetml/2006/main" id="4" name="tbl_Tickets" displayName="tbl_Tickets" ref="A1:G775" totalsRowShown="0">
  <autoFilter ref="A1:G775"/>
  <tableColumns count="7">
    <tableColumn id="1" name="TicketID" dataDxfId="0"/>
    <tableColumn id="2" name="AccountID" dataDxfId="0"/>
    <tableColumn id="3" name="OpenedDate" dataDxfId="3"/>
    <tableColumn id="4" name="ClosedDate" dataDxfId="3"/>
    <tableColumn id="5" name="Priority" dataDxfId="0"/>
    <tableColumn id="6" name="Category" dataDxfId="0"/>
    <tableColumn id="7" name="CSAT" dataDxfId="0"/>
  </tableColumns>
  <tableStyleInfo name="TableStyleMedium2" showFirstColumn="0" showLastColumn="0" showRowStripes="1" showColumnStripes="0"/>
</table>
</file>

<file path=xl/tables/table5.xml><?xml version="1.0" encoding="utf-8"?>
<table xmlns="http://schemas.openxmlformats.org/spreadsheetml/2006/main" id="5" name="tbl_NPS" displayName="tbl_NPS" ref="A1:D179" totalsRowShown="0">
  <autoFilter ref="A1:D179"/>
  <tableColumns count="4">
    <tableColumn id="1" name="SurveyID" dataDxfId="0"/>
    <tableColumn id="2" name="AccountID" dataDxfId="0"/>
    <tableColumn id="3" name="ResponseDate" dataDxfId="3"/>
    <tableColumn id="4" name="Score" dataDxfId="0"/>
  </tableColumns>
  <tableStyleInfo name="TableStyleMedium2" showFirstColumn="0" showLastColumn="0" showRowStripes="1" showColumnStripes="0"/>
</table>
</file>

<file path=xl/tables/table6.xml><?xml version="1.0" encoding="utf-8"?>
<table xmlns="http://schemas.openxmlformats.org/spreadsheetml/2006/main" id="6" name="tbl_Reports" displayName="tbl_Reports" ref="A1:K37" totalsRowShown="0">
  <autoFilter ref="A1:K37"/>
  <tableColumns count="11">
    <tableColumn id="1" name="ReportID" dataDxfId="0"/>
    <tableColumn id="2" name="ReportName" dataDxfId="0"/>
    <tableColumn id="3" name="Type" dataDxfId="0"/>
    <tableColumn id="4" name="Audience" dataDxfId="0"/>
    <tableColumn id="5" name="Frequency" dataDxfId="0"/>
    <tableColumn id="6" name="Source" dataDxfId="0"/>
    <tableColumn id="7" name="Owner" dataDxfId="0"/>
    <tableColumn id="8" name="CreatedDate" dataDxfId="3"/>
    <tableColumn id="9" name="LastModified" dataDxfId="3"/>
    <tableColumn id="10" name="Recipients" dataDxfId="0"/>
    <tableColumn id="11" name="MaintHrsPerMonth" dataDxfId="4"/>
  </tableColumns>
  <tableStyleInfo name="TableStyleMedium2" showFirstColumn="0" showLastColumn="0" showRowStripes="1" showColumnStripes="0"/>
</table>
</file>

<file path=xl/tables/table7.xml><?xml version="1.0" encoding="utf-8"?>
<table xmlns="http://schemas.openxmlformats.org/spreadsheetml/2006/main" id="7" name="tbl_ReportLog" displayName="tbl_ReportLog" ref="A1:G3632" totalsRowShown="0">
  <autoFilter ref="A1:G3632"/>
  <tableColumns count="7">
    <tableColumn id="1" name="LogID" dataDxfId="0"/>
    <tableColumn id="2" name="Date" dataDxfId="3"/>
    <tableColumn id="3" name="ReportID" dataDxfId="0"/>
    <tableColumn id="4" name="UserEmail" dataDxfId="0"/>
    <tableColumn id="5" name="UserRole" dataDxfId="0"/>
    <tableColumn id="6" name="Action" dataDxfId="0"/>
    <tableColumn id="7" name="DurationSec" dataDxfId="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6.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F3864"/>
  </sheetPr>
  <dimension ref="A1:G79"/>
  <sheetViews>
    <sheetView tabSelected="1" workbookViewId="0"/>
  </sheetViews>
  <sheetFormatPr defaultRowHeight="15" x14ac:dyDescent="0.25"/>
  <cols>
    <col min="1" max="1" width="3.7109375" customWidth="1"/>
    <col min="2" max="2" width="30.7109375" customWidth="1"/>
    <col min="3" max="3" width="16.7109375" customWidth="1"/>
    <col min="4" max="4" width="62.7109375" customWidth="1"/>
    <col min="5" max="7" width="12.7109375" customWidth="1"/>
  </cols>
  <sheetData>
    <row r="1" spans="1:7" ht="30" customHeight="1" x14ac:dyDescent="0.25">
      <c r="A1" s="1" t="s">
        <v>5116</v>
      </c>
      <c r="B1" s="1"/>
      <c r="C1" s="1"/>
      <c r="D1" s="1"/>
      <c r="E1" s="1"/>
      <c r="F1" s="1"/>
      <c r="G1" s="1"/>
    </row>
    <row r="2" spans="1:7" x14ac:dyDescent="0.25">
      <c r="A2" s="2" t="s">
        <v>5117</v>
      </c>
      <c r="B2" s="2"/>
      <c r="C2" s="2"/>
      <c r="D2" s="2"/>
      <c r="E2" s="2"/>
      <c r="F2" s="2"/>
      <c r="G2" s="2"/>
    </row>
    <row r="3" spans="1:7" ht="48" customHeight="1" x14ac:dyDescent="0.25">
      <c r="B3" s="3" t="s">
        <v>5118</v>
      </c>
      <c r="C3" s="3"/>
      <c r="D3" s="3"/>
      <c r="E3" s="3"/>
      <c r="F3" s="3"/>
      <c r="G3" s="3"/>
    </row>
    <row r="5" spans="1:7" x14ac:dyDescent="0.25">
      <c r="B5" s="4" t="s">
        <v>5119</v>
      </c>
    </row>
    <row r="6" spans="1:7" x14ac:dyDescent="0.25">
      <c r="B6" t="s">
        <v>5120</v>
      </c>
      <c r="C6" s="5">
        <v>46295</v>
      </c>
      <c r="D6" t="s">
        <v>5121</v>
      </c>
    </row>
    <row r="7" spans="1:7" x14ac:dyDescent="0.25">
      <c r="B7" t="s">
        <v>5122</v>
      </c>
      <c r="C7" s="5">
        <f>DATE(YEAR(AsOfDate),MONTH(AsOfDate),1)</f>
        <v>46266</v>
      </c>
      <c r="D7" t="s">
        <v>5123</v>
      </c>
    </row>
    <row r="8" spans="1:7" x14ac:dyDescent="0.25">
      <c r="B8" t="s">
        <v>5124</v>
      </c>
      <c r="C8" s="6">
        <v>35</v>
      </c>
      <c r="D8" t="s">
        <v>5125</v>
      </c>
    </row>
    <row r="10" spans="1:7" x14ac:dyDescent="0.25">
      <c r="B10" s="4" t="s">
        <v>5126</v>
      </c>
    </row>
    <row r="11" spans="1:7" ht="30" customHeight="1" x14ac:dyDescent="0.25">
      <c r="B11" s="3" t="s">
        <v>5127</v>
      </c>
      <c r="C11" s="3"/>
      <c r="D11" s="3"/>
      <c r="E11" s="3"/>
      <c r="F11" s="3"/>
      <c r="G11" s="3"/>
    </row>
    <row r="12" spans="1:7" ht="30" customHeight="1" x14ac:dyDescent="0.25">
      <c r="B12" s="3" t="s">
        <v>5128</v>
      </c>
      <c r="C12" s="3"/>
      <c r="D12" s="3"/>
      <c r="E12" s="3"/>
      <c r="F12" s="3"/>
      <c r="G12" s="3"/>
    </row>
    <row r="13" spans="1:7" ht="30" customHeight="1" x14ac:dyDescent="0.25">
      <c r="B13" s="3" t="s">
        <v>5129</v>
      </c>
      <c r="C13" s="3"/>
      <c r="D13" s="3"/>
      <c r="E13" s="3"/>
      <c r="F13" s="3"/>
      <c r="G13" s="3"/>
    </row>
    <row r="14" spans="1:7" ht="30" customHeight="1" x14ac:dyDescent="0.25">
      <c r="B14" s="3" t="s">
        <v>5130</v>
      </c>
      <c r="C14" s="3"/>
      <c r="D14" s="3"/>
      <c r="E14" s="3"/>
      <c r="F14" s="3"/>
      <c r="G14" s="3"/>
    </row>
    <row r="15" spans="1:7" ht="30" customHeight="1" x14ac:dyDescent="0.25">
      <c r="B15" s="3" t="s">
        <v>5131</v>
      </c>
      <c r="C15" s="3"/>
      <c r="D15" s="3"/>
      <c r="E15" s="3"/>
      <c r="F15" s="3"/>
      <c r="G15" s="3"/>
    </row>
    <row r="16" spans="1:7" ht="30" customHeight="1" x14ac:dyDescent="0.25">
      <c r="B16" s="3" t="s">
        <v>5132</v>
      </c>
      <c r="C16" s="3"/>
      <c r="D16" s="3"/>
      <c r="E16" s="3"/>
      <c r="F16" s="3"/>
      <c r="G16" s="3"/>
    </row>
    <row r="17" spans="2:7" ht="30" customHeight="1" x14ac:dyDescent="0.25">
      <c r="B17" s="3" t="s">
        <v>5133</v>
      </c>
      <c r="C17" s="3"/>
      <c r="D17" s="3"/>
      <c r="E17" s="3"/>
      <c r="F17" s="3"/>
      <c r="G17" s="3"/>
    </row>
    <row r="19" spans="2:7" x14ac:dyDescent="0.25">
      <c r="B19" s="4" t="s">
        <v>5134</v>
      </c>
    </row>
    <row r="20" spans="2:7" x14ac:dyDescent="0.25">
      <c r="B20" s="7" t="s">
        <v>5135</v>
      </c>
      <c r="C20" s="7" t="s">
        <v>5136</v>
      </c>
      <c r="D20" s="7" t="s">
        <v>5137</v>
      </c>
      <c r="E20" s="7" t="s">
        <v>5138</v>
      </c>
      <c r="F20" s="7" t="s">
        <v>5139</v>
      </c>
      <c r="G20" s="7" t="s">
        <v>5140</v>
      </c>
    </row>
    <row r="21" spans="2:7" ht="30" customHeight="1" x14ac:dyDescent="0.25">
      <c r="B21" s="8" t="s">
        <v>5141</v>
      </c>
      <c r="C21" s="9" t="s">
        <v>5142</v>
      </c>
      <c r="D21" s="10" t="s">
        <v>5143</v>
      </c>
      <c r="E21" s="11">
        <f>COUNTIF('E1_Lookups'!$A$1:$BZ$400,"✓")</f>
        <v>0</v>
      </c>
      <c r="F21" s="11">
        <v>120</v>
      </c>
      <c r="G21" s="12">
        <f>IFERROR(E21/F21,0)</f>
        <v>0</v>
      </c>
    </row>
    <row r="22" spans="2:7" ht="30" customHeight="1" x14ac:dyDescent="0.25">
      <c r="B22" s="8" t="s">
        <v>5144</v>
      </c>
      <c r="C22" s="9" t="s">
        <v>5145</v>
      </c>
      <c r="D22" s="10" t="s">
        <v>5146</v>
      </c>
      <c r="E22" s="11">
        <f>COUNTIF('E2_Agregaciones'!$A$1:$BZ$400,"✓")</f>
        <v>0</v>
      </c>
      <c r="F22" s="11">
        <v>101</v>
      </c>
      <c r="G22" s="12">
        <f>IFERROR(E22/F22,0)</f>
        <v>0</v>
      </c>
    </row>
    <row r="23" spans="2:7" ht="30" customHeight="1" x14ac:dyDescent="0.25">
      <c r="B23" s="8" t="s">
        <v>5147</v>
      </c>
      <c r="C23" s="9" t="s">
        <v>5148</v>
      </c>
      <c r="D23" s="10" t="s">
        <v>5149</v>
      </c>
      <c r="E23" s="11">
        <f>COUNTIF('E3_Health_Score'!$A$1:$BZ$400,"✓")</f>
        <v>0</v>
      </c>
      <c r="F23" s="11">
        <v>976</v>
      </c>
      <c r="G23" s="12">
        <f>IFERROR(E23/F23,0)</f>
        <v>0</v>
      </c>
    </row>
    <row r="24" spans="2:7" ht="30" customHeight="1" x14ac:dyDescent="0.25">
      <c r="B24" s="8" t="s">
        <v>5150</v>
      </c>
      <c r="C24" s="9" t="s">
        <v>5151</v>
      </c>
      <c r="D24" s="10" t="s">
        <v>5152</v>
      </c>
      <c r="E24" s="11">
        <f>COUNTIF('E4_Auditoria_Reportes'!$A$1:$BZ$400,"✓")</f>
        <v>0</v>
      </c>
      <c r="F24" s="11">
        <v>272</v>
      </c>
      <c r="G24" s="12">
        <f>IFERROR(E24/F24,0)</f>
        <v>0</v>
      </c>
    </row>
    <row r="25" spans="2:7" ht="30" customHeight="1" x14ac:dyDescent="0.25">
      <c r="B25" s="8" t="s">
        <v>5153</v>
      </c>
      <c r="C25" s="9" t="s">
        <v>5154</v>
      </c>
      <c r="D25" s="10" t="s">
        <v>5155</v>
      </c>
      <c r="E25" s="11">
        <f>COUNTIF('E5_Limpieza_Datos'!$A$1:$BZ$400,"✓")</f>
        <v>0</v>
      </c>
      <c r="F25" s="11">
        <v>587</v>
      </c>
      <c r="G25" s="12">
        <f>IFERROR(E25/F25,0)</f>
        <v>0</v>
      </c>
    </row>
    <row r="26" spans="2:7" ht="30" customHeight="1" x14ac:dyDescent="0.25">
      <c r="B26" s="8" t="s">
        <v>5156</v>
      </c>
      <c r="C26" s="9" t="s">
        <v>5157</v>
      </c>
      <c r="D26" s="10" t="s">
        <v>5158</v>
      </c>
      <c r="E26" s="11">
        <f>COUNTIF('E6_Pivots'!$A$1:$BZ$400,"✓")</f>
        <v>0</v>
      </c>
      <c r="F26" s="11">
        <v>119</v>
      </c>
      <c r="G26" s="12">
        <f>IFERROR(E26/F26,0)</f>
        <v>0</v>
      </c>
    </row>
    <row r="27" spans="2:7" ht="30" customHeight="1" x14ac:dyDescent="0.25">
      <c r="B27" s="8" t="s">
        <v>5159</v>
      </c>
      <c r="C27" s="9" t="s">
        <v>5160</v>
      </c>
      <c r="D27" s="10" t="s">
        <v>5161</v>
      </c>
      <c r="E27" s="11">
        <f>COUNTIF('E7_Dinamicas_365'!$A$1:$BZ$400,"✓")</f>
        <v>0</v>
      </c>
      <c r="F27" s="11">
        <v>4</v>
      </c>
      <c r="G27" s="12">
        <f>IFERROR(E27/F27,0)</f>
        <v>0</v>
      </c>
    </row>
    <row r="28" spans="2:7" ht="30" customHeight="1" x14ac:dyDescent="0.25">
      <c r="B28" s="8" t="s">
        <v>5162</v>
      </c>
      <c r="C28" s="9" t="s">
        <v>5163</v>
      </c>
      <c r="D28" s="10" t="s">
        <v>5164</v>
      </c>
      <c r="E28" s="11">
        <f>COUNTIF('E8_Tendencias'!$A$1:$BZ$400,"✓")</f>
        <v>0</v>
      </c>
      <c r="F28" s="11">
        <v>124</v>
      </c>
      <c r="G28" s="12">
        <f>IFERROR(E28/F28,0)</f>
        <v>0</v>
      </c>
    </row>
    <row r="29" spans="2:7" ht="30" customHeight="1" x14ac:dyDescent="0.25">
      <c r="B29" s="8" t="s">
        <v>5165</v>
      </c>
      <c r="C29" s="9" t="s">
        <v>5166</v>
      </c>
      <c r="D29" s="10" t="s">
        <v>5167</v>
      </c>
      <c r="E29" s="11">
        <f>COUNTIF('E9_Dashboard_CSM'!$A$1:$BZ$400,"✓")</f>
        <v>0</v>
      </c>
      <c r="F29" s="11">
        <v>11</v>
      </c>
      <c r="G29" s="12">
        <f>IFERROR(E29/F29,0)</f>
        <v>0</v>
      </c>
    </row>
    <row r="30" spans="2:7" x14ac:dyDescent="0.25">
      <c r="D30" s="13" t="s">
        <v>5168</v>
      </c>
      <c r="E30" s="14">
        <f>SUM(E21:E29)</f>
        <v>0</v>
      </c>
      <c r="F30" s="14">
        <f>SUM(F21:F29)</f>
        <v>0</v>
      </c>
      <c r="G30" s="15">
        <f>IFERROR(E30/F30,0)</f>
        <v>0</v>
      </c>
    </row>
    <row r="32" spans="2:7" x14ac:dyDescent="0.25">
      <c r="B32" s="4" t="s">
        <v>5169</v>
      </c>
    </row>
    <row r="33" spans="2:4" x14ac:dyDescent="0.25">
      <c r="B33" s="8" t="s">
        <v>5170</v>
      </c>
      <c r="D33" t="s">
        <v>5171</v>
      </c>
    </row>
    <row r="34" spans="2:4" x14ac:dyDescent="0.25">
      <c r="B34" s="8" t="s">
        <v>5172</v>
      </c>
      <c r="D34" t="s">
        <v>5173</v>
      </c>
    </row>
    <row r="35" spans="2:4" x14ac:dyDescent="0.25">
      <c r="B35" s="8" t="s">
        <v>5174</v>
      </c>
      <c r="D35" t="s">
        <v>5175</v>
      </c>
    </row>
    <row r="38" spans="2:4" x14ac:dyDescent="0.25">
      <c r="B38" s="4" t="s">
        <v>5176</v>
      </c>
    </row>
    <row r="39" spans="2:4" x14ac:dyDescent="0.25">
      <c r="B39" s="16" t="s">
        <v>5177</v>
      </c>
      <c r="D39" t="s">
        <v>5178</v>
      </c>
    </row>
    <row r="40" spans="2:4" x14ac:dyDescent="0.25">
      <c r="B40" s="16" t="s">
        <v>5179</v>
      </c>
      <c r="D40" t="s">
        <v>5180</v>
      </c>
    </row>
    <row r="41" spans="2:4" x14ac:dyDescent="0.25">
      <c r="B41" s="16" t="s">
        <v>5181</v>
      </c>
      <c r="D41" t="s">
        <v>5182</v>
      </c>
    </row>
    <row r="42" spans="2:4" x14ac:dyDescent="0.25">
      <c r="B42" s="16" t="s">
        <v>5183</v>
      </c>
      <c r="D42" t="s">
        <v>5184</v>
      </c>
    </row>
    <row r="43" spans="2:4" x14ac:dyDescent="0.25">
      <c r="B43" s="16" t="s">
        <v>5185</v>
      </c>
      <c r="D43" t="s">
        <v>5186</v>
      </c>
    </row>
    <row r="44" spans="2:4" x14ac:dyDescent="0.25">
      <c r="B44" s="16" t="s">
        <v>5187</v>
      </c>
      <c r="D44" t="s">
        <v>5188</v>
      </c>
    </row>
    <row r="45" spans="2:4" x14ac:dyDescent="0.25">
      <c r="B45" s="16" t="s">
        <v>5189</v>
      </c>
      <c r="D45" t="s">
        <v>5190</v>
      </c>
    </row>
    <row r="46" spans="2:4" x14ac:dyDescent="0.25">
      <c r="B46" s="16" t="s">
        <v>5191</v>
      </c>
      <c r="D46" t="s">
        <v>5192</v>
      </c>
    </row>
    <row r="47" spans="2:4" x14ac:dyDescent="0.25">
      <c r="B47" s="16" t="s">
        <v>5193</v>
      </c>
      <c r="D47" t="s">
        <v>5194</v>
      </c>
    </row>
    <row r="48" spans="2:4" x14ac:dyDescent="0.25">
      <c r="B48" s="16" t="s">
        <v>5195</v>
      </c>
      <c r="D48" t="s">
        <v>5196</v>
      </c>
    </row>
    <row r="49" spans="2:4" x14ac:dyDescent="0.25">
      <c r="B49" s="16" t="s">
        <v>5197</v>
      </c>
      <c r="D49" t="s">
        <v>5198</v>
      </c>
    </row>
    <row r="51" spans="2:4" x14ac:dyDescent="0.25">
      <c r="B51" s="4" t="s">
        <v>5199</v>
      </c>
    </row>
    <row r="52" spans="2:4" x14ac:dyDescent="0.25">
      <c r="B52" s="7" t="s">
        <v>5200</v>
      </c>
      <c r="C52" s="7"/>
      <c r="D52" s="7" t="s">
        <v>5201</v>
      </c>
    </row>
    <row r="53" spans="2:4" x14ac:dyDescent="0.25">
      <c r="B53" s="17" t="s">
        <v>5202</v>
      </c>
      <c r="D53" s="17" t="s">
        <v>5203</v>
      </c>
    </row>
    <row r="54" spans="2:4" x14ac:dyDescent="0.25">
      <c r="B54" s="17" t="s">
        <v>5204</v>
      </c>
      <c r="D54" s="17" t="s">
        <v>5205</v>
      </c>
    </row>
    <row r="55" spans="2:4" x14ac:dyDescent="0.25">
      <c r="B55" s="17" t="s">
        <v>5206</v>
      </c>
      <c r="D55" s="17" t="s">
        <v>5207</v>
      </c>
    </row>
    <row r="56" spans="2:4" x14ac:dyDescent="0.25">
      <c r="B56" s="17" t="s">
        <v>5208</v>
      </c>
      <c r="D56" s="17" t="s">
        <v>5209</v>
      </c>
    </row>
    <row r="57" spans="2:4" x14ac:dyDescent="0.25">
      <c r="B57" s="17" t="s">
        <v>5210</v>
      </c>
      <c r="D57" s="17" t="s">
        <v>5211</v>
      </c>
    </row>
    <row r="58" spans="2:4" x14ac:dyDescent="0.25">
      <c r="B58" s="17" t="s">
        <v>5212</v>
      </c>
      <c r="D58" s="17" t="s">
        <v>5213</v>
      </c>
    </row>
    <row r="59" spans="2:4" x14ac:dyDescent="0.25">
      <c r="B59" s="17" t="s">
        <v>5214</v>
      </c>
      <c r="D59" s="17" t="s">
        <v>5215</v>
      </c>
    </row>
    <row r="60" spans="2:4" x14ac:dyDescent="0.25">
      <c r="B60" s="17" t="s">
        <v>5216</v>
      </c>
      <c r="D60" s="17" t="s">
        <v>5217</v>
      </c>
    </row>
    <row r="61" spans="2:4" x14ac:dyDescent="0.25">
      <c r="B61" s="17" t="s">
        <v>5218</v>
      </c>
      <c r="D61" s="17" t="s">
        <v>5219</v>
      </c>
    </row>
    <row r="62" spans="2:4" x14ac:dyDescent="0.25">
      <c r="B62" s="17" t="s">
        <v>5220</v>
      </c>
      <c r="D62" s="17" t="s">
        <v>5221</v>
      </c>
    </row>
    <row r="63" spans="2:4" x14ac:dyDescent="0.25">
      <c r="B63" s="17" t="s">
        <v>5222</v>
      </c>
      <c r="D63" s="17" t="s">
        <v>5223</v>
      </c>
    </row>
    <row r="64" spans="2:4" x14ac:dyDescent="0.25">
      <c r="B64" s="17" t="s">
        <v>5224</v>
      </c>
      <c r="D64" s="17" t="s">
        <v>5225</v>
      </c>
    </row>
    <row r="65" spans="2:4" x14ac:dyDescent="0.25">
      <c r="B65" s="17" t="s">
        <v>5226</v>
      </c>
      <c r="D65" s="17" t="s">
        <v>5227</v>
      </c>
    </row>
    <row r="66" spans="2:4" x14ac:dyDescent="0.25">
      <c r="B66" s="17" t="s">
        <v>5228</v>
      </c>
      <c r="D66" s="17" t="s">
        <v>5229</v>
      </c>
    </row>
    <row r="67" spans="2:4" x14ac:dyDescent="0.25">
      <c r="B67" s="17" t="s">
        <v>5230</v>
      </c>
      <c r="D67" s="17" t="s">
        <v>5231</v>
      </c>
    </row>
    <row r="68" spans="2:4" x14ac:dyDescent="0.25">
      <c r="B68" s="17" t="s">
        <v>5232</v>
      </c>
      <c r="D68" s="17" t="s">
        <v>5233</v>
      </c>
    </row>
    <row r="69" spans="2:4" x14ac:dyDescent="0.25">
      <c r="B69" s="17" t="s">
        <v>5234</v>
      </c>
      <c r="D69" s="17" t="s">
        <v>5235</v>
      </c>
    </row>
    <row r="70" spans="2:4" x14ac:dyDescent="0.25">
      <c r="B70" s="17" t="s">
        <v>5236</v>
      </c>
      <c r="D70" s="17" t="s">
        <v>5237</v>
      </c>
    </row>
    <row r="71" spans="2:4" x14ac:dyDescent="0.25">
      <c r="B71" s="17" t="s">
        <v>5238</v>
      </c>
      <c r="D71" s="17" t="s">
        <v>5239</v>
      </c>
    </row>
    <row r="72" spans="2:4" x14ac:dyDescent="0.25">
      <c r="B72" s="17" t="s">
        <v>5240</v>
      </c>
      <c r="D72" s="17" t="s">
        <v>5241</v>
      </c>
    </row>
    <row r="73" spans="2:4" x14ac:dyDescent="0.25">
      <c r="B73" s="17" t="s">
        <v>5242</v>
      </c>
      <c r="D73" s="17" t="s">
        <v>5243</v>
      </c>
    </row>
    <row r="74" spans="2:4" x14ac:dyDescent="0.25">
      <c r="B74" s="17" t="s">
        <v>5244</v>
      </c>
      <c r="D74" s="17" t="s">
        <v>5245</v>
      </c>
    </row>
    <row r="75" spans="2:4" x14ac:dyDescent="0.25">
      <c r="B75" s="17" t="s">
        <v>5246</v>
      </c>
      <c r="D75" s="17" t="s">
        <v>5247</v>
      </c>
    </row>
    <row r="76" spans="2:4" x14ac:dyDescent="0.25">
      <c r="B76" s="17" t="s">
        <v>5248</v>
      </c>
      <c r="D76" s="17" t="s">
        <v>5248</v>
      </c>
    </row>
    <row r="77" spans="2:4" x14ac:dyDescent="0.25">
      <c r="B77" s="17" t="s">
        <v>5249</v>
      </c>
      <c r="D77" s="17" t="s">
        <v>5250</v>
      </c>
    </row>
    <row r="78" spans="2:4" x14ac:dyDescent="0.25">
      <c r="B78" s="17" t="s">
        <v>5251</v>
      </c>
      <c r="D78" s="17" t="s">
        <v>5252</v>
      </c>
    </row>
    <row r="79" spans="2:4" x14ac:dyDescent="0.25">
      <c r="B79" s="17" t="s">
        <v>5253</v>
      </c>
      <c r="D79" s="17" t="s">
        <v>5254</v>
      </c>
    </row>
  </sheetData>
  <mergeCells count="10">
    <mergeCell ref="A1:G1"/>
    <mergeCell ref="A2:G2"/>
    <mergeCell ref="B3:G3"/>
    <mergeCell ref="B11:G11"/>
    <mergeCell ref="B12:G12"/>
    <mergeCell ref="B13:G13"/>
    <mergeCell ref="B14:G14"/>
    <mergeCell ref="B15:G15"/>
    <mergeCell ref="B16:G16"/>
    <mergeCell ref="B17:G17"/>
  </mergeCells>
  <conditionalFormatting sqref="G21:G30">
    <cfRule type="dataBar" priority="1">
      <dataBar>
        <cfvo type="num" val="0"/>
        <cfvo type="num" val="1"/>
        <color rgb="FF63BE7B"/>
      </dataBar>
      <extLst>
        <ext xmlns:x14="http://schemas.microsoft.com/office/spreadsheetml/2009/9/main" uri="{B025F937-C7B1-47D3-B67F-A62EFF666E3E}">
          <x14:id>{DA7ABA51-AAAA-BBBB-0001-000000000001}</x14:id>
        </ext>
      </extLst>
    </cfRule>
  </conditionalFormatting>
  <hyperlinks>
    <hyperlink ref="B21" location="'E1_Lookups'!A1" display="E1_Lookups"/>
    <hyperlink ref="B22" location="'E2_Agregaciones'!A1" display="E2_Agregaciones"/>
    <hyperlink ref="B23" location="'E3_Health_Score'!A1" display="E3_Health_Score"/>
    <hyperlink ref="B24" location="'E4_Auditoria_Reportes'!A1" display="E4_Auditoria_Reportes"/>
    <hyperlink ref="B25" location="'E5_Limpieza_Datos'!A1" display="E5_Limpieza_Datos"/>
    <hyperlink ref="B26" location="'E6_Pivots'!A1" display="E6_Pivots"/>
    <hyperlink ref="B27" location="'E7_Dinamicas_365'!A1" display="E7_Dinamicas_365"/>
    <hyperlink ref="B28" location="'E8_Tendencias'!A1" display="E8_Tendencias"/>
    <hyperlink ref="B29" location="'E9_Dashboard_CSM'!A1" display="E9_Dashboard_CSM"/>
    <hyperlink ref="B33" location="'E10_PowerQuery'!A1" display="E10_PowerQuery"/>
    <hyperlink ref="B34" location="'Entrevista'!A1" display="Entrevista"/>
    <hyperlink ref="B35" location="'Diccionario'!A1" display="Diccionario"/>
  </hyperlink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DA7ABA51-AAAA-BBBB-0001-000000000001}">
            <x14:dataBar minLength="0" maxLength="100" border="1" gradient="0" negativeBarBorderColorSameAsPositive="0">
              <x14:cfvo type="num">
                <xm:f>0</xm:f>
              </x14:cfvo>
              <x14:cfvo type="num">
                <xm:f>1</xm:f>
              </x14:cfvo>
              <x14:borderColor rgb="FF63BE7B"/>
              <x14:negativeFillColor rgb="FFFF0000"/>
              <x14:negativeBorderColor rgb="FFFF0000"/>
              <x14:axisColor rgb="FF000000"/>
            </x14:dataBar>
          </x14:cfRule>
          <xm:sqref>G21:G30</xm:sqref>
        </x14:conditionalFormatting>
      </x14:conditionalFormattings>
    </ext>
  </extLst>
</worksheet>
</file>

<file path=xl/worksheets/sheet2.xml><?xml version="1.0" encoding="utf-8"?>
<worksheet xmlns="http://schemas.openxmlformats.org/spreadsheetml/2006/main" xmlns:r="http://schemas.openxmlformats.org/officeDocument/2006/relationships">
  <dimension ref="A1:E69"/>
  <sheetViews>
    <sheetView workbookViewId="0"/>
  </sheetViews>
  <sheetFormatPr defaultRowHeight="15"/>
  <cols>
    <col min="1" max="1" width="18.7109375" customWidth="1"/>
    <col min="2" max="2" width="20.7109375" customWidth="1"/>
    <col min="3" max="3" width="24.7109375" customWidth="1"/>
    <col min="4" max="4" width="70.7109375" customWidth="1"/>
    <col min="5" max="5" width="10.7109375" customWidth="1"/>
  </cols>
  <sheetData>
    <row r="1" spans="1:5" ht="26" customHeight="1">
      <c r="A1" s="18" t="s">
        <v>5255</v>
      </c>
      <c r="B1" s="18"/>
      <c r="C1" s="18"/>
      <c r="D1" s="18"/>
      <c r="E1" s="18"/>
    </row>
    <row r="2" spans="1:5" ht="45" customHeight="1">
      <c r="A2" s="3" t="s">
        <v>5256</v>
      </c>
      <c r="B2" s="3"/>
      <c r="C2" s="3"/>
      <c r="D2" s="3"/>
      <c r="E2" s="3"/>
    </row>
    <row r="5" spans="1:5">
      <c r="A5" s="7" t="s">
        <v>5257</v>
      </c>
      <c r="B5" s="7" t="s">
        <v>5135</v>
      </c>
      <c r="C5" s="7" t="s">
        <v>5258</v>
      </c>
      <c r="D5" s="7" t="s">
        <v>5259</v>
      </c>
      <c r="E5" s="7" t="s">
        <v>5260</v>
      </c>
    </row>
    <row r="6" spans="1:5">
      <c r="A6" s="19" t="s">
        <v>5261</v>
      </c>
      <c r="B6" s="20" t="s">
        <v>5262</v>
      </c>
      <c r="C6" s="21"/>
      <c r="D6" s="22" t="s">
        <v>5263</v>
      </c>
      <c r="E6" s="23">
        <v>150</v>
      </c>
    </row>
    <row r="7" spans="1:5">
      <c r="C7" t="s">
        <v>0</v>
      </c>
      <c r="D7" t="s">
        <v>5264</v>
      </c>
    </row>
    <row r="8" spans="1:5">
      <c r="C8" t="s">
        <v>1</v>
      </c>
      <c r="D8" t="s">
        <v>5265</v>
      </c>
    </row>
    <row r="9" spans="1:5">
      <c r="C9" t="s">
        <v>2</v>
      </c>
      <c r="D9" t="s">
        <v>5266</v>
      </c>
    </row>
    <row r="10" spans="1:5">
      <c r="C10" t="s">
        <v>3</v>
      </c>
      <c r="D10" t="s">
        <v>5267</v>
      </c>
    </row>
    <row r="11" spans="1:5">
      <c r="C11" t="s">
        <v>4</v>
      </c>
      <c r="D11" t="s">
        <v>5268</v>
      </c>
    </row>
    <row r="12" spans="1:5">
      <c r="C12" t="s">
        <v>5</v>
      </c>
      <c r="D12" t="s">
        <v>5269</v>
      </c>
    </row>
    <row r="13" spans="1:5">
      <c r="C13" t="s">
        <v>6</v>
      </c>
      <c r="D13" t="s">
        <v>5270</v>
      </c>
    </row>
    <row r="14" spans="1:5">
      <c r="C14" t="s">
        <v>7</v>
      </c>
      <c r="D14" t="s">
        <v>5271</v>
      </c>
    </row>
    <row r="15" spans="1:5">
      <c r="C15" t="s">
        <v>8</v>
      </c>
      <c r="D15" t="s">
        <v>5272</v>
      </c>
    </row>
    <row r="16" spans="1:5">
      <c r="C16" t="s">
        <v>9</v>
      </c>
      <c r="D16" t="s">
        <v>5273</v>
      </c>
    </row>
    <row r="17" spans="1:5">
      <c r="C17" t="s">
        <v>10</v>
      </c>
      <c r="D17" t="s">
        <v>5274</v>
      </c>
    </row>
    <row r="18" spans="1:5">
      <c r="C18" t="s">
        <v>11</v>
      </c>
      <c r="D18" t="s">
        <v>5275</v>
      </c>
    </row>
    <row r="19" spans="1:5">
      <c r="C19" t="s">
        <v>12</v>
      </c>
      <c r="D19" t="s">
        <v>5276</v>
      </c>
    </row>
    <row r="20" spans="1:5">
      <c r="C20" t="s">
        <v>13</v>
      </c>
      <c r="D20" t="s">
        <v>5277</v>
      </c>
    </row>
    <row r="21" spans="1:5">
      <c r="A21" s="19" t="s">
        <v>5278</v>
      </c>
      <c r="B21" s="20" t="s">
        <v>5279</v>
      </c>
      <c r="C21" s="21"/>
      <c r="D21" s="22" t="s">
        <v>5280</v>
      </c>
      <c r="E21" s="23">
        <v>8</v>
      </c>
    </row>
    <row r="22" spans="1:5">
      <c r="C22" t="s">
        <v>6</v>
      </c>
      <c r="D22" t="s">
        <v>5281</v>
      </c>
    </row>
    <row r="23" spans="1:5">
      <c r="C23" t="s">
        <v>348</v>
      </c>
      <c r="D23" t="s">
        <v>5282</v>
      </c>
    </row>
    <row r="24" spans="1:5">
      <c r="C24" t="s">
        <v>349</v>
      </c>
      <c r="D24" t="s">
        <v>5283</v>
      </c>
    </row>
    <row r="25" spans="1:5">
      <c r="C25" t="s">
        <v>350</v>
      </c>
      <c r="D25" t="s">
        <v>5284</v>
      </c>
    </row>
    <row r="26" spans="1:5">
      <c r="C26" t="s">
        <v>351</v>
      </c>
      <c r="D26" t="s">
        <v>5285</v>
      </c>
    </row>
    <row r="27" spans="1:5">
      <c r="A27" s="19" t="s">
        <v>5286</v>
      </c>
      <c r="B27" s="20" t="s">
        <v>5287</v>
      </c>
      <c r="C27" s="21"/>
      <c r="D27" s="22" t="s">
        <v>5288</v>
      </c>
      <c r="E27" s="23">
        <v>1748</v>
      </c>
    </row>
    <row r="28" spans="1:5">
      <c r="C28" t="s">
        <v>0</v>
      </c>
      <c r="D28" t="s">
        <v>5289</v>
      </c>
    </row>
    <row r="29" spans="1:5">
      <c r="C29" t="s">
        <v>370</v>
      </c>
      <c r="D29" t="s">
        <v>5290</v>
      </c>
    </row>
    <row r="30" spans="1:5">
      <c r="C30" t="s">
        <v>371</v>
      </c>
      <c r="D30" t="s">
        <v>5291</v>
      </c>
    </row>
    <row r="31" spans="1:5">
      <c r="C31" t="s">
        <v>372</v>
      </c>
      <c r="D31" t="s">
        <v>5292</v>
      </c>
    </row>
    <row r="32" spans="1:5">
      <c r="C32" t="s">
        <v>373</v>
      </c>
      <c r="D32" t="s">
        <v>5293</v>
      </c>
    </row>
    <row r="33" spans="1:5">
      <c r="C33" t="s">
        <v>374</v>
      </c>
      <c r="D33" t="s">
        <v>5294</v>
      </c>
    </row>
    <row r="34" spans="1:5">
      <c r="C34" t="s">
        <v>375</v>
      </c>
      <c r="D34" t="s">
        <v>5295</v>
      </c>
    </row>
    <row r="35" spans="1:5">
      <c r="A35" s="19" t="s">
        <v>5296</v>
      </c>
      <c r="B35" s="20" t="s">
        <v>5297</v>
      </c>
      <c r="C35" s="21"/>
      <c r="D35" s="22" t="s">
        <v>5298</v>
      </c>
      <c r="E35" s="23">
        <v>774</v>
      </c>
    </row>
    <row r="36" spans="1:5">
      <c r="C36" t="s">
        <v>376</v>
      </c>
      <c r="D36" t="s">
        <v>5299</v>
      </c>
    </row>
    <row r="37" spans="1:5">
      <c r="C37" t="s">
        <v>0</v>
      </c>
      <c r="D37" t="s">
        <v>5289</v>
      </c>
    </row>
    <row r="38" spans="1:5">
      <c r="C38" t="s">
        <v>377</v>
      </c>
      <c r="D38" t="s">
        <v>5300</v>
      </c>
    </row>
    <row r="39" spans="1:5">
      <c r="C39" t="s">
        <v>378</v>
      </c>
      <c r="D39" t="s">
        <v>5301</v>
      </c>
    </row>
    <row r="40" spans="1:5">
      <c r="C40" t="s">
        <v>379</v>
      </c>
      <c r="D40" t="s">
        <v>5302</v>
      </c>
    </row>
    <row r="41" spans="1:5">
      <c r="C41" t="s">
        <v>380</v>
      </c>
      <c r="D41" t="s">
        <v>5303</v>
      </c>
    </row>
    <row r="42" spans="1:5">
      <c r="C42" t="s">
        <v>381</v>
      </c>
      <c r="D42" t="s">
        <v>5304</v>
      </c>
    </row>
    <row r="43" spans="1:5">
      <c r="A43" s="19" t="s">
        <v>5305</v>
      </c>
      <c r="B43" s="20" t="s">
        <v>5306</v>
      </c>
      <c r="C43" s="21"/>
      <c r="D43" s="22" t="s">
        <v>5307</v>
      </c>
      <c r="E43" s="23">
        <v>178</v>
      </c>
    </row>
    <row r="44" spans="1:5">
      <c r="C44" t="s">
        <v>1167</v>
      </c>
      <c r="D44" t="s">
        <v>5299</v>
      </c>
    </row>
    <row r="45" spans="1:5">
      <c r="C45" t="s">
        <v>0</v>
      </c>
      <c r="D45" t="s">
        <v>5289</v>
      </c>
    </row>
    <row r="46" spans="1:5">
      <c r="C46" t="s">
        <v>1168</v>
      </c>
      <c r="D46" t="s">
        <v>5308</v>
      </c>
    </row>
    <row r="47" spans="1:5">
      <c r="C47" t="s">
        <v>1169</v>
      </c>
      <c r="D47" t="s">
        <v>5309</v>
      </c>
    </row>
    <row r="48" spans="1:5">
      <c r="A48" s="19" t="s">
        <v>5310</v>
      </c>
      <c r="B48" s="20" t="s">
        <v>5311</v>
      </c>
      <c r="C48" s="21"/>
      <c r="D48" s="22" t="s">
        <v>5312</v>
      </c>
      <c r="E48" s="23">
        <v>36</v>
      </c>
    </row>
    <row r="49" spans="1:5">
      <c r="C49" t="s">
        <v>1348</v>
      </c>
      <c r="D49" t="s">
        <v>5299</v>
      </c>
    </row>
    <row r="50" spans="1:5">
      <c r="C50" t="s">
        <v>1349</v>
      </c>
      <c r="D50" t="s">
        <v>5282</v>
      </c>
    </row>
    <row r="51" spans="1:5">
      <c r="C51" t="s">
        <v>1350</v>
      </c>
      <c r="D51" t="s">
        <v>5313</v>
      </c>
    </row>
    <row r="52" spans="1:5">
      <c r="C52" t="s">
        <v>1351</v>
      </c>
      <c r="D52" t="s">
        <v>5314</v>
      </c>
    </row>
    <row r="53" spans="1:5">
      <c r="C53" t="s">
        <v>1352</v>
      </c>
      <c r="D53" t="s">
        <v>5315</v>
      </c>
    </row>
    <row r="54" spans="1:5">
      <c r="C54" t="s">
        <v>1353</v>
      </c>
      <c r="D54" t="s">
        <v>5316</v>
      </c>
    </row>
    <row r="55" spans="1:5">
      <c r="C55" t="s">
        <v>1354</v>
      </c>
      <c r="D55" t="s">
        <v>5317</v>
      </c>
    </row>
    <row r="56" spans="1:5">
      <c r="C56" t="s">
        <v>1355</v>
      </c>
      <c r="D56" t="s">
        <v>5318</v>
      </c>
    </row>
    <row r="57" spans="1:5">
      <c r="C57" t="s">
        <v>1356</v>
      </c>
      <c r="D57" t="s">
        <v>5319</v>
      </c>
    </row>
    <row r="58" spans="1:5">
      <c r="C58" t="s">
        <v>1357</v>
      </c>
      <c r="D58" t="s">
        <v>5320</v>
      </c>
    </row>
    <row r="59" spans="1:5">
      <c r="C59" t="s">
        <v>1358</v>
      </c>
      <c r="D59" t="s">
        <v>5321</v>
      </c>
    </row>
    <row r="60" spans="1:5">
      <c r="A60" s="19" t="s">
        <v>5322</v>
      </c>
      <c r="B60" s="20" t="s">
        <v>5323</v>
      </c>
      <c r="C60" s="21"/>
      <c r="D60" s="22" t="s">
        <v>5324</v>
      </c>
      <c r="E60" s="23">
        <v>3631</v>
      </c>
    </row>
    <row r="61" spans="1:5">
      <c r="C61" t="s">
        <v>1452</v>
      </c>
      <c r="D61" t="s">
        <v>5299</v>
      </c>
    </row>
    <row r="62" spans="1:5">
      <c r="C62" t="s">
        <v>1453</v>
      </c>
      <c r="D62" t="s">
        <v>5308</v>
      </c>
    </row>
    <row r="63" spans="1:5">
      <c r="C63" t="s">
        <v>1348</v>
      </c>
      <c r="D63" t="s">
        <v>5325</v>
      </c>
    </row>
    <row r="64" spans="1:5">
      <c r="C64" t="s">
        <v>1454</v>
      </c>
      <c r="D64" t="s">
        <v>5326</v>
      </c>
    </row>
    <row r="65" spans="1:5">
      <c r="C65" t="s">
        <v>1455</v>
      </c>
      <c r="D65" t="s">
        <v>5327</v>
      </c>
    </row>
    <row r="66" spans="1:5">
      <c r="C66" t="s">
        <v>1456</v>
      </c>
      <c r="D66" t="s">
        <v>5328</v>
      </c>
    </row>
    <row r="67" spans="1:5">
      <c r="C67" t="s">
        <v>1457</v>
      </c>
      <c r="D67" t="s">
        <v>5329</v>
      </c>
    </row>
    <row r="69" spans="1:5" ht="30" customHeight="1">
      <c r="A69" s="24" t="s">
        <v>5330</v>
      </c>
      <c r="B69" s="24"/>
      <c r="C69" s="24"/>
      <c r="D69" s="24"/>
      <c r="E69" s="24"/>
    </row>
  </sheetData>
  <mergeCells count="3">
    <mergeCell ref="A1:E1"/>
    <mergeCell ref="A2:E2"/>
    <mergeCell ref="A69:E69"/>
  </mergeCells>
  <hyperlinks>
    <hyperlink ref="B6" location="'Accounts'!A1" display="Accounts"/>
    <hyperlink ref="B21" location="'CSMs'!A1" display="CSMs"/>
    <hyperlink ref="B27" location="'Usage_Monthly'!A1" display="Usage_Monthly"/>
    <hyperlink ref="B35" location="'Support_Tickets'!A1" display="Support_Tickets"/>
    <hyperlink ref="B43" location="'NPS'!A1" display="NPS"/>
    <hyperlink ref="B48" location="'Report_Catalog'!A1" display="Report_Catalog"/>
    <hyperlink ref="B60" location="'Report_Usage_Log'!A1" display="Report_Usage_Log"/>
  </hyperlinks>
  <pageMargins left="0.7" right="0.7" top="0.75" bottom="0.75" header="0.3" footer="0.3"/>
</worksheet>
</file>

<file path=xl/worksheets/sheet3.xml><?xml version="1.0" encoding="utf-8"?>
<worksheet xmlns="http://schemas.openxmlformats.org/spreadsheetml/2006/main" xmlns:r="http://schemas.openxmlformats.org/officeDocument/2006/relationships">
  <sheetPr>
    <tabColor rgb="FFFFC000"/>
  </sheetPr>
  <dimension ref="A1:U23"/>
  <sheetViews>
    <sheetView workbookViewId="0">
      <pane xSplit="1" ySplit="6" topLeftCell="B7" activePane="bottomRight" state="frozen"/>
      <selection pane="topRight" activeCell="B1" sqref="B1"/>
      <selection pane="bottomLeft" activeCell="A7" sqref="A7"/>
      <selection pane="bottomRight"/>
    </sheetView>
  </sheetViews>
  <sheetFormatPr defaultRowHeight="15"/>
  <cols>
    <col min="1" max="1" width="16.7109375" customWidth="1"/>
    <col min="2" max="9" width="17.7109375" customWidth="1"/>
    <col min="10" max="10" width="2.7109375" customWidth="1"/>
    <col min="11" max="18" width="4.7109375" customWidth="1"/>
    <col min="19" max="19" width="2.7109375" customWidth="1"/>
    <col min="20" max="21" width="12.7109375" customWidth="1"/>
  </cols>
  <sheetData>
    <row r="1" spans="1:21" ht="26" customHeight="1">
      <c r="A1" s="18" t="s">
        <v>5331</v>
      </c>
      <c r="B1" s="18"/>
      <c r="C1" s="18"/>
      <c r="D1" s="18"/>
      <c r="E1" s="18"/>
      <c r="F1" s="18"/>
      <c r="G1" s="18"/>
      <c r="H1" s="18"/>
      <c r="I1" s="18"/>
      <c r="J1" s="18"/>
      <c r="K1" s="18"/>
      <c r="L1" s="18"/>
      <c r="M1" s="18"/>
      <c r="N1" s="18"/>
      <c r="O1" s="18"/>
      <c r="P1" s="18"/>
      <c r="Q1" s="18"/>
      <c r="R1" s="18"/>
      <c r="S1" s="18"/>
    </row>
    <row r="2" spans="1:21" ht="45" customHeight="1">
      <c r="A2" s="3" t="s">
        <v>5332</v>
      </c>
      <c r="B2" s="3"/>
      <c r="C2" s="3"/>
      <c r="D2" s="3"/>
      <c r="E2" s="3"/>
      <c r="F2" s="3"/>
      <c r="G2" s="3"/>
      <c r="H2" s="3"/>
      <c r="I2" s="3"/>
      <c r="J2" s="3"/>
      <c r="K2" s="3"/>
      <c r="L2" s="3"/>
      <c r="M2" s="3"/>
      <c r="N2" s="3"/>
      <c r="O2" s="3"/>
      <c r="P2" s="3"/>
      <c r="Q2" s="3"/>
      <c r="R2" s="3"/>
      <c r="S2" s="3"/>
    </row>
    <row r="3" spans="1:21" ht="45" customHeight="1">
      <c r="A3" s="25" t="s">
        <v>5333</v>
      </c>
      <c r="B3" s="25"/>
      <c r="C3" s="25"/>
      <c r="D3" s="25"/>
      <c r="E3" s="25"/>
      <c r="F3" s="25"/>
      <c r="G3" s="25"/>
      <c r="H3" s="25"/>
      <c r="I3" s="25"/>
      <c r="J3" s="25"/>
      <c r="K3" s="25"/>
      <c r="L3" s="25"/>
      <c r="M3" s="25"/>
      <c r="N3" s="25"/>
      <c r="O3" s="25"/>
      <c r="P3" s="25"/>
      <c r="Q3" s="25"/>
      <c r="R3" s="25"/>
      <c r="S3" s="25"/>
    </row>
    <row r="5" spans="1:21">
      <c r="A5" s="7" t="s">
        <v>5334</v>
      </c>
      <c r="B5" s="7" t="s">
        <v>1</v>
      </c>
      <c r="C5" s="7" t="s">
        <v>2</v>
      </c>
      <c r="D5" s="7" t="s">
        <v>348</v>
      </c>
      <c r="E5" s="7" t="s">
        <v>7</v>
      </c>
      <c r="F5" s="7" t="s">
        <v>5340</v>
      </c>
      <c r="G5" s="7" t="s">
        <v>5342</v>
      </c>
      <c r="H5" s="7" t="s">
        <v>5344</v>
      </c>
      <c r="I5" s="7" t="s">
        <v>5346</v>
      </c>
      <c r="K5" s="7" t="s">
        <v>5348</v>
      </c>
      <c r="L5" s="7" t="s">
        <v>5349</v>
      </c>
      <c r="M5" s="7" t="s">
        <v>5350</v>
      </c>
      <c r="N5" s="7" t="s">
        <v>5351</v>
      </c>
      <c r="O5" s="7" t="s">
        <v>5352</v>
      </c>
      <c r="P5" s="7" t="s">
        <v>5353</v>
      </c>
      <c r="Q5" s="7" t="s">
        <v>5354</v>
      </c>
      <c r="R5" s="7" t="s">
        <v>5355</v>
      </c>
      <c r="T5" s="7" t="s">
        <v>5364</v>
      </c>
      <c r="U5" s="7" t="s">
        <v>5365</v>
      </c>
    </row>
    <row r="6" spans="1:21" ht="62" customHeight="1">
      <c r="A6" s="26" t="s">
        <v>5335</v>
      </c>
      <c r="B6" s="26" t="s">
        <v>5336</v>
      </c>
      <c r="C6" s="26" t="s">
        <v>5337</v>
      </c>
      <c r="D6" s="26" t="s">
        <v>5338</v>
      </c>
      <c r="E6" s="26" t="s">
        <v>5339</v>
      </c>
      <c r="F6" s="26" t="s">
        <v>5341</v>
      </c>
      <c r="G6" s="26" t="s">
        <v>5343</v>
      </c>
      <c r="H6" s="26" t="s">
        <v>5345</v>
      </c>
      <c r="I6" s="26" t="s">
        <v>5347</v>
      </c>
      <c r="T6" s="27" t="s">
        <v>5366</v>
      </c>
      <c r="U6" s="27"/>
    </row>
    <row r="7" spans="1:21">
      <c r="A7" s="17" t="s">
        <v>57</v>
      </c>
      <c r="B7" s="28"/>
      <c r="C7" s="28"/>
      <c r="D7" s="28"/>
      <c r="E7" s="29"/>
      <c r="F7" s="28"/>
      <c r="G7" s="28"/>
      <c r="H7" s="30"/>
      <c r="I7" s="30"/>
      <c r="K7" s="31">
        <f>IF(ISBLANK(B7),"",IF(IFERROR(EXACT(B7,'_key'!$A$1),FALSE),"✓","✗"))</f>
        <v>0</v>
      </c>
      <c r="L7" s="31">
        <f>IF(ISBLANK(C7),"",IF(IFERROR(EXACT(C7,'_key'!$A$2),FALSE),"✓","✗"))</f>
        <v>0</v>
      </c>
      <c r="M7" s="31">
        <f>IF(ISBLANK(D7),"",IF(IFERROR(EXACT(D7,'_key'!$A$3),FALSE),"✓","✗"))</f>
        <v>0</v>
      </c>
      <c r="N7" s="31">
        <f>IF(ISBLANK(E7),"",IF(IFERROR(ABS(E7-'_key'!$A$4)&lt;=0.005,FALSE),"✓","✗"))</f>
        <v>0</v>
      </c>
      <c r="O7" s="31">
        <f>IF(ISBLANK(F7),"",IF(IFERROR(EXACT(F7,'_key'!$A$5),FALSE),"✓","✗"))</f>
        <v>0</v>
      </c>
      <c r="P7" s="31">
        <f>IF(ISBLANK(G7),"",IF(IFERROR(EXACT(G7,'_key'!$A$6),FALSE),"✓","✗"))</f>
        <v>0</v>
      </c>
      <c r="Q7" s="31">
        <f>IF(ISBLANK(H7),"",IF(IFERROR(ABS(H7-'_key'!$A$7)&lt;=0.005,FALSE),"✓","✗"))</f>
        <v>0</v>
      </c>
      <c r="R7" s="31">
        <f>IF(ISBLANK(I7),"",IF(IFERROR(ABS(I7-'_key'!$A$8)&lt;=0.005,FALSE),"✓","✗"))</f>
        <v>0</v>
      </c>
      <c r="T7" s="32">
        <v>0</v>
      </c>
      <c r="U7" s="17" t="s">
        <v>5359</v>
      </c>
    </row>
    <row r="8" spans="1:21">
      <c r="A8" s="17" t="s">
        <v>194</v>
      </c>
      <c r="B8" s="28"/>
      <c r="C8" s="28"/>
      <c r="D8" s="28"/>
      <c r="E8" s="29"/>
      <c r="F8" s="28"/>
      <c r="G8" s="28"/>
      <c r="H8" s="30"/>
      <c r="I8" s="30"/>
      <c r="K8" s="31">
        <f>IF(ISBLANK(B8),"",IF(IFERROR(EXACT(B8,'_key'!$A$9),FALSE),"✓","✗"))</f>
        <v>0</v>
      </c>
      <c r="L8" s="31">
        <f>IF(ISBLANK(C8),"",IF(IFERROR(EXACT(C8,'_key'!$A$10),FALSE),"✓","✗"))</f>
        <v>0</v>
      </c>
      <c r="M8" s="31">
        <f>IF(ISBLANK(D8),"",IF(IFERROR(EXACT(D8,'_key'!$A$11),FALSE),"✓","✗"))</f>
        <v>0</v>
      </c>
      <c r="N8" s="31">
        <f>IF(ISBLANK(E8),"",IF(IFERROR(ABS(E8-'_key'!$A$12)&lt;=0.005,FALSE),"✓","✗"))</f>
        <v>0</v>
      </c>
      <c r="O8" s="31">
        <f>IF(ISBLANK(F8),"",IF(IFERROR(EXACT(F8,'_key'!$A$13),FALSE),"✓","✗"))</f>
        <v>0</v>
      </c>
      <c r="P8" s="31">
        <f>IF(ISBLANK(G8),"",IF(IFERROR(EXACT(G8,'_key'!$A$14),FALSE),"✓","✗"))</f>
        <v>0</v>
      </c>
      <c r="Q8" s="31">
        <f>IF(ISBLANK(H8),"",IF(IFERROR(ABS(H8-'_key'!$A$15)&lt;=0.005,FALSE),"✓","✗"))</f>
        <v>0</v>
      </c>
      <c r="R8" s="31">
        <f>IF(ISBLANK(I8),"",IF(IFERROR(ABS(I8-'_key'!$A$16)&lt;=0.005,FALSE),"✓","✗"))</f>
        <v>0</v>
      </c>
      <c r="T8" s="32">
        <v>25000</v>
      </c>
      <c r="U8" s="17" t="s">
        <v>5357</v>
      </c>
    </row>
    <row r="9" spans="1:21">
      <c r="A9" s="17" t="s">
        <v>120</v>
      </c>
      <c r="B9" s="28"/>
      <c r="C9" s="28"/>
      <c r="D9" s="28"/>
      <c r="E9" s="29"/>
      <c r="F9" s="28"/>
      <c r="G9" s="28"/>
      <c r="H9" s="30"/>
      <c r="I9" s="30"/>
      <c r="K9" s="31">
        <f>IF(ISBLANK(B9),"",IF(IFERROR(EXACT(B9,'_key'!$A$17),FALSE),"✓","✗"))</f>
        <v>0</v>
      </c>
      <c r="L9" s="31">
        <f>IF(ISBLANK(C9),"",IF(IFERROR(EXACT(C9,'_key'!$A$18),FALSE),"✓","✗"))</f>
        <v>0</v>
      </c>
      <c r="M9" s="31">
        <f>IF(ISBLANK(D9),"",IF(IFERROR(EXACT(D9,'_key'!$A$19),FALSE),"✓","✗"))</f>
        <v>0</v>
      </c>
      <c r="N9" s="31">
        <f>IF(ISBLANK(E9),"",IF(IFERROR(ABS(E9-'_key'!$A$20)&lt;=0.005,FALSE),"✓","✗"))</f>
        <v>0</v>
      </c>
      <c r="O9" s="31">
        <f>IF(ISBLANK(F9),"",IF(IFERROR(EXACT(F9,'_key'!$A$21),FALSE),"✓","✗"))</f>
        <v>0</v>
      </c>
      <c r="P9" s="31">
        <f>IF(ISBLANK(G9),"",IF(IFERROR(EXACT(G9,'_key'!$A$22),FALSE),"✓","✗"))</f>
        <v>0</v>
      </c>
      <c r="Q9" s="31">
        <f>IF(ISBLANK(H9),"",IF(IFERROR(ABS(H9-'_key'!$A$23)&lt;=0.005,FALSE),"✓","✗"))</f>
        <v>0</v>
      </c>
      <c r="R9" s="31">
        <f>IF(ISBLANK(I9),"",IF(IFERROR(ABS(I9-'_key'!$A$24)&lt;=0.005,FALSE),"✓","✗"))</f>
        <v>0</v>
      </c>
      <c r="T9" s="32">
        <v>100000</v>
      </c>
      <c r="U9" s="17" t="s">
        <v>5360</v>
      </c>
    </row>
    <row r="10" spans="1:21">
      <c r="A10" s="17" t="s">
        <v>5358</v>
      </c>
      <c r="B10" s="28"/>
      <c r="C10" s="28"/>
      <c r="D10" s="28"/>
      <c r="E10" s="29"/>
      <c r="F10" s="28"/>
      <c r="G10" s="28"/>
      <c r="H10" s="30"/>
      <c r="I10" s="30"/>
      <c r="K10" s="31">
        <f>IF(ISBLANK(B10),"",IF(IFERROR(EXACT(B10,'_key'!$A$25),FALSE),"✓","✗"))</f>
        <v>0</v>
      </c>
      <c r="L10" s="31">
        <f>IF(ISBLANK(C10),"",IF(IFERROR(EXACT(C10,'_key'!$A$26),FALSE),"✓","✗"))</f>
        <v>0</v>
      </c>
      <c r="M10" s="31">
        <f>IF(ISBLANK(D10),"",IF(IFERROR(EXACT(D10,'_key'!$A$27),FALSE),"✓","✗"))</f>
        <v>0</v>
      </c>
      <c r="N10" s="31">
        <f>IF(ISBLANK(E10),"",IF(IFERROR(ABS(E10-'_key'!$A$28)&lt;=0.005,FALSE),"✓","✗"))</f>
        <v>0</v>
      </c>
      <c r="O10" s="31">
        <f>IF(ISBLANK(F10),"",IF(IFERROR(EXACT(F10,'_key'!$A$29),FALSE),"✓","✗"))</f>
        <v>0</v>
      </c>
      <c r="P10" s="31">
        <f>IF(ISBLANK(G10),"",IF(IFERROR(EXACT(G10,'_key'!$A$30),FALSE),"✓","✗"))</f>
        <v>0</v>
      </c>
      <c r="Q10" s="31">
        <f>IF(ISBLANK(H10),"",IF(IFERROR(ABS(H10-'_key'!$A$31)&lt;=0.005,FALSE),"✓","✗"))</f>
        <v>0</v>
      </c>
      <c r="R10" s="31">
        <f>IF(ISBLANK(I10),"",IF(IFERROR(ABS(I10-'_key'!$A$32)&lt;=0.005,FALSE),"✓","✗"))</f>
        <v>0</v>
      </c>
      <c r="T10" s="32">
        <v>250000</v>
      </c>
      <c r="U10" s="17" t="s">
        <v>5356</v>
      </c>
    </row>
    <row r="11" spans="1:21">
      <c r="A11" s="17" t="s">
        <v>284</v>
      </c>
      <c r="B11" s="28"/>
      <c r="C11" s="28"/>
      <c r="D11" s="28"/>
      <c r="E11" s="29"/>
      <c r="F11" s="28"/>
      <c r="G11" s="28"/>
      <c r="H11" s="30"/>
      <c r="I11" s="30"/>
      <c r="K11" s="31">
        <f>IF(ISBLANK(B11),"",IF(IFERROR(EXACT(B11,'_key'!$A$33),FALSE),"✓","✗"))</f>
        <v>0</v>
      </c>
      <c r="L11" s="31">
        <f>IF(ISBLANK(C11),"",IF(IFERROR(EXACT(C11,'_key'!$A$34),FALSE),"✓","✗"))</f>
        <v>0</v>
      </c>
      <c r="M11" s="31">
        <f>IF(ISBLANK(D11),"",IF(IFERROR(EXACT(D11,'_key'!$A$35),FALSE),"✓","✗"))</f>
        <v>0</v>
      </c>
      <c r="N11" s="31">
        <f>IF(ISBLANK(E11),"",IF(IFERROR(ABS(E11-'_key'!$A$36)&lt;=0.005,FALSE),"✓","✗"))</f>
        <v>0</v>
      </c>
      <c r="O11" s="31">
        <f>IF(ISBLANK(F11),"",IF(IFERROR(EXACT(F11,'_key'!$A$37),FALSE),"✓","✗"))</f>
        <v>0</v>
      </c>
      <c r="P11" s="31">
        <f>IF(ISBLANK(G11),"",IF(IFERROR(EXACT(G11,'_key'!$A$38),FALSE),"✓","✗"))</f>
        <v>0</v>
      </c>
      <c r="Q11" s="31">
        <f>IF(ISBLANK(H11),"",IF(IFERROR(ABS(H11-'_key'!$A$39)&lt;=0.005,FALSE),"✓","✗"))</f>
        <v>0</v>
      </c>
      <c r="R11" s="31">
        <f>IF(ISBLANK(I11),"",IF(IFERROR(ABS(I11-'_key'!$A$40)&lt;=0.005,FALSE),"✓","✗"))</f>
        <v>0</v>
      </c>
    </row>
    <row r="12" spans="1:21">
      <c r="A12" s="17" t="s">
        <v>236</v>
      </c>
      <c r="B12" s="28"/>
      <c r="C12" s="28"/>
      <c r="D12" s="28"/>
      <c r="E12" s="29"/>
      <c r="F12" s="28"/>
      <c r="G12" s="28"/>
      <c r="H12" s="30"/>
      <c r="I12" s="30"/>
      <c r="K12" s="31">
        <f>IF(ISBLANK(B12),"",IF(IFERROR(EXACT(B12,'_key'!$A$41),FALSE),"✓","✗"))</f>
        <v>0</v>
      </c>
      <c r="L12" s="31">
        <f>IF(ISBLANK(C12),"",IF(IFERROR(EXACT(C12,'_key'!$A$42),FALSE),"✓","✗"))</f>
        <v>0</v>
      </c>
      <c r="M12" s="31">
        <f>IF(ISBLANK(D12),"",IF(IFERROR(EXACT(D12,'_key'!$A$43),FALSE),"✓","✗"))</f>
        <v>0</v>
      </c>
      <c r="N12" s="31">
        <f>IF(ISBLANK(E12),"",IF(IFERROR(ABS(E12-'_key'!$A$44)&lt;=0.005,FALSE),"✓","✗"))</f>
        <v>0</v>
      </c>
      <c r="O12" s="31">
        <f>IF(ISBLANK(F12),"",IF(IFERROR(EXACT(F12,'_key'!$A$45),FALSE),"✓","✗"))</f>
        <v>0</v>
      </c>
      <c r="P12" s="31">
        <f>IF(ISBLANK(G12),"",IF(IFERROR(EXACT(G12,'_key'!$A$46),FALSE),"✓","✗"))</f>
        <v>0</v>
      </c>
      <c r="Q12" s="31">
        <f>IF(ISBLANK(H12),"",IF(IFERROR(ABS(H12-'_key'!$A$47)&lt;=0.005,FALSE),"✓","✗"))</f>
        <v>0</v>
      </c>
      <c r="R12" s="31">
        <f>IF(ISBLANK(I12),"",IF(IFERROR(ABS(I12-'_key'!$A$48)&lt;=0.005,FALSE),"✓","✗"))</f>
        <v>0</v>
      </c>
    </row>
    <row r="13" spans="1:21">
      <c r="A13" s="17" t="s">
        <v>96</v>
      </c>
      <c r="B13" s="28"/>
      <c r="C13" s="28"/>
      <c r="D13" s="28"/>
      <c r="E13" s="29"/>
      <c r="F13" s="28"/>
      <c r="G13" s="28"/>
      <c r="H13" s="30"/>
      <c r="I13" s="30"/>
      <c r="K13" s="31">
        <f>IF(ISBLANK(B13),"",IF(IFERROR(EXACT(B13,'_key'!$A$49),FALSE),"✓","✗"))</f>
        <v>0</v>
      </c>
      <c r="L13" s="31">
        <f>IF(ISBLANK(C13),"",IF(IFERROR(EXACT(C13,'_key'!$A$50),FALSE),"✓","✗"))</f>
        <v>0</v>
      </c>
      <c r="M13" s="31">
        <f>IF(ISBLANK(D13),"",IF(IFERROR(EXACT(D13,'_key'!$A$51),FALSE),"✓","✗"))</f>
        <v>0</v>
      </c>
      <c r="N13" s="31">
        <f>IF(ISBLANK(E13),"",IF(IFERROR(ABS(E13-'_key'!$A$52)&lt;=0.005,FALSE),"✓","✗"))</f>
        <v>0</v>
      </c>
      <c r="O13" s="31">
        <f>IF(ISBLANK(F13),"",IF(IFERROR(EXACT(F13,'_key'!$A$53),FALSE),"✓","✗"))</f>
        <v>0</v>
      </c>
      <c r="P13" s="31">
        <f>IF(ISBLANK(G13),"",IF(IFERROR(EXACT(G13,'_key'!$A$54),FALSE),"✓","✗"))</f>
        <v>0</v>
      </c>
      <c r="Q13" s="31">
        <f>IF(ISBLANK(H13),"",IF(IFERROR(ABS(H13-'_key'!$A$55)&lt;=0.005,FALSE),"✓","✗"))</f>
        <v>0</v>
      </c>
      <c r="R13" s="31">
        <f>IF(ISBLANK(I13),"",IF(IFERROR(ABS(I13-'_key'!$A$56)&lt;=0.005,FALSE),"✓","✗"))</f>
        <v>0</v>
      </c>
    </row>
    <row r="14" spans="1:21">
      <c r="A14" s="17" t="s">
        <v>5361</v>
      </c>
      <c r="B14" s="28"/>
      <c r="C14" s="28"/>
      <c r="D14" s="28"/>
      <c r="E14" s="29"/>
      <c r="F14" s="28"/>
      <c r="G14" s="28"/>
      <c r="H14" s="30"/>
      <c r="I14" s="30"/>
      <c r="K14" s="31">
        <f>IF(ISBLANK(B14),"",IF(IFERROR(EXACT(B14,'_key'!$A$57),FALSE),"✓","✗"))</f>
        <v>0</v>
      </c>
      <c r="L14" s="31">
        <f>IF(ISBLANK(C14),"",IF(IFERROR(EXACT(C14,'_key'!$A$58),FALSE),"✓","✗"))</f>
        <v>0</v>
      </c>
      <c r="M14" s="31">
        <f>IF(ISBLANK(D14),"",IF(IFERROR(EXACT(D14,'_key'!$A$59),FALSE),"✓","✗"))</f>
        <v>0</v>
      </c>
      <c r="N14" s="31">
        <f>IF(ISBLANK(E14),"",IF(IFERROR(ABS(E14-'_key'!$A$60)&lt;=0.005,FALSE),"✓","✗"))</f>
        <v>0</v>
      </c>
      <c r="O14" s="31">
        <f>IF(ISBLANK(F14),"",IF(IFERROR(EXACT(F14,'_key'!$A$61),FALSE),"✓","✗"))</f>
        <v>0</v>
      </c>
      <c r="P14" s="31">
        <f>IF(ISBLANK(G14),"",IF(IFERROR(EXACT(G14,'_key'!$A$62),FALSE),"✓","✗"))</f>
        <v>0</v>
      </c>
      <c r="Q14" s="31">
        <f>IF(ISBLANK(H14),"",IF(IFERROR(EXACT(H14,'_key'!$A$63),FALSE),"✓","✗"))</f>
        <v>0</v>
      </c>
      <c r="R14" s="31">
        <f>IF(ISBLANK(I14),"",IF(IFERROR(EXACT(I14,'_key'!$A$64),FALSE),"✓","✗"))</f>
        <v>0</v>
      </c>
    </row>
    <row r="15" spans="1:21">
      <c r="A15" s="17" t="s">
        <v>280</v>
      </c>
      <c r="B15" s="28"/>
      <c r="C15" s="28"/>
      <c r="D15" s="28"/>
      <c r="E15" s="29"/>
      <c r="F15" s="28"/>
      <c r="G15" s="28"/>
      <c r="H15" s="30"/>
      <c r="I15" s="30"/>
      <c r="K15" s="31">
        <f>IF(ISBLANK(B15),"",IF(IFERROR(EXACT(B15,'_key'!$A$65),FALSE),"✓","✗"))</f>
        <v>0</v>
      </c>
      <c r="L15" s="31">
        <f>IF(ISBLANK(C15),"",IF(IFERROR(EXACT(C15,'_key'!$A$66),FALSE),"✓","✗"))</f>
        <v>0</v>
      </c>
      <c r="M15" s="31">
        <f>IF(ISBLANK(D15),"",IF(IFERROR(EXACT(D15,'_key'!$A$67),FALSE),"✓","✗"))</f>
        <v>0</v>
      </c>
      <c r="N15" s="31">
        <f>IF(ISBLANK(E15),"",IF(IFERROR(ABS(E15-'_key'!$A$68)&lt;=0.005,FALSE),"✓","✗"))</f>
        <v>0</v>
      </c>
      <c r="O15" s="31">
        <f>IF(ISBLANK(F15),"",IF(IFERROR(EXACT(F15,'_key'!$A$69),FALSE),"✓","✗"))</f>
        <v>0</v>
      </c>
      <c r="P15" s="31">
        <f>IF(ISBLANK(G15),"",IF(IFERROR(EXACT(G15,'_key'!$A$70),FALSE),"✓","✗"))</f>
        <v>0</v>
      </c>
      <c r="Q15" s="31">
        <f>IF(ISBLANK(H15),"",IF(IFERROR(ABS(H15-'_key'!$A$71)&lt;=0.005,FALSE),"✓","✗"))</f>
        <v>0</v>
      </c>
      <c r="R15" s="31">
        <f>IF(ISBLANK(I15),"",IF(IFERROR(ABS(I15-'_key'!$A$72)&lt;=0.005,FALSE),"✓","✗"))</f>
        <v>0</v>
      </c>
    </row>
    <row r="16" spans="1:21">
      <c r="A16" s="17" t="s">
        <v>302</v>
      </c>
      <c r="B16" s="28"/>
      <c r="C16" s="28"/>
      <c r="D16" s="28"/>
      <c r="E16" s="29"/>
      <c r="F16" s="28"/>
      <c r="G16" s="28"/>
      <c r="H16" s="30"/>
      <c r="I16" s="30"/>
      <c r="K16" s="31">
        <f>IF(ISBLANK(B16),"",IF(IFERROR(EXACT(B16,'_key'!$A$73),FALSE),"✓","✗"))</f>
        <v>0</v>
      </c>
      <c r="L16" s="31">
        <f>IF(ISBLANK(C16),"",IF(IFERROR(EXACT(C16,'_key'!$A$74),FALSE),"✓","✗"))</f>
        <v>0</v>
      </c>
      <c r="M16" s="31">
        <f>IF(ISBLANK(D16),"",IF(IFERROR(EXACT(D16,'_key'!$A$75),FALSE),"✓","✗"))</f>
        <v>0</v>
      </c>
      <c r="N16" s="31">
        <f>IF(ISBLANK(E16),"",IF(IFERROR(ABS(E16-'_key'!$A$76)&lt;=0.005,FALSE),"✓","✗"))</f>
        <v>0</v>
      </c>
      <c r="O16" s="31">
        <f>IF(ISBLANK(F16),"",IF(IFERROR(EXACT(F16,'_key'!$A$77),FALSE),"✓","✗"))</f>
        <v>0</v>
      </c>
      <c r="P16" s="31">
        <f>IF(ISBLANK(G16),"",IF(IFERROR(EXACT(G16,'_key'!$A$78),FALSE),"✓","✗"))</f>
        <v>0</v>
      </c>
      <c r="Q16" s="31">
        <f>IF(ISBLANK(H16),"",IF(IFERROR(ABS(H16-'_key'!$A$79)&lt;=0.005,FALSE),"✓","✗"))</f>
        <v>0</v>
      </c>
      <c r="R16" s="31">
        <f>IF(ISBLANK(I16),"",IF(IFERROR(ABS(I16-'_key'!$A$80)&lt;=0.005,FALSE),"✓","✗"))</f>
        <v>0</v>
      </c>
    </row>
    <row r="17" spans="1:18">
      <c r="A17" s="17" t="s">
        <v>41</v>
      </c>
      <c r="B17" s="28"/>
      <c r="C17" s="28"/>
      <c r="D17" s="28"/>
      <c r="E17" s="29"/>
      <c r="F17" s="28"/>
      <c r="G17" s="28"/>
      <c r="H17" s="30"/>
      <c r="I17" s="30"/>
      <c r="K17" s="31">
        <f>IF(ISBLANK(B17),"",IF(IFERROR(EXACT(B17,'_key'!$A$81),FALSE),"✓","✗"))</f>
        <v>0</v>
      </c>
      <c r="L17" s="31">
        <f>IF(ISBLANK(C17),"",IF(IFERROR(EXACT(C17,'_key'!$A$82),FALSE),"✓","✗"))</f>
        <v>0</v>
      </c>
      <c r="M17" s="31">
        <f>IF(ISBLANK(D17),"",IF(IFERROR(EXACT(D17,'_key'!$A$83),FALSE),"✓","✗"))</f>
        <v>0</v>
      </c>
      <c r="N17" s="31">
        <f>IF(ISBLANK(E17),"",IF(IFERROR(ABS(E17-'_key'!$A$84)&lt;=0.005,FALSE),"✓","✗"))</f>
        <v>0</v>
      </c>
      <c r="O17" s="31">
        <f>IF(ISBLANK(F17),"",IF(IFERROR(EXACT(F17,'_key'!$A$85),FALSE),"✓","✗"))</f>
        <v>0</v>
      </c>
      <c r="P17" s="31">
        <f>IF(ISBLANK(G17),"",IF(IFERROR(EXACT(G17,'_key'!$A$86),FALSE),"✓","✗"))</f>
        <v>0</v>
      </c>
      <c r="Q17" s="31">
        <f>IF(ISBLANK(H17),"",IF(IFERROR(ABS(H17-'_key'!$A$87)&lt;=0.005,FALSE),"✓","✗"))</f>
        <v>0</v>
      </c>
      <c r="R17" s="31">
        <f>IF(ISBLANK(I17),"",IF(IFERROR(ABS(I17-'_key'!$A$88)&lt;=0.005,FALSE),"✓","✗"))</f>
        <v>0</v>
      </c>
    </row>
    <row r="18" spans="1:18">
      <c r="A18" s="17" t="s">
        <v>5363</v>
      </c>
      <c r="B18" s="28"/>
      <c r="C18" s="28"/>
      <c r="D18" s="28"/>
      <c r="E18" s="29"/>
      <c r="F18" s="28"/>
      <c r="G18" s="28"/>
      <c r="H18" s="30"/>
      <c r="I18" s="30"/>
      <c r="K18" s="31">
        <f>IF(ISBLANK(B18),"",IF(IFERROR(EXACT(B18,'_key'!$A$89),FALSE),"✓","✗"))</f>
        <v>0</v>
      </c>
      <c r="L18" s="31">
        <f>IF(ISBLANK(C18),"",IF(IFERROR(EXACT(C18,'_key'!$A$90),FALSE),"✓","✗"))</f>
        <v>0</v>
      </c>
      <c r="M18" s="31">
        <f>IF(ISBLANK(D18),"",IF(IFERROR(EXACT(D18,'_key'!$A$91),FALSE),"✓","✗"))</f>
        <v>0</v>
      </c>
      <c r="N18" s="31">
        <f>IF(ISBLANK(E18),"",IF(IFERROR(ABS(E18-'_key'!$A$92)&lt;=0.005,FALSE),"✓","✗"))</f>
        <v>0</v>
      </c>
      <c r="O18" s="31">
        <f>IF(ISBLANK(F18),"",IF(IFERROR(EXACT(F18,'_key'!$A$93),FALSE),"✓","✗"))</f>
        <v>0</v>
      </c>
      <c r="P18" s="31">
        <f>IF(ISBLANK(G18),"",IF(IFERROR(EXACT(G18,'_key'!$A$94),FALSE),"✓","✗"))</f>
        <v>0</v>
      </c>
      <c r="Q18" s="31">
        <f>IF(ISBLANK(H18),"",IF(IFERROR(ABS(H18-'_key'!$A$95)&lt;=0.005,FALSE),"✓","✗"))</f>
        <v>0</v>
      </c>
      <c r="R18" s="31">
        <f>IF(ISBLANK(I18),"",IF(IFERROR(ABS(I18-'_key'!$A$96)&lt;=0.005,FALSE),"✓","✗"))</f>
        <v>0</v>
      </c>
    </row>
    <row r="19" spans="1:18">
      <c r="A19" s="17" t="s">
        <v>310</v>
      </c>
      <c r="B19" s="28"/>
      <c r="C19" s="28"/>
      <c r="D19" s="28"/>
      <c r="E19" s="29"/>
      <c r="F19" s="28"/>
      <c r="G19" s="28"/>
      <c r="H19" s="30"/>
      <c r="I19" s="30"/>
      <c r="K19" s="31">
        <f>IF(ISBLANK(B19),"",IF(IFERROR(EXACT(B19,'_key'!$A$97),FALSE),"✓","✗"))</f>
        <v>0</v>
      </c>
      <c r="L19" s="31">
        <f>IF(ISBLANK(C19),"",IF(IFERROR(EXACT(C19,'_key'!$A$98),FALSE),"✓","✗"))</f>
        <v>0</v>
      </c>
      <c r="M19" s="31">
        <f>IF(ISBLANK(D19),"",IF(IFERROR(EXACT(D19,'_key'!$A$99),FALSE),"✓","✗"))</f>
        <v>0</v>
      </c>
      <c r="N19" s="31">
        <f>IF(ISBLANK(E19),"",IF(IFERROR(ABS(E19-'_key'!$A$100)&lt;=0.005,FALSE),"✓","✗"))</f>
        <v>0</v>
      </c>
      <c r="O19" s="31">
        <f>IF(ISBLANK(F19),"",IF(IFERROR(EXACT(F19,'_key'!$A$101),FALSE),"✓","✗"))</f>
        <v>0</v>
      </c>
      <c r="P19" s="31">
        <f>IF(ISBLANK(G19),"",IF(IFERROR(EXACT(G19,'_key'!$A$102),FALSE),"✓","✗"))</f>
        <v>0</v>
      </c>
      <c r="Q19" s="31">
        <f>IF(ISBLANK(H19),"",IF(IFERROR(ABS(H19-'_key'!$A$103)&lt;=0.005,FALSE),"✓","✗"))</f>
        <v>0</v>
      </c>
      <c r="R19" s="31">
        <f>IF(ISBLANK(I19),"",IF(IFERROR(ABS(I19-'_key'!$A$104)&lt;=0.005,FALSE),"✓","✗"))</f>
        <v>0</v>
      </c>
    </row>
    <row r="20" spans="1:18">
      <c r="A20" s="17" t="s">
        <v>268</v>
      </c>
      <c r="B20" s="28"/>
      <c r="C20" s="28"/>
      <c r="D20" s="28"/>
      <c r="E20" s="29"/>
      <c r="F20" s="28"/>
      <c r="G20" s="28"/>
      <c r="H20" s="30"/>
      <c r="I20" s="30"/>
      <c r="K20" s="31">
        <f>IF(ISBLANK(B20),"",IF(IFERROR(EXACT(B20,'_key'!$A$105),FALSE),"✓","✗"))</f>
        <v>0</v>
      </c>
      <c r="L20" s="31">
        <f>IF(ISBLANK(C20),"",IF(IFERROR(EXACT(C20,'_key'!$A$106),FALSE),"✓","✗"))</f>
        <v>0</v>
      </c>
      <c r="M20" s="31">
        <f>IF(ISBLANK(D20),"",IF(IFERROR(EXACT(D20,'_key'!$A$107),FALSE),"✓","✗"))</f>
        <v>0</v>
      </c>
      <c r="N20" s="31">
        <f>IF(ISBLANK(E20),"",IF(IFERROR(ABS(E20-'_key'!$A$108)&lt;=0.005,FALSE),"✓","✗"))</f>
        <v>0</v>
      </c>
      <c r="O20" s="31">
        <f>IF(ISBLANK(F20),"",IF(IFERROR(EXACT(F20,'_key'!$A$109),FALSE),"✓","✗"))</f>
        <v>0</v>
      </c>
      <c r="P20" s="31">
        <f>IF(ISBLANK(G20),"",IF(IFERROR(EXACT(G20,'_key'!$A$110),FALSE),"✓","✗"))</f>
        <v>0</v>
      </c>
      <c r="Q20" s="31">
        <f>IF(ISBLANK(H20),"",IF(IFERROR(ABS(H20-'_key'!$A$111)&lt;=0.005,FALSE),"✓","✗"))</f>
        <v>0</v>
      </c>
      <c r="R20" s="31">
        <f>IF(ISBLANK(I20),"",IF(IFERROR(ABS(I20-'_key'!$A$112)&lt;=0.005,FALSE),"✓","✗"))</f>
        <v>0</v>
      </c>
    </row>
    <row r="21" spans="1:18">
      <c r="A21" s="17" t="s">
        <v>342</v>
      </c>
      <c r="B21" s="28"/>
      <c r="C21" s="28"/>
      <c r="D21" s="28"/>
      <c r="E21" s="29"/>
      <c r="F21" s="28"/>
      <c r="G21" s="28"/>
      <c r="H21" s="30"/>
      <c r="I21" s="30"/>
      <c r="K21" s="31">
        <f>IF(ISBLANK(B21),"",IF(IFERROR(EXACT(B21,'_key'!$A$113),FALSE),"✓","✗"))</f>
        <v>0</v>
      </c>
      <c r="L21" s="31">
        <f>IF(ISBLANK(C21),"",IF(IFERROR(EXACT(C21,'_key'!$A$114),FALSE),"✓","✗"))</f>
        <v>0</v>
      </c>
      <c r="M21" s="31">
        <f>IF(ISBLANK(D21),"",IF(IFERROR(EXACT(D21,'_key'!$A$115),FALSE),"✓","✗"))</f>
        <v>0</v>
      </c>
      <c r="N21" s="31">
        <f>IF(ISBLANK(E21),"",IF(IFERROR(ABS(E21-'_key'!$A$116)&lt;=0.005,FALSE),"✓","✗"))</f>
        <v>0</v>
      </c>
      <c r="O21" s="31">
        <f>IF(ISBLANK(F21),"",IF(IFERROR(EXACT(F21,'_key'!$A$117),FALSE),"✓","✗"))</f>
        <v>0</v>
      </c>
      <c r="P21" s="31">
        <f>IF(ISBLANK(G21),"",IF(IFERROR(EXACT(G21,'_key'!$A$118),FALSE),"✓","✗"))</f>
        <v>0</v>
      </c>
      <c r="Q21" s="31">
        <f>IF(ISBLANK(H21),"",IF(IFERROR(ABS(H21-'_key'!$A$119)&lt;=0.005,FALSE),"✓","✗"))</f>
        <v>0</v>
      </c>
      <c r="R21" s="31">
        <f>IF(ISBLANK(I21),"",IF(IFERROR(ABS(I21-'_key'!$A$120)&lt;=0.005,FALSE),"✓","✗"))</f>
        <v>0</v>
      </c>
    </row>
    <row r="23" spans="1:18" ht="45" customHeight="1">
      <c r="A23" s="33" t="s">
        <v>5367</v>
      </c>
      <c r="B23" s="33"/>
      <c r="C23" s="33"/>
      <c r="D23" s="33"/>
      <c r="E23" s="33"/>
      <c r="F23" s="33"/>
      <c r="G23" s="33"/>
      <c r="H23" s="33"/>
      <c r="I23" s="33"/>
      <c r="J23" s="33"/>
      <c r="K23" s="33"/>
      <c r="L23" s="33"/>
      <c r="M23" s="33"/>
    </row>
  </sheetData>
  <mergeCells count="5">
    <mergeCell ref="A1:S1"/>
    <mergeCell ref="A2:S2"/>
    <mergeCell ref="A3:S3"/>
    <mergeCell ref="T6:U6"/>
    <mergeCell ref="A23:M23"/>
  </mergeCells>
  <conditionalFormatting sqref="K7:R21">
    <cfRule type="cellIs" dxfId="5" priority="1" operator="equal">
      <formula>"✓"</formula>
    </cfRule>
    <cfRule type="cellIs" dxfId="6" priority="2" operator="equal">
      <formula>"✗"</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sheetPr>
    <tabColor rgb="FFFFC000"/>
  </sheetPr>
  <dimension ref="A1:Q41"/>
  <sheetViews>
    <sheetView workbookViewId="0">
      <pane xSplit="1" ySplit="3" topLeftCell="B4" activePane="bottomRight" state="frozen"/>
      <selection pane="topRight" activeCell="B1" sqref="B1"/>
      <selection pane="bottomLeft" activeCell="A4" sqref="A4"/>
      <selection pane="bottomRight"/>
    </sheetView>
  </sheetViews>
  <sheetFormatPr defaultRowHeight="15"/>
  <cols>
    <col min="1" max="1" width="22.7109375" customWidth="1"/>
    <col min="2" max="8" width="15.7109375" customWidth="1"/>
    <col min="9" max="9" width="2.7109375" customWidth="1"/>
    <col min="10" max="17" width="5.28515625" customWidth="1"/>
  </cols>
  <sheetData>
    <row r="1" spans="1:17" ht="26" customHeight="1">
      <c r="A1" s="18" t="s">
        <v>5368</v>
      </c>
      <c r="B1" s="18"/>
      <c r="C1" s="18"/>
      <c r="D1" s="18"/>
      <c r="E1" s="18"/>
      <c r="F1" s="18"/>
      <c r="G1" s="18"/>
      <c r="H1" s="18"/>
      <c r="I1" s="18"/>
      <c r="J1" s="18"/>
      <c r="K1" s="18"/>
      <c r="L1" s="18"/>
      <c r="M1" s="18"/>
      <c r="N1" s="18"/>
      <c r="O1" s="18"/>
      <c r="P1" s="18"/>
      <c r="Q1" s="18"/>
    </row>
    <row r="2" spans="1:17" ht="45" customHeight="1">
      <c r="A2" s="3" t="s">
        <v>5369</v>
      </c>
      <c r="B2" s="3"/>
      <c r="C2" s="3"/>
      <c r="D2" s="3"/>
      <c r="E2" s="3"/>
      <c r="F2" s="3"/>
      <c r="G2" s="3"/>
      <c r="H2" s="3"/>
      <c r="I2" s="3"/>
      <c r="J2" s="3"/>
      <c r="K2" s="3"/>
      <c r="L2" s="3"/>
      <c r="M2" s="3"/>
      <c r="N2" s="3"/>
      <c r="O2" s="3"/>
      <c r="P2" s="3"/>
      <c r="Q2" s="3"/>
    </row>
    <row r="3" spans="1:17" ht="45" customHeight="1">
      <c r="A3" s="25" t="s">
        <v>5370</v>
      </c>
      <c r="B3" s="25"/>
      <c r="C3" s="25"/>
      <c r="D3" s="25"/>
      <c r="E3" s="25"/>
      <c r="F3" s="25"/>
      <c r="G3" s="25"/>
      <c r="H3" s="25"/>
      <c r="I3" s="25"/>
      <c r="J3" s="25"/>
      <c r="K3" s="25"/>
      <c r="L3" s="25"/>
      <c r="M3" s="25"/>
      <c r="N3" s="25"/>
      <c r="O3" s="25"/>
      <c r="P3" s="25"/>
      <c r="Q3" s="25"/>
    </row>
    <row r="4" spans="1:17">
      <c r="A4" s="4" t="s">
        <v>5371</v>
      </c>
    </row>
    <row r="5" spans="1:17">
      <c r="A5" s="7" t="s">
        <v>5372</v>
      </c>
      <c r="B5" s="7" t="s">
        <v>43</v>
      </c>
      <c r="C5" s="7" t="s">
        <v>32</v>
      </c>
      <c r="D5" s="7" t="s">
        <v>26</v>
      </c>
      <c r="E5" s="7" t="s">
        <v>17</v>
      </c>
      <c r="F5" s="7" t="s">
        <v>5139</v>
      </c>
      <c r="J5" s="7" t="s">
        <v>5376</v>
      </c>
      <c r="K5" s="7" t="s">
        <v>5376</v>
      </c>
      <c r="L5" s="7" t="s">
        <v>5376</v>
      </c>
      <c r="M5" s="7" t="s">
        <v>5376</v>
      </c>
      <c r="N5" s="7" t="s">
        <v>5376</v>
      </c>
    </row>
    <row r="6" spans="1:17" ht="50" customHeight="1">
      <c r="A6" s="26"/>
      <c r="B6" s="26" t="s">
        <v>5373</v>
      </c>
      <c r="C6" s="26" t="s">
        <v>5374</v>
      </c>
      <c r="D6" s="26"/>
      <c r="E6" s="26"/>
      <c r="F6" s="26" t="s">
        <v>5375</v>
      </c>
    </row>
    <row r="7" spans="1:17">
      <c r="A7" s="34" t="s">
        <v>16</v>
      </c>
      <c r="B7" s="29"/>
      <c r="C7" s="29"/>
      <c r="D7" s="29"/>
      <c r="E7" s="29"/>
      <c r="F7" s="35"/>
      <c r="J7" s="31">
        <f>IF(ISBLANK(B7),"",IF(IFERROR(ABS(B7-'_key'!$A$121)&lt;=0.005,FALSE),"✓","✗"))</f>
        <v>0</v>
      </c>
      <c r="K7" s="31">
        <f>IF(ISBLANK(C7),"",IF(IFERROR(ABS(C7-'_key'!$A$122)&lt;=0.005,FALSE),"✓","✗"))</f>
        <v>0</v>
      </c>
      <c r="L7" s="31">
        <f>IF(ISBLANK(D7),"",IF(IFERROR(ABS(D7-'_key'!$A$123)&lt;=0.005,FALSE),"✓","✗"))</f>
        <v>0</v>
      </c>
      <c r="M7" s="31">
        <f>IF(ISBLANK(E7),"",IF(IFERROR(ABS(E7-'_key'!$A$124)&lt;=0.005,FALSE),"✓","✗"))</f>
        <v>0</v>
      </c>
      <c r="N7" s="31">
        <f>IF(ISBLANK(F7),"",IF(IFERROR(ABS(F7-'_key'!$A$125)&lt;=0.005,FALSE),"✓","✗"))</f>
        <v>0</v>
      </c>
    </row>
    <row r="8" spans="1:17">
      <c r="A8" s="34" t="s">
        <v>25</v>
      </c>
      <c r="B8" s="29"/>
      <c r="C8" s="29"/>
      <c r="D8" s="29"/>
      <c r="E8" s="29"/>
      <c r="F8" s="35"/>
      <c r="J8" s="31">
        <f>IF(ISBLANK(B8),"",IF(IFERROR(ABS(B8-'_key'!$A$126)&lt;=0.005,FALSE),"✓","✗"))</f>
        <v>0</v>
      </c>
      <c r="K8" s="31">
        <f>IF(ISBLANK(C8),"",IF(IFERROR(ABS(C8-'_key'!$A$127)&lt;=0.005,FALSE),"✓","✗"))</f>
        <v>0</v>
      </c>
      <c r="L8" s="31">
        <f>IF(ISBLANK(D8),"",IF(IFERROR(ABS(D8-'_key'!$A$128)&lt;=0.005,FALSE),"✓","✗"))</f>
        <v>0</v>
      </c>
      <c r="M8" s="31">
        <f>IF(ISBLANK(E8),"",IF(IFERROR(ABS(E8-'_key'!$A$129)&lt;=0.005,FALSE),"✓","✗"))</f>
        <v>0</v>
      </c>
      <c r="N8" s="31">
        <f>IF(ISBLANK(F8),"",IF(IFERROR(ABS(F8-'_key'!$A$130)&lt;=0.005,FALSE),"✓","✗"))</f>
        <v>0</v>
      </c>
    </row>
    <row r="9" spans="1:17">
      <c r="A9" s="34" t="s">
        <v>37</v>
      </c>
      <c r="B9" s="29"/>
      <c r="C9" s="29"/>
      <c r="D9" s="29"/>
      <c r="E9" s="29"/>
      <c r="F9" s="35"/>
      <c r="J9" s="31">
        <f>IF(ISBLANK(B9),"",IF(IFERROR(ABS(B9-'_key'!$A$131)&lt;=0.005,FALSE),"✓","✗"))</f>
        <v>0</v>
      </c>
      <c r="K9" s="31">
        <f>IF(ISBLANK(C9),"",IF(IFERROR(ABS(C9-'_key'!$A$132)&lt;=0.005,FALSE),"✓","✗"))</f>
        <v>0</v>
      </c>
      <c r="L9" s="31">
        <f>IF(ISBLANK(D9),"",IF(IFERROR(ABS(D9-'_key'!$A$133)&lt;=0.005,FALSE),"✓","✗"))</f>
        <v>0</v>
      </c>
      <c r="M9" s="31">
        <f>IF(ISBLANK(E9),"",IF(IFERROR(ABS(E9-'_key'!$A$134)&lt;=0.005,FALSE),"✓","✗"))</f>
        <v>0</v>
      </c>
      <c r="N9" s="31">
        <f>IF(ISBLANK(F9),"",IF(IFERROR(ABS(F9-'_key'!$A$135)&lt;=0.005,FALSE),"✓","✗"))</f>
        <v>0</v>
      </c>
    </row>
    <row r="10" spans="1:17">
      <c r="A10" s="34" t="s">
        <v>5139</v>
      </c>
      <c r="B10" s="35"/>
      <c r="C10" s="35"/>
      <c r="D10" s="35"/>
      <c r="E10" s="35"/>
      <c r="F10" s="35"/>
      <c r="J10" s="31">
        <f>IF(ISBLANK(B10),"",IF(IFERROR(ABS(B10-'_key'!$A$136)&lt;=0.005,FALSE),"✓","✗"))</f>
        <v>0</v>
      </c>
      <c r="K10" s="31">
        <f>IF(ISBLANK(C10),"",IF(IFERROR(ABS(C10-'_key'!$A$137)&lt;=0.005,FALSE),"✓","✗"))</f>
        <v>0</v>
      </c>
      <c r="L10" s="31">
        <f>IF(ISBLANK(D10),"",IF(IFERROR(ABS(D10-'_key'!$A$138)&lt;=0.005,FALSE),"✓","✗"))</f>
        <v>0</v>
      </c>
      <c r="M10" s="31">
        <f>IF(ISBLANK(E10),"",IF(IFERROR(ABS(E10-'_key'!$A$139)&lt;=0.005,FALSE),"✓","✗"))</f>
        <v>0</v>
      </c>
      <c r="N10" s="31">
        <f>IF(ISBLANK(F10),"",IF(IFERROR(ABS(F10-'_key'!$A$140)&lt;=0.005,FALSE),"✓","✗"))</f>
        <v>0</v>
      </c>
    </row>
    <row r="13" spans="1:17">
      <c r="A13" s="4" t="s">
        <v>5377</v>
      </c>
    </row>
    <row r="14" spans="1:17">
      <c r="A14" s="7" t="s">
        <v>6</v>
      </c>
      <c r="B14" s="7" t="s">
        <v>348</v>
      </c>
      <c r="C14" s="7" t="s">
        <v>5380</v>
      </c>
      <c r="D14" s="7" t="s">
        <v>5382</v>
      </c>
      <c r="E14" s="7" t="s">
        <v>5383</v>
      </c>
      <c r="F14" s="7" t="s">
        <v>5385</v>
      </c>
      <c r="G14" s="7" t="s">
        <v>5387</v>
      </c>
      <c r="H14" s="7" t="s">
        <v>5389</v>
      </c>
      <c r="J14" s="7" t="s">
        <v>5348</v>
      </c>
      <c r="K14" s="7" t="s">
        <v>5349</v>
      </c>
      <c r="L14" s="7" t="s">
        <v>5350</v>
      </c>
      <c r="M14" s="7" t="s">
        <v>5351</v>
      </c>
      <c r="N14" s="7" t="s">
        <v>5352</v>
      </c>
      <c r="O14" s="7" t="s">
        <v>5353</v>
      </c>
      <c r="P14" s="7" t="s">
        <v>5354</v>
      </c>
    </row>
    <row r="15" spans="1:17" ht="40" customHeight="1">
      <c r="A15" s="26" t="s">
        <v>5378</v>
      </c>
      <c r="B15" s="26" t="s">
        <v>5379</v>
      </c>
      <c r="C15" s="26" t="s">
        <v>5381</v>
      </c>
      <c r="D15" s="26" t="s">
        <v>5214</v>
      </c>
      <c r="E15" s="26" t="s">
        <v>5384</v>
      </c>
      <c r="F15" s="26" t="s">
        <v>5386</v>
      </c>
      <c r="G15" s="26" t="s">
        <v>5388</v>
      </c>
      <c r="H15" s="26" t="s">
        <v>5390</v>
      </c>
    </row>
    <row r="16" spans="1:17">
      <c r="A16" s="17" t="s">
        <v>20</v>
      </c>
      <c r="B16" s="28"/>
      <c r="C16" s="28"/>
      <c r="D16" s="29"/>
      <c r="E16" s="29"/>
      <c r="F16" s="29"/>
      <c r="G16" s="36"/>
      <c r="H16" s="37"/>
      <c r="J16" s="31">
        <f>IF(ISBLANK(B16),"",IF(IFERROR(EXACT(B16,'_key'!$A$141),FALSE),"✓","✗"))</f>
        <v>0</v>
      </c>
      <c r="K16" s="31">
        <f>IF(ISBLANK(C16),"",IF(IFERROR(ABS(C16-'_key'!$A$142)&lt;=0.005,FALSE),"✓","✗"))</f>
        <v>0</v>
      </c>
      <c r="L16" s="31">
        <f>IF(ISBLANK(D16),"",IF(IFERROR(ABS(D16-'_key'!$A$143)&lt;=0.005,FALSE),"✓","✗"))</f>
        <v>0</v>
      </c>
      <c r="M16" s="31">
        <f>IF(ISBLANK(E16),"",IF(IFERROR(ABS(E16-'_key'!$A$144)&lt;=0.005,FALSE),"✓","✗"))</f>
        <v>0</v>
      </c>
      <c r="N16" s="31">
        <f>IF(ISBLANK(F16),"",IF(IFERROR(ABS(F16-'_key'!$A$145)&lt;=0.005,FALSE),"✓","✗"))</f>
        <v>0</v>
      </c>
      <c r="O16" s="31">
        <f>IF(ISBLANK(G16),"",IF(IFERROR(ABS(G16-'_key'!$A$146)&lt;=0.005,FALSE),"✓","✗"))</f>
        <v>0</v>
      </c>
      <c r="P16" s="31">
        <f>IF(ISBLANK(H16),"",IF(IFERROR(ABS(H16-'_key'!$A$147)&lt;=0.0005,FALSE),"✓","✗"))</f>
        <v>0</v>
      </c>
    </row>
    <row r="17" spans="1:16">
      <c r="A17" s="17" t="s">
        <v>80</v>
      </c>
      <c r="B17" s="28"/>
      <c r="C17" s="28"/>
      <c r="D17" s="29"/>
      <c r="E17" s="29"/>
      <c r="F17" s="29"/>
      <c r="G17" s="36"/>
      <c r="H17" s="37"/>
      <c r="J17" s="31">
        <f>IF(ISBLANK(B17),"",IF(IFERROR(EXACT(B17,'_key'!$A$148),FALSE),"✓","✗"))</f>
        <v>0</v>
      </c>
      <c r="K17" s="31">
        <f>IF(ISBLANK(C17),"",IF(IFERROR(ABS(C17-'_key'!$A$149)&lt;=0.005,FALSE),"✓","✗"))</f>
        <v>0</v>
      </c>
      <c r="L17" s="31">
        <f>IF(ISBLANK(D17),"",IF(IFERROR(ABS(D17-'_key'!$A$150)&lt;=0.005,FALSE),"✓","✗"))</f>
        <v>0</v>
      </c>
      <c r="M17" s="31">
        <f>IF(ISBLANK(E17),"",IF(IFERROR(ABS(E17-'_key'!$A$151)&lt;=0.005,FALSE),"✓","✗"))</f>
        <v>0</v>
      </c>
      <c r="N17" s="31">
        <f>IF(ISBLANK(F17),"",IF(IFERROR(ABS(F17-'_key'!$A$152)&lt;=0.005,FALSE),"✓","✗"))</f>
        <v>0</v>
      </c>
      <c r="O17" s="31">
        <f>IF(ISBLANK(G17),"",IF(IFERROR(ABS(G17-'_key'!$A$153)&lt;=0.005,FALSE),"✓","✗"))</f>
        <v>0</v>
      </c>
      <c r="P17" s="31">
        <f>IF(ISBLANK(H17),"",IF(IFERROR(ABS(H17-'_key'!$A$154)&lt;=0.0005,FALSE),"✓","✗"))</f>
        <v>0</v>
      </c>
    </row>
    <row r="18" spans="1:16">
      <c r="A18" s="17" t="s">
        <v>27</v>
      </c>
      <c r="B18" s="28"/>
      <c r="C18" s="28"/>
      <c r="D18" s="29"/>
      <c r="E18" s="29"/>
      <c r="F18" s="29"/>
      <c r="G18" s="36"/>
      <c r="H18" s="37"/>
      <c r="J18" s="31">
        <f>IF(ISBLANK(B18),"",IF(IFERROR(EXACT(B18,'_key'!$A$155),FALSE),"✓","✗"))</f>
        <v>0</v>
      </c>
      <c r="K18" s="31">
        <f>IF(ISBLANK(C18),"",IF(IFERROR(ABS(C18-'_key'!$A$156)&lt;=0.005,FALSE),"✓","✗"))</f>
        <v>0</v>
      </c>
      <c r="L18" s="31">
        <f>IF(ISBLANK(D18),"",IF(IFERROR(ABS(D18-'_key'!$A$157)&lt;=0.005,FALSE),"✓","✗"))</f>
        <v>0</v>
      </c>
      <c r="M18" s="31">
        <f>IF(ISBLANK(E18),"",IF(IFERROR(ABS(E18-'_key'!$A$158)&lt;=0.005,FALSE),"✓","✗"))</f>
        <v>0</v>
      </c>
      <c r="N18" s="31">
        <f>IF(ISBLANK(F18),"",IF(IFERROR(ABS(F18-'_key'!$A$159)&lt;=0.005,FALSE),"✓","✗"))</f>
        <v>0</v>
      </c>
      <c r="O18" s="31">
        <f>IF(ISBLANK(G18),"",IF(IFERROR(ABS(G18-'_key'!$A$160)&lt;=0.005,FALSE),"✓","✗"))</f>
        <v>0</v>
      </c>
      <c r="P18" s="31">
        <f>IF(ISBLANK(H18),"",IF(IFERROR(ABS(H18-'_key'!$A$161)&lt;=0.0005,FALSE),"✓","✗"))</f>
        <v>0</v>
      </c>
    </row>
    <row r="19" spans="1:16">
      <c r="A19" s="17" t="s">
        <v>46</v>
      </c>
      <c r="B19" s="28"/>
      <c r="C19" s="28"/>
      <c r="D19" s="29"/>
      <c r="E19" s="29"/>
      <c r="F19" s="29"/>
      <c r="G19" s="36"/>
      <c r="H19" s="37"/>
      <c r="J19" s="31">
        <f>IF(ISBLANK(B19),"",IF(IFERROR(EXACT(B19,'_key'!$A$162),FALSE),"✓","✗"))</f>
        <v>0</v>
      </c>
      <c r="K19" s="31">
        <f>IF(ISBLANK(C19),"",IF(IFERROR(ABS(C19-'_key'!$A$163)&lt;=0.005,FALSE),"✓","✗"))</f>
        <v>0</v>
      </c>
      <c r="L19" s="31">
        <f>IF(ISBLANK(D19),"",IF(IFERROR(ABS(D19-'_key'!$A$164)&lt;=0.005,FALSE),"✓","✗"))</f>
        <v>0</v>
      </c>
      <c r="M19" s="31">
        <f>IF(ISBLANK(E19),"",IF(IFERROR(ABS(E19-'_key'!$A$165)&lt;=0.005,FALSE),"✓","✗"))</f>
        <v>0</v>
      </c>
      <c r="N19" s="31">
        <f>IF(ISBLANK(F19),"",IF(IFERROR(ABS(F19-'_key'!$A$166)&lt;=0.005,FALSE),"✓","✗"))</f>
        <v>0</v>
      </c>
      <c r="O19" s="31">
        <f>IF(ISBLANK(G19),"",IF(IFERROR(ABS(G19-'_key'!$A$167)&lt;=0.005,FALSE),"✓","✗"))</f>
        <v>0</v>
      </c>
      <c r="P19" s="31">
        <f>IF(ISBLANK(H19),"",IF(IFERROR(ABS(H19-'_key'!$A$168)&lt;=0.0005,FALSE),"✓","✗"))</f>
        <v>0</v>
      </c>
    </row>
    <row r="20" spans="1:16">
      <c r="A20" s="17" t="s">
        <v>74</v>
      </c>
      <c r="B20" s="28"/>
      <c r="C20" s="28"/>
      <c r="D20" s="29"/>
      <c r="E20" s="29"/>
      <c r="F20" s="29"/>
      <c r="G20" s="36"/>
      <c r="H20" s="37"/>
      <c r="J20" s="31">
        <f>IF(ISBLANK(B20),"",IF(IFERROR(EXACT(B20,'_key'!$A$169),FALSE),"✓","✗"))</f>
        <v>0</v>
      </c>
      <c r="K20" s="31">
        <f>IF(ISBLANK(C20),"",IF(IFERROR(ABS(C20-'_key'!$A$170)&lt;=0.005,FALSE),"✓","✗"))</f>
        <v>0</v>
      </c>
      <c r="L20" s="31">
        <f>IF(ISBLANK(D20),"",IF(IFERROR(ABS(D20-'_key'!$A$171)&lt;=0.005,FALSE),"✓","✗"))</f>
        <v>0</v>
      </c>
      <c r="M20" s="31">
        <f>IF(ISBLANK(E20),"",IF(IFERROR(ABS(E20-'_key'!$A$172)&lt;=0.005,FALSE),"✓","✗"))</f>
        <v>0</v>
      </c>
      <c r="N20" s="31">
        <f>IF(ISBLANK(F20),"",IF(IFERROR(ABS(F20-'_key'!$A$173)&lt;=0.005,FALSE),"✓","✗"))</f>
        <v>0</v>
      </c>
      <c r="O20" s="31">
        <f>IF(ISBLANK(G20),"",IF(IFERROR(ABS(G20-'_key'!$A$174)&lt;=0.005,FALSE),"✓","✗"))</f>
        <v>0</v>
      </c>
      <c r="P20" s="31">
        <f>IF(ISBLANK(H20),"",IF(IFERROR(ABS(H20-'_key'!$A$175)&lt;=0.0005,FALSE),"✓","✗"))</f>
        <v>0</v>
      </c>
    </row>
    <row r="21" spans="1:16">
      <c r="A21" s="17" t="s">
        <v>50</v>
      </c>
      <c r="B21" s="28"/>
      <c r="C21" s="28"/>
      <c r="D21" s="29"/>
      <c r="E21" s="29"/>
      <c r="F21" s="29"/>
      <c r="G21" s="36"/>
      <c r="H21" s="37"/>
      <c r="J21" s="31">
        <f>IF(ISBLANK(B21),"",IF(IFERROR(EXACT(B21,'_key'!$A$176),FALSE),"✓","✗"))</f>
        <v>0</v>
      </c>
      <c r="K21" s="31">
        <f>IF(ISBLANK(C21),"",IF(IFERROR(ABS(C21-'_key'!$A$177)&lt;=0.005,FALSE),"✓","✗"))</f>
        <v>0</v>
      </c>
      <c r="L21" s="31">
        <f>IF(ISBLANK(D21),"",IF(IFERROR(ABS(D21-'_key'!$A$178)&lt;=0.005,FALSE),"✓","✗"))</f>
        <v>0</v>
      </c>
      <c r="M21" s="31">
        <f>IF(ISBLANK(E21),"",IF(IFERROR(ABS(E21-'_key'!$A$179)&lt;=0.005,FALSE),"✓","✗"))</f>
        <v>0</v>
      </c>
      <c r="N21" s="31">
        <f>IF(ISBLANK(F21),"",IF(IFERROR(ABS(F21-'_key'!$A$180)&lt;=0.005,FALSE),"✓","✗"))</f>
        <v>0</v>
      </c>
      <c r="O21" s="31">
        <f>IF(ISBLANK(G21),"",IF(IFERROR(ABS(G21-'_key'!$A$181)&lt;=0.005,FALSE),"✓","✗"))</f>
        <v>0</v>
      </c>
      <c r="P21" s="31">
        <f>IF(ISBLANK(H21),"",IF(IFERROR(ABS(H21-'_key'!$A$182)&lt;=0.0005,FALSE),"✓","✗"))</f>
        <v>0</v>
      </c>
    </row>
    <row r="22" spans="1:16">
      <c r="A22" s="17" t="s">
        <v>89</v>
      </c>
      <c r="B22" s="28"/>
      <c r="C22" s="28"/>
      <c r="D22" s="29"/>
      <c r="E22" s="29"/>
      <c r="F22" s="29"/>
      <c r="G22" s="36"/>
      <c r="H22" s="37"/>
      <c r="J22" s="31">
        <f>IF(ISBLANK(B22),"",IF(IFERROR(EXACT(B22,'_key'!$A$183),FALSE),"✓","✗"))</f>
        <v>0</v>
      </c>
      <c r="K22" s="31">
        <f>IF(ISBLANK(C22),"",IF(IFERROR(ABS(C22-'_key'!$A$184)&lt;=0.005,FALSE),"✓","✗"))</f>
        <v>0</v>
      </c>
      <c r="L22" s="31">
        <f>IF(ISBLANK(D22),"",IF(IFERROR(ABS(D22-'_key'!$A$185)&lt;=0.005,FALSE),"✓","✗"))</f>
        <v>0</v>
      </c>
      <c r="M22" s="31">
        <f>IF(ISBLANK(E22),"",IF(IFERROR(ABS(E22-'_key'!$A$186)&lt;=0.005,FALSE),"✓","✗"))</f>
        <v>0</v>
      </c>
      <c r="N22" s="31">
        <f>IF(ISBLANK(F22),"",IF(IFERROR(ABS(F22-'_key'!$A$187)&lt;=0.005,FALSE),"✓","✗"))</f>
        <v>0</v>
      </c>
      <c r="O22" s="31">
        <f>IF(ISBLANK(G22),"",IF(IFERROR(ABS(G22-'_key'!$A$188)&lt;=0.005,FALSE),"✓","✗"))</f>
        <v>0</v>
      </c>
      <c r="P22" s="31">
        <f>IF(ISBLANK(H22),"",IF(IFERROR(ABS(H22-'_key'!$A$189)&lt;=0.0005,FALSE),"✓","✗"))</f>
        <v>0</v>
      </c>
    </row>
    <row r="23" spans="1:16">
      <c r="A23" s="17" t="s">
        <v>40</v>
      </c>
      <c r="B23" s="28"/>
      <c r="C23" s="28"/>
      <c r="D23" s="29"/>
      <c r="E23" s="29"/>
      <c r="F23" s="29"/>
      <c r="G23" s="36"/>
      <c r="H23" s="37"/>
      <c r="J23" s="31">
        <f>IF(ISBLANK(B23),"",IF(IFERROR(EXACT(B23,'_key'!$A$190),FALSE),"✓","✗"))</f>
        <v>0</v>
      </c>
      <c r="K23" s="31">
        <f>IF(ISBLANK(C23),"",IF(IFERROR(ABS(C23-'_key'!$A$191)&lt;=0.005,FALSE),"✓","✗"))</f>
        <v>0</v>
      </c>
      <c r="L23" s="31">
        <f>IF(ISBLANK(D23),"",IF(IFERROR(ABS(D23-'_key'!$A$192)&lt;=0.005,FALSE),"✓","✗"))</f>
        <v>0</v>
      </c>
      <c r="M23" s="31">
        <f>IF(ISBLANK(E23),"",IF(IFERROR(ABS(E23-'_key'!$A$193)&lt;=0.005,FALSE),"✓","✗"))</f>
        <v>0</v>
      </c>
      <c r="N23" s="31">
        <f>IF(ISBLANK(F23),"",IF(IFERROR(ABS(F23-'_key'!$A$194)&lt;=0.005,FALSE),"✓","✗"))</f>
        <v>0</v>
      </c>
      <c r="O23" s="31">
        <f>IF(ISBLANK(G23),"",IF(IFERROR(ABS(G23-'_key'!$A$195)&lt;=0.005,FALSE),"✓","✗"))</f>
        <v>0</v>
      </c>
      <c r="P23" s="31">
        <f>IF(ISBLANK(H23),"",IF(IFERROR(ABS(H23-'_key'!$A$196)&lt;=0.0005,FALSE),"✓","✗"))</f>
        <v>0</v>
      </c>
    </row>
    <row r="26" spans="1:16">
      <c r="A26" s="4" t="s">
        <v>5391</v>
      </c>
    </row>
    <row r="27" spans="1:16">
      <c r="A27" s="7" t="s">
        <v>379</v>
      </c>
      <c r="B27" s="7" t="s">
        <v>5392</v>
      </c>
      <c r="C27" s="7" t="s">
        <v>5393</v>
      </c>
      <c r="D27" s="7" t="s">
        <v>5395</v>
      </c>
      <c r="E27" s="7" t="s">
        <v>5397</v>
      </c>
      <c r="F27" s="7" t="s">
        <v>5399</v>
      </c>
      <c r="J27" s="7" t="s">
        <v>5348</v>
      </c>
      <c r="K27" s="7" t="s">
        <v>5349</v>
      </c>
      <c r="L27" s="7" t="s">
        <v>5350</v>
      </c>
      <c r="M27" s="7" t="s">
        <v>5351</v>
      </c>
      <c r="N27" s="7" t="s">
        <v>5352</v>
      </c>
    </row>
    <row r="28" spans="1:16" ht="62" customHeight="1">
      <c r="A28" s="26" t="s">
        <v>5378</v>
      </c>
      <c r="B28" s="26" t="s">
        <v>5216</v>
      </c>
      <c r="C28" s="26" t="s">
        <v>5394</v>
      </c>
      <c r="D28" s="26" t="s">
        <v>5396</v>
      </c>
      <c r="E28" s="26" t="s">
        <v>5398</v>
      </c>
      <c r="F28" s="26" t="s">
        <v>5400</v>
      </c>
    </row>
    <row r="29" spans="1:16">
      <c r="A29" s="17" t="s">
        <v>398</v>
      </c>
      <c r="B29" s="28"/>
      <c r="C29" s="28"/>
      <c r="D29" s="37"/>
      <c r="E29" s="38"/>
      <c r="F29" s="39"/>
      <c r="J29" s="31">
        <f>IF(ISBLANK(B29),"",IF(IFERROR(ABS(B29-'_key'!$A$197)&lt;=0.005,FALSE),"✓","✗"))</f>
        <v>0</v>
      </c>
      <c r="K29" s="31">
        <f>IF(ISBLANK(C29),"",IF(IFERROR(ABS(C29-'_key'!$A$198)&lt;=0.005,FALSE),"✓","✗"))</f>
        <v>0</v>
      </c>
      <c r="L29" s="31">
        <f>IF(ISBLANK(D29),"",IF(IFERROR(ABS(D29-'_key'!$A$199)&lt;=0.0005,FALSE),"✓","✗"))</f>
        <v>0</v>
      </c>
      <c r="M29" s="31">
        <f>IF(ISBLANK(E29),"",IF(IFERROR(ABS(E29-'_key'!$A$200)&lt;=0.05,FALSE),"✓","✗"))</f>
        <v>0</v>
      </c>
      <c r="N29" s="31">
        <f>IF(ISBLANK(F29),"",IF(IFERROR(ABS(F29-'_key'!$A$201)&lt;=0.005,FALSE),"✓","✗"))</f>
        <v>0</v>
      </c>
    </row>
    <row r="30" spans="1:16">
      <c r="A30" s="17" t="s">
        <v>404</v>
      </c>
      <c r="B30" s="28"/>
      <c r="C30" s="28"/>
      <c r="D30" s="37"/>
      <c r="E30" s="38"/>
      <c r="F30" s="39"/>
      <c r="J30" s="31">
        <f>IF(ISBLANK(B30),"",IF(IFERROR(ABS(B30-'_key'!$A$202)&lt;=0.005,FALSE),"✓","✗"))</f>
        <v>0</v>
      </c>
      <c r="K30" s="31">
        <f>IF(ISBLANK(C30),"",IF(IFERROR(ABS(C30-'_key'!$A$203)&lt;=0.005,FALSE),"✓","✗"))</f>
        <v>0</v>
      </c>
      <c r="L30" s="31">
        <f>IF(ISBLANK(D30),"",IF(IFERROR(ABS(D30-'_key'!$A$204)&lt;=0.0005,FALSE),"✓","✗"))</f>
        <v>0</v>
      </c>
      <c r="M30" s="31">
        <f>IF(ISBLANK(E30),"",IF(IFERROR(ABS(E30-'_key'!$A$205)&lt;=0.05,FALSE),"✓","✗"))</f>
        <v>0</v>
      </c>
      <c r="N30" s="31">
        <f>IF(ISBLANK(F30),"",IF(IFERROR(ABS(F30-'_key'!$A$206)&lt;=0.005,FALSE),"✓","✗"))</f>
        <v>0</v>
      </c>
    </row>
    <row r="31" spans="1:16">
      <c r="A31" s="17" t="s">
        <v>383</v>
      </c>
      <c r="B31" s="28"/>
      <c r="C31" s="28"/>
      <c r="D31" s="37"/>
      <c r="E31" s="38"/>
      <c r="F31" s="39"/>
      <c r="J31" s="31">
        <f>IF(ISBLANK(B31),"",IF(IFERROR(ABS(B31-'_key'!$A$207)&lt;=0.005,FALSE),"✓","✗"))</f>
        <v>0</v>
      </c>
      <c r="K31" s="31">
        <f>IF(ISBLANK(C31),"",IF(IFERROR(ABS(C31-'_key'!$A$208)&lt;=0.005,FALSE),"✓","✗"))</f>
        <v>0</v>
      </c>
      <c r="L31" s="31">
        <f>IF(ISBLANK(D31),"",IF(IFERROR(ABS(D31-'_key'!$A$209)&lt;=0.0005,FALSE),"✓","✗"))</f>
        <v>0</v>
      </c>
      <c r="M31" s="31">
        <f>IF(ISBLANK(E31),"",IF(IFERROR(ABS(E31-'_key'!$A$210)&lt;=0.05,FALSE),"✓","✗"))</f>
        <v>0</v>
      </c>
      <c r="N31" s="31">
        <f>IF(ISBLANK(F31),"",IF(IFERROR(ABS(F31-'_key'!$A$211)&lt;=0.005,FALSE),"✓","✗"))</f>
        <v>0</v>
      </c>
    </row>
    <row r="32" spans="1:16">
      <c r="A32" s="17" t="s">
        <v>390</v>
      </c>
      <c r="B32" s="28"/>
      <c r="C32" s="28"/>
      <c r="D32" s="37"/>
      <c r="E32" s="38"/>
      <c r="F32" s="39"/>
      <c r="J32" s="31">
        <f>IF(ISBLANK(B32),"",IF(IFERROR(ABS(B32-'_key'!$A$212)&lt;=0.005,FALSE),"✓","✗"))</f>
        <v>0</v>
      </c>
      <c r="K32" s="31">
        <f>IF(ISBLANK(C32),"",IF(IFERROR(ABS(C32-'_key'!$A$213)&lt;=0.005,FALSE),"✓","✗"))</f>
        <v>0</v>
      </c>
      <c r="L32" s="31">
        <f>IF(ISBLANK(D32),"",IF(IFERROR(ABS(D32-'_key'!$A$214)&lt;=0.0005,FALSE),"✓","✗"))</f>
        <v>0</v>
      </c>
      <c r="M32" s="31">
        <f>IF(ISBLANK(E32),"",IF(IFERROR(ABS(E32-'_key'!$A$215)&lt;=0.05,FALSE),"✓","✗"))</f>
        <v>0</v>
      </c>
      <c r="N32" s="31">
        <f>IF(ISBLANK(F32),"",IF(IFERROR(ABS(F32-'_key'!$A$216)&lt;=0.005,FALSE),"✓","✗"))</f>
        <v>0</v>
      </c>
    </row>
    <row r="35" spans="1:10">
      <c r="A35" s="4" t="s">
        <v>5401</v>
      </c>
    </row>
    <row r="36" spans="1:10">
      <c r="A36" s="7" t="s">
        <v>5402</v>
      </c>
      <c r="B36" s="7" t="s">
        <v>5403</v>
      </c>
      <c r="C36" s="7" t="s">
        <v>5404</v>
      </c>
    </row>
    <row r="37" spans="1:10">
      <c r="A37" s="17" t="s">
        <v>5405</v>
      </c>
      <c r="B37" s="30"/>
      <c r="C37" s="40" t="s">
        <v>5406</v>
      </c>
      <c r="J37" s="31">
        <f>IF(ISBLANK(B37),"",IF(IFERROR(ABS(B37-'_key'!$A$217)&lt;=0.05,FALSE),"✓","✗"))</f>
        <v>0</v>
      </c>
    </row>
    <row r="38" spans="1:10">
      <c r="A38" s="17" t="s">
        <v>5407</v>
      </c>
      <c r="B38" s="30"/>
      <c r="C38" s="40" t="s">
        <v>5408</v>
      </c>
      <c r="J38" s="31">
        <f>IF(ISBLANK(B38),"",IF(IFERROR(ABS(B38-'_key'!$A$218)&lt;=0.05,FALSE),"✓","✗"))</f>
        <v>0</v>
      </c>
    </row>
    <row r="39" spans="1:10">
      <c r="A39" s="17" t="s">
        <v>5409</v>
      </c>
      <c r="B39" s="30"/>
      <c r="C39" s="40" t="s">
        <v>5410</v>
      </c>
      <c r="J39" s="31">
        <f>IF(ISBLANK(B39),"",IF(IFERROR(ABS(B39-'_key'!$A$219)&lt;=0.05,FALSE),"✓","✗"))</f>
        <v>0</v>
      </c>
    </row>
    <row r="40" spans="1:10">
      <c r="A40" s="17" t="s">
        <v>5411</v>
      </c>
      <c r="B40" s="30"/>
      <c r="C40" s="40" t="s">
        <v>5412</v>
      </c>
      <c r="J40" s="31">
        <f>IF(ISBLANK(B40),"",IF(IFERROR(ABS(B40-'_key'!$A$220)&lt;=0.05,FALSE),"✓","✗"))</f>
        <v>0</v>
      </c>
    </row>
    <row r="41" spans="1:10">
      <c r="A41" s="34" t="s">
        <v>5306</v>
      </c>
      <c r="B41" s="38"/>
      <c r="C41" s="40" t="s">
        <v>5413</v>
      </c>
      <c r="J41" s="31">
        <f>IF(ISBLANK(B41),"",IF(IFERROR(ABS(B41-'_key'!$A$221)&lt;=0.05,FALSE),"✓","✗"))</f>
        <v>0</v>
      </c>
    </row>
  </sheetData>
  <mergeCells count="3">
    <mergeCell ref="A1:Q1"/>
    <mergeCell ref="A2:Q2"/>
    <mergeCell ref="A3:Q3"/>
  </mergeCells>
  <conditionalFormatting sqref="J16:P23">
    <cfRule type="cellIs" dxfId="5" priority="3" operator="equal">
      <formula>"✓"</formula>
    </cfRule>
    <cfRule type="cellIs" dxfId="6" priority="4" operator="equal">
      <formula>"✗"</formula>
    </cfRule>
  </conditionalFormatting>
  <conditionalFormatting sqref="J29:N32">
    <cfRule type="cellIs" dxfId="5" priority="5" operator="equal">
      <formula>"✓"</formula>
    </cfRule>
    <cfRule type="cellIs" dxfId="6" priority="6" operator="equal">
      <formula>"✗"</formula>
    </cfRule>
  </conditionalFormatting>
  <conditionalFormatting sqref="J37:J41">
    <cfRule type="cellIs" dxfId="5" priority="7" operator="equal">
      <formula>"✓"</formula>
    </cfRule>
    <cfRule type="cellIs" dxfId="6" priority="8" operator="equal">
      <formula>"✗"</formula>
    </cfRule>
  </conditionalFormatting>
  <conditionalFormatting sqref="J7:N10">
    <cfRule type="cellIs" dxfId="5" priority="1" operator="equal">
      <formula>"✓"</formula>
    </cfRule>
    <cfRule type="cellIs" dxfId="6" priority="2" operator="equal">
      <formula>"✗"</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sheetPr>
    <tabColor rgb="FFFFC000"/>
  </sheetPr>
  <dimension ref="A1:AI145"/>
  <sheetViews>
    <sheetView workbookViewId="0">
      <pane xSplit="2" ySplit="7" topLeftCell="C8" activePane="bottomRight" state="frozen"/>
      <selection pane="topRight" activeCell="C1" sqref="C1"/>
      <selection pane="bottomLeft" activeCell="A8" sqref="A8"/>
      <selection pane="bottomRight"/>
    </sheetView>
  </sheetViews>
  <sheetFormatPr defaultRowHeight="15"/>
  <cols>
    <col min="1" max="1" width="10.7109375" customWidth="1"/>
    <col min="2" max="2" width="22.7109375" customWidth="1"/>
    <col min="3" max="18" width="11.28515625" customWidth="1"/>
    <col min="19" max="19" width="11.7109375" style="16" customWidth="1"/>
    <col min="20" max="20" width="11.28515625" customWidth="1"/>
    <col min="21" max="21" width="18.7109375" customWidth="1"/>
    <col min="22" max="22" width="11.28515625" customWidth="1"/>
    <col min="23" max="23" width="2.7109375" customWidth="1"/>
    <col min="24" max="30" width="4.7109375" customWidth="1"/>
    <col min="31" max="31" width="2.7109375" customWidth="1"/>
    <col min="32" max="32" width="26.7109375" customWidth="1"/>
    <col min="33" max="34" width="14.7109375" customWidth="1"/>
    <col min="35" max="35" width="4.7109375" customWidth="1"/>
  </cols>
  <sheetData>
    <row r="1" spans="1:35" ht="26" customHeight="1">
      <c r="A1" s="18" t="s">
        <v>5414</v>
      </c>
      <c r="B1" s="18"/>
      <c r="C1" s="18"/>
      <c r="D1" s="18"/>
      <c r="E1" s="18"/>
      <c r="F1" s="18"/>
      <c r="G1" s="18"/>
      <c r="H1" s="18"/>
      <c r="I1" s="18"/>
      <c r="J1" s="18"/>
      <c r="K1" s="18"/>
      <c r="L1" s="18"/>
      <c r="M1" s="18"/>
      <c r="N1" s="18"/>
      <c r="O1" s="18"/>
      <c r="P1" s="18"/>
      <c r="Q1" s="18"/>
      <c r="R1" s="18"/>
      <c r="S1" s="18"/>
      <c r="T1" s="18"/>
      <c r="U1" s="18"/>
      <c r="V1" s="18"/>
    </row>
    <row r="2" spans="1:35" ht="45" customHeight="1">
      <c r="A2" s="3" t="s">
        <v>5415</v>
      </c>
      <c r="B2" s="3"/>
      <c r="C2" s="3"/>
      <c r="D2" s="3"/>
      <c r="E2" s="3"/>
      <c r="F2" s="3"/>
      <c r="G2" s="3"/>
      <c r="H2" s="3"/>
      <c r="I2" s="3"/>
      <c r="J2" s="3"/>
      <c r="K2" s="3"/>
      <c r="L2" s="3"/>
      <c r="M2" s="3"/>
      <c r="N2" s="3"/>
      <c r="O2" s="3"/>
      <c r="P2" s="3"/>
      <c r="Q2" s="3"/>
      <c r="R2" s="3"/>
      <c r="S2" s="3"/>
      <c r="T2" s="3"/>
      <c r="U2" s="3"/>
      <c r="V2" s="3"/>
    </row>
    <row r="3" spans="1:35" ht="45" customHeight="1">
      <c r="A3" s="25" t="s">
        <v>5416</v>
      </c>
      <c r="B3" s="25"/>
      <c r="C3" s="25"/>
      <c r="D3" s="25"/>
      <c r="E3" s="25"/>
      <c r="F3" s="25"/>
      <c r="G3" s="25"/>
      <c r="H3" s="25"/>
      <c r="I3" s="25"/>
      <c r="J3" s="25"/>
      <c r="K3" s="25"/>
      <c r="L3" s="25"/>
      <c r="M3" s="25"/>
      <c r="N3" s="25"/>
      <c r="O3" s="25"/>
      <c r="P3" s="25"/>
      <c r="Q3" s="25"/>
      <c r="R3" s="25"/>
      <c r="S3" s="25"/>
      <c r="T3" s="25"/>
      <c r="U3" s="25"/>
      <c r="V3" s="25"/>
    </row>
    <row r="4" spans="1:35">
      <c r="N4" s="13" t="s">
        <v>5417</v>
      </c>
      <c r="O4" s="41">
        <v>0.35</v>
      </c>
      <c r="P4" s="41">
        <v>0.25</v>
      </c>
      <c r="Q4" s="41">
        <v>0.2</v>
      </c>
      <c r="R4" s="41">
        <v>0.2</v>
      </c>
      <c r="S4" s="15">
        <f>SUM(O4:R4)</f>
        <v>1</v>
      </c>
      <c r="T4" s="42" t="str">
        <f>IF(ROUND(S4,4)=1,"Pesos OK","Los pesos deben sumar 100%")</f>
        <v>Pesos OK</v>
      </c>
      <c r="AF4" s="4" t="s">
        <v>5458</v>
      </c>
    </row>
    <row r="6" spans="1:35" ht="30" customHeight="1">
      <c r="A6" s="7" t="s">
        <v>0</v>
      </c>
      <c r="B6" s="7" t="s">
        <v>1</v>
      </c>
      <c r="C6" s="7" t="s">
        <v>2</v>
      </c>
      <c r="D6" s="7" t="s">
        <v>6</v>
      </c>
      <c r="E6" s="7" t="s">
        <v>7</v>
      </c>
      <c r="F6" s="7" t="s">
        <v>8</v>
      </c>
      <c r="G6" s="7" t="s">
        <v>5418</v>
      </c>
      <c r="H6" s="7" t="s">
        <v>5420</v>
      </c>
      <c r="I6" s="7" t="s">
        <v>5422</v>
      </c>
      <c r="J6" s="7" t="s">
        <v>5424</v>
      </c>
      <c r="K6" s="7" t="s">
        <v>5426</v>
      </c>
      <c r="L6" s="7" t="s">
        <v>5428</v>
      </c>
      <c r="M6" s="7" t="s">
        <v>5430</v>
      </c>
      <c r="N6" s="7" t="s">
        <v>5346</v>
      </c>
      <c r="O6" s="7" t="s">
        <v>5433</v>
      </c>
      <c r="P6" s="7" t="s">
        <v>5435</v>
      </c>
      <c r="Q6" s="7" t="s">
        <v>5437</v>
      </c>
      <c r="R6" s="7" t="s">
        <v>5439</v>
      </c>
      <c r="S6" s="7" t="s">
        <v>5441</v>
      </c>
      <c r="T6" s="7" t="s">
        <v>5443</v>
      </c>
      <c r="U6" s="7" t="s">
        <v>5445</v>
      </c>
      <c r="V6" s="7" t="s">
        <v>5447</v>
      </c>
      <c r="X6" s="7" t="s">
        <v>5354</v>
      </c>
      <c r="Y6" s="7" t="s">
        <v>5449</v>
      </c>
      <c r="Z6" s="7" t="s">
        <v>5450</v>
      </c>
      <c r="AA6" s="7" t="s">
        <v>5451</v>
      </c>
      <c r="AB6" s="7" t="s">
        <v>5452</v>
      </c>
      <c r="AC6" s="7" t="s">
        <v>5453</v>
      </c>
      <c r="AD6" s="7" t="s">
        <v>5454</v>
      </c>
      <c r="AF6" s="7" t="s">
        <v>5443</v>
      </c>
      <c r="AG6" s="7" t="s">
        <v>5380</v>
      </c>
      <c r="AH6" s="7" t="s">
        <v>5382</v>
      </c>
      <c r="AI6" s="7" t="s">
        <v>5376</v>
      </c>
    </row>
    <row r="7" spans="1:35" ht="75" customHeight="1">
      <c r="A7" s="26" t="s">
        <v>5378</v>
      </c>
      <c r="B7" s="26" t="s">
        <v>5202</v>
      </c>
      <c r="C7" s="26" t="s">
        <v>5202</v>
      </c>
      <c r="D7" s="26" t="s">
        <v>5202</v>
      </c>
      <c r="E7" s="26" t="s">
        <v>5202</v>
      </c>
      <c r="F7" s="26" t="s">
        <v>5202</v>
      </c>
      <c r="G7" s="26" t="s">
        <v>5419</v>
      </c>
      <c r="H7" s="26" t="s">
        <v>5421</v>
      </c>
      <c r="I7" s="26" t="s">
        <v>5423</v>
      </c>
      <c r="J7" s="26" t="s">
        <v>5425</v>
      </c>
      <c r="K7" s="26" t="s">
        <v>5427</v>
      </c>
      <c r="L7" s="26" t="s">
        <v>5429</v>
      </c>
      <c r="M7" s="26" t="s">
        <v>5431</v>
      </c>
      <c r="N7" s="26" t="s">
        <v>5432</v>
      </c>
      <c r="O7" s="26" t="s">
        <v>5434</v>
      </c>
      <c r="P7" s="26" t="s">
        <v>5436</v>
      </c>
      <c r="Q7" s="26" t="s">
        <v>5438</v>
      </c>
      <c r="R7" s="26" t="s">
        <v>5440</v>
      </c>
      <c r="S7" s="26" t="s">
        <v>5442</v>
      </c>
      <c r="T7" s="26" t="s">
        <v>5444</v>
      </c>
      <c r="U7" s="26" t="s">
        <v>5446</v>
      </c>
      <c r="V7" s="26" t="s">
        <v>5448</v>
      </c>
      <c r="AF7" s="34" t="s">
        <v>5456</v>
      </c>
      <c r="AG7" s="28"/>
      <c r="AH7" s="29"/>
      <c r="AI7" s="31">
        <f>IF(ISBLANK(AG7),"",IF(IFERROR(ABS(AG7-'_key'!$A$1188)&lt;=0.005,FALSE),"✓","✗"))</f>
        <v>0</v>
      </c>
    </row>
    <row r="8" spans="1:35">
      <c r="A8" s="17" t="s">
        <v>23</v>
      </c>
      <c r="B8" s="28"/>
      <c r="C8" s="28"/>
      <c r="D8" s="28"/>
      <c r="E8" s="29"/>
      <c r="F8" s="30"/>
      <c r="G8" s="30"/>
      <c r="H8" s="37"/>
      <c r="I8" s="30"/>
      <c r="J8" s="30"/>
      <c r="K8" s="37"/>
      <c r="L8" s="28"/>
      <c r="M8" s="38"/>
      <c r="N8" s="30"/>
      <c r="O8" s="28"/>
      <c r="P8" s="28"/>
      <c r="Q8" s="28"/>
      <c r="R8" s="28"/>
      <c r="S8" s="43"/>
      <c r="T8" s="28"/>
      <c r="U8" s="28"/>
      <c r="V8" s="28"/>
      <c r="X8" s="31">
        <f>IF(ISBLANK(H8),"",IF(IFERROR(ABS(H8-'_key'!$A$222)&lt;=5e-05,FALSE),"✓","✗"))</f>
        <v>0</v>
      </c>
      <c r="Y8" s="31">
        <f>IF(ISBLANK(K8),"",IF(IFERROR(ABS(K8-'_key'!$A$223)&lt;=5e-05,FALSE),"✓","✗"))</f>
        <v>0</v>
      </c>
      <c r="Z8" s="31">
        <f>IF(ISBLANK(L8),"",IF(IFERROR(ABS(L8-'_key'!$A$224)&lt;=0.005,FALSE),"✓","✗"))</f>
        <v>0</v>
      </c>
      <c r="AA8" s="31">
        <f>IF(ISBLANK(M8),"",IF(IFERROR(ABS(M8-'_key'!$A$225)&lt;=0.005,FALSE),"✓","✗"))</f>
        <v>0</v>
      </c>
      <c r="AB8" s="31">
        <f>IF(ISBLANK(S8),"",IF(IFERROR(ABS(S8-'_key'!$A$226)&lt;=0.01,FALSE),"✓","✗"))</f>
        <v>0</v>
      </c>
      <c r="AC8" s="31">
        <f>IF(ISBLANK(T8),"",IF(IFERROR(EXACT(T8,'_key'!$A$227),FALSE),"✓","✗"))</f>
        <v>0</v>
      </c>
      <c r="AD8" s="31">
        <f>IF(ISBLANK(V8),"",IF(IFERROR(ABS(V8-'_key'!$A$228)&lt;=0.005,FALSE),"✓","✗"))</f>
        <v>0</v>
      </c>
      <c r="AF8" s="34" t="s">
        <v>5455</v>
      </c>
      <c r="AG8" s="28"/>
      <c r="AH8" s="29"/>
      <c r="AI8" s="31">
        <f>IF(ISBLANK(AG8),"",IF(IFERROR(ABS(AG8-'_key'!$A$1190)&lt;=0.005,FALSE),"✓","✗"))</f>
        <v>0</v>
      </c>
    </row>
    <row r="9" spans="1:35">
      <c r="A9" s="17" t="s">
        <v>30</v>
      </c>
      <c r="B9" s="28"/>
      <c r="C9" s="28"/>
      <c r="D9" s="28"/>
      <c r="E9" s="29"/>
      <c r="F9" s="30"/>
      <c r="G9" s="30"/>
      <c r="H9" s="37"/>
      <c r="I9" s="30"/>
      <c r="J9" s="30"/>
      <c r="K9" s="37"/>
      <c r="L9" s="28"/>
      <c r="M9" s="38"/>
      <c r="N9" s="30"/>
      <c r="O9" s="28"/>
      <c r="P9" s="28"/>
      <c r="Q9" s="28"/>
      <c r="R9" s="28"/>
      <c r="S9" s="43"/>
      <c r="T9" s="28"/>
      <c r="U9" s="28"/>
      <c r="V9" s="28"/>
      <c r="X9" s="31">
        <f>IF(ISBLANK(H9),"",IF(IFERROR(ABS(H9-'_key'!$A$229)&lt;=5e-05,FALSE),"✓","✗"))</f>
        <v>0</v>
      </c>
      <c r="Y9" s="31">
        <f>IF(ISBLANK(K9),"",IF(IFERROR(ABS(K9-'_key'!$A$230)&lt;=5e-05,FALSE),"✓","✗"))</f>
        <v>0</v>
      </c>
      <c r="Z9" s="31">
        <f>IF(ISBLANK(L9),"",IF(IFERROR(ABS(L9-'_key'!$A$231)&lt;=0.005,FALSE),"✓","✗"))</f>
        <v>0</v>
      </c>
      <c r="AA9" s="31">
        <f>IF(ISBLANK(M9),"",IF(IFERROR(ABS(M9-'_key'!$A$232)&lt;=0.005,FALSE),"✓","✗"))</f>
        <v>0</v>
      </c>
      <c r="AB9" s="31">
        <f>IF(ISBLANK(S9),"",IF(IFERROR(ABS(S9-'_key'!$A$233)&lt;=0.01,FALSE),"✓","✗"))</f>
        <v>0</v>
      </c>
      <c r="AC9" s="31">
        <f>IF(ISBLANK(T9),"",IF(IFERROR(EXACT(T9,'_key'!$A$234),FALSE),"✓","✗"))</f>
        <v>0</v>
      </c>
      <c r="AD9" s="31">
        <f>IF(ISBLANK(V9),"",IF(IFERROR(ABS(V9-'_key'!$A$235)&lt;=0.005,FALSE),"✓","✗"))</f>
        <v>0</v>
      </c>
      <c r="AF9" s="34" t="s">
        <v>5457</v>
      </c>
      <c r="AG9" s="28"/>
      <c r="AH9" s="29"/>
      <c r="AI9" s="31">
        <f>IF(ISBLANK(AG9),"",IF(IFERROR(ABS(AG9-'_key'!$A$1192)&lt;=0.005,FALSE),"✓","✗"))</f>
        <v>0</v>
      </c>
    </row>
    <row r="10" spans="1:35">
      <c r="A10" s="17" t="s">
        <v>35</v>
      </c>
      <c r="B10" s="28"/>
      <c r="C10" s="28"/>
      <c r="D10" s="28"/>
      <c r="E10" s="29"/>
      <c r="F10" s="30"/>
      <c r="G10" s="30"/>
      <c r="H10" s="37"/>
      <c r="I10" s="30"/>
      <c r="J10" s="30"/>
      <c r="K10" s="37"/>
      <c r="L10" s="28"/>
      <c r="M10" s="38"/>
      <c r="N10" s="30"/>
      <c r="O10" s="28"/>
      <c r="P10" s="28"/>
      <c r="Q10" s="28"/>
      <c r="R10" s="28"/>
      <c r="S10" s="43"/>
      <c r="T10" s="28"/>
      <c r="U10" s="28"/>
      <c r="V10" s="28"/>
      <c r="X10" s="31">
        <f>IF(ISBLANK(H10),"",IF(IFERROR(ABS(H10-'_key'!$A$236)&lt;=5e-05,FALSE),"✓","✗"))</f>
        <v>0</v>
      </c>
      <c r="Y10" s="31">
        <f>IF(ISBLANK(K10),"",IF(IFERROR(ABS(K10-'_key'!$A$237)&lt;=5e-05,FALSE),"✓","✗"))</f>
        <v>0</v>
      </c>
      <c r="Z10" s="31">
        <f>IF(ISBLANK(L10),"",IF(IFERROR(ABS(L10-'_key'!$A$238)&lt;=0.005,FALSE),"✓","✗"))</f>
        <v>0</v>
      </c>
      <c r="AA10" s="31">
        <f>IF(ISBLANK(M10),"",IF(IFERROR(ABS(M10-'_key'!$A$239)&lt;=0.005,FALSE),"✓","✗"))</f>
        <v>0</v>
      </c>
      <c r="AB10" s="31">
        <f>IF(ISBLANK(S10),"",IF(IFERROR(ABS(S10-'_key'!$A$240)&lt;=0.01,FALSE),"✓","✗"))</f>
        <v>0</v>
      </c>
      <c r="AC10" s="31">
        <f>IF(ISBLANK(T10),"",IF(IFERROR(EXACT(T10,'_key'!$A$241),FALSE),"✓","✗"))</f>
        <v>0</v>
      </c>
      <c r="AD10" s="31">
        <f>IF(ISBLANK(V10),"",IF(IFERROR(ABS(V10-'_key'!$A$242)&lt;=0.005,FALSE),"✓","✗"))</f>
        <v>0</v>
      </c>
    </row>
    <row r="11" spans="1:35">
      <c r="A11" s="17" t="s">
        <v>41</v>
      </c>
      <c r="B11" s="28"/>
      <c r="C11" s="28"/>
      <c r="D11" s="28"/>
      <c r="E11" s="29"/>
      <c r="F11" s="30"/>
      <c r="G11" s="30"/>
      <c r="H11" s="37"/>
      <c r="I11" s="30"/>
      <c r="J11" s="30"/>
      <c r="K11" s="37"/>
      <c r="L11" s="28"/>
      <c r="M11" s="38"/>
      <c r="N11" s="30"/>
      <c r="O11" s="28"/>
      <c r="P11" s="28"/>
      <c r="Q11" s="28"/>
      <c r="R11" s="28"/>
      <c r="S11" s="43"/>
      <c r="T11" s="28"/>
      <c r="U11" s="28"/>
      <c r="V11" s="28"/>
      <c r="X11" s="31">
        <f>IF(ISBLANK(H11),"",IF(IFERROR(ABS(H11-'_key'!$A$243)&lt;=5e-05,FALSE),"✓","✗"))</f>
        <v>0</v>
      </c>
      <c r="Y11" s="31">
        <f>IF(ISBLANK(K11),"",IF(IFERROR(ABS(K11-'_key'!$A$244)&lt;=5e-05,FALSE),"✓","✗"))</f>
        <v>0</v>
      </c>
      <c r="Z11" s="31">
        <f>IF(ISBLANK(L11),"",IF(IFERROR(ABS(L11-'_key'!$A$245)&lt;=0.005,FALSE),"✓","✗"))</f>
        <v>0</v>
      </c>
      <c r="AA11" s="31">
        <f>IF(ISBLANK(M11),"",IF(IFERROR(ABS(M11-'_key'!$A$246)&lt;=0.005,FALSE),"✓","✗"))</f>
        <v>0</v>
      </c>
      <c r="AB11" s="31">
        <f>IF(ISBLANK(S11),"",IF(IFERROR(ABS(S11-'_key'!$A$247)&lt;=0.01,FALSE),"✓","✗"))</f>
        <v>0</v>
      </c>
      <c r="AC11" s="31">
        <f>IF(ISBLANK(T11),"",IF(IFERROR(EXACT(T11,'_key'!$A$248),FALSE),"✓","✗"))</f>
        <v>0</v>
      </c>
      <c r="AD11" s="31">
        <f>IF(ISBLANK(V11),"",IF(IFERROR(ABS(V11-'_key'!$A$249)&lt;=0.005,FALSE),"✓","✗"))</f>
        <v>0</v>
      </c>
      <c r="AF11" s="34" t="s">
        <v>5459</v>
      </c>
      <c r="AH11" s="38"/>
      <c r="AI11" s="31">
        <f>IF(ISBLANK(AH11),"",IF(IFERROR(ABS(AH11-'_key'!$A$1194)&lt;=0.05,FALSE),"✓","✗"))</f>
        <v>0</v>
      </c>
    </row>
    <row r="12" spans="1:35">
      <c r="A12" s="17" t="s">
        <v>44</v>
      </c>
      <c r="B12" s="28"/>
      <c r="C12" s="28"/>
      <c r="D12" s="28"/>
      <c r="E12" s="29"/>
      <c r="F12" s="30"/>
      <c r="G12" s="30"/>
      <c r="H12" s="37"/>
      <c r="I12" s="30"/>
      <c r="J12" s="30"/>
      <c r="K12" s="37"/>
      <c r="L12" s="28"/>
      <c r="M12" s="38"/>
      <c r="N12" s="30"/>
      <c r="O12" s="28"/>
      <c r="P12" s="28"/>
      <c r="Q12" s="28"/>
      <c r="R12" s="28"/>
      <c r="S12" s="43"/>
      <c r="T12" s="28"/>
      <c r="U12" s="28"/>
      <c r="V12" s="28"/>
      <c r="X12" s="31">
        <f>IF(ISBLANK(H12),"",IF(IFERROR(ABS(H12-'_key'!$A$250)&lt;=5e-05,FALSE),"✓","✗"))</f>
        <v>0</v>
      </c>
      <c r="Y12" s="31">
        <f>IF(ISBLANK(K12),"",IF(IFERROR(ABS(K12-'_key'!$A$251)&lt;=5e-05,FALSE),"✓","✗"))</f>
        <v>0</v>
      </c>
      <c r="Z12" s="31">
        <f>IF(ISBLANK(L12),"",IF(IFERROR(ABS(L12-'_key'!$A$252)&lt;=0.005,FALSE),"✓","✗"))</f>
        <v>0</v>
      </c>
      <c r="AA12" s="31">
        <f>IF(ISBLANK(M12),"",IF(IFERROR(ABS(M12-'_key'!$A$253)&lt;=0.005,FALSE),"✓","✗"))</f>
        <v>0</v>
      </c>
      <c r="AB12" s="31">
        <f>IF(ISBLANK(S12),"",IF(IFERROR(ABS(S12-'_key'!$A$254)&lt;=0.01,FALSE),"✓","✗"))</f>
        <v>0</v>
      </c>
      <c r="AC12" s="31">
        <f>IF(ISBLANK(T12),"",IF(IFERROR(EXACT(T12,'_key'!$A$255),FALSE),"✓","✗"))</f>
        <v>0</v>
      </c>
      <c r="AD12" s="31">
        <f>IF(ISBLANK(V12),"",IF(IFERROR(ABS(V12-'_key'!$A$256)&lt;=0.005,FALSE),"✓","✗"))</f>
        <v>0</v>
      </c>
      <c r="AF12" s="34" t="s">
        <v>5460</v>
      </c>
      <c r="AH12" s="38"/>
      <c r="AI12" s="31">
        <f>IF(ISBLANK(AH12),"",IF(IFERROR(ABS(AH12-'_key'!$A$1195)&lt;=0.05,FALSE),"✓","✗"))</f>
        <v>0</v>
      </c>
    </row>
    <row r="13" spans="1:35">
      <c r="A13" s="17" t="s">
        <v>47</v>
      </c>
      <c r="B13" s="28"/>
      <c r="C13" s="28"/>
      <c r="D13" s="28"/>
      <c r="E13" s="29"/>
      <c r="F13" s="30"/>
      <c r="G13" s="30"/>
      <c r="H13" s="37"/>
      <c r="I13" s="30"/>
      <c r="J13" s="30"/>
      <c r="K13" s="37"/>
      <c r="L13" s="28"/>
      <c r="M13" s="38"/>
      <c r="N13" s="30"/>
      <c r="O13" s="28"/>
      <c r="P13" s="28"/>
      <c r="Q13" s="28"/>
      <c r="R13" s="28"/>
      <c r="S13" s="43"/>
      <c r="T13" s="28"/>
      <c r="U13" s="28"/>
      <c r="V13" s="28"/>
      <c r="X13" s="31">
        <f>IF(ISBLANK(H13),"",IF(IFERROR(ABS(H13-'_key'!$A$257)&lt;=5e-05,FALSE),"✓","✗"))</f>
        <v>0</v>
      </c>
      <c r="Y13" s="31">
        <f>IF(ISBLANK(K13),"",IF(IFERROR(ABS(K13-'_key'!$A$258)&lt;=5e-05,FALSE),"✓","✗"))</f>
        <v>0</v>
      </c>
      <c r="Z13" s="31">
        <f>IF(ISBLANK(L13),"",IF(IFERROR(ABS(L13-'_key'!$A$259)&lt;=0.005,FALSE),"✓","✗"))</f>
        <v>0</v>
      </c>
      <c r="AA13" s="31">
        <f>IF(ISBLANK(M13),"",IF(IFERROR(ABS(M13-'_key'!$A$260)&lt;=0.005,FALSE),"✓","✗"))</f>
        <v>0</v>
      </c>
      <c r="AB13" s="31">
        <f>IF(ISBLANK(S13),"",IF(IFERROR(ABS(S13-'_key'!$A$261)&lt;=0.01,FALSE),"✓","✗"))</f>
        <v>0</v>
      </c>
      <c r="AC13" s="31">
        <f>IF(ISBLANK(T13),"",IF(IFERROR(EXACT(T13,'_key'!$A$262),FALSE),"✓","✗"))</f>
        <v>0</v>
      </c>
      <c r="AD13" s="31">
        <f>IF(ISBLANK(V13),"",IF(IFERROR(ABS(V13-'_key'!$A$263)&lt;=0.005,FALSE),"✓","✗"))</f>
        <v>0</v>
      </c>
      <c r="AF13" s="34" t="s">
        <v>5461</v>
      </c>
      <c r="AH13" s="30"/>
      <c r="AI13" s="31">
        <f>IF(ISBLANK(AH13),"",IF(IFERROR(ABS(AH13-'_key'!$A$1196)&lt;=0.05,FALSE),"✓","✗"))</f>
        <v>0</v>
      </c>
    </row>
    <row r="14" spans="1:35">
      <c r="A14" s="17" t="s">
        <v>51</v>
      </c>
      <c r="B14" s="28"/>
      <c r="C14" s="28"/>
      <c r="D14" s="28"/>
      <c r="E14" s="29"/>
      <c r="F14" s="30"/>
      <c r="G14" s="30"/>
      <c r="H14" s="37"/>
      <c r="I14" s="30"/>
      <c r="J14" s="30"/>
      <c r="K14" s="37"/>
      <c r="L14" s="28"/>
      <c r="M14" s="38"/>
      <c r="N14" s="30"/>
      <c r="O14" s="28"/>
      <c r="P14" s="28"/>
      <c r="Q14" s="28"/>
      <c r="R14" s="28"/>
      <c r="S14" s="43"/>
      <c r="T14" s="28"/>
      <c r="U14" s="28"/>
      <c r="V14" s="28"/>
      <c r="X14" s="31">
        <f>IF(ISBLANK(H14),"",IF(IFERROR(ABS(H14-'_key'!$A$264)&lt;=5e-05,FALSE),"✓","✗"))</f>
        <v>0</v>
      </c>
      <c r="Y14" s="31">
        <f>IF(ISBLANK(K14),"",IF(IFERROR(ABS(K14-'_key'!$A$265)&lt;=5e-05,FALSE),"✓","✗"))</f>
        <v>0</v>
      </c>
      <c r="Z14" s="31">
        <f>IF(ISBLANK(L14),"",IF(IFERROR(ABS(L14-'_key'!$A$266)&lt;=0.005,FALSE),"✓","✗"))</f>
        <v>0</v>
      </c>
      <c r="AA14" s="31">
        <f>IF(ISBLANK(M14),"",IF(IFERROR(EXACT(M14,'_key'!$A$267),FALSE),"✓","✗"))</f>
        <v>0</v>
      </c>
      <c r="AB14" s="31">
        <f>IF(ISBLANK(S14),"",IF(IFERROR(ABS(S14-'_key'!$A$268)&lt;=0.01,FALSE),"✓","✗"))</f>
        <v>0</v>
      </c>
      <c r="AC14" s="31">
        <f>IF(ISBLANK(T14),"",IF(IFERROR(EXACT(T14,'_key'!$A$269),FALSE),"✓","✗"))</f>
        <v>0</v>
      </c>
      <c r="AD14" s="31">
        <f>IF(ISBLANK(V14),"",IF(IFERROR(ABS(V14-'_key'!$A$270)&lt;=0.005,FALSE),"✓","✗"))</f>
        <v>0</v>
      </c>
      <c r="AF14" s="34" t="s">
        <v>5462</v>
      </c>
      <c r="AH14" s="29"/>
      <c r="AI14" s="31">
        <f>IF(ISBLANK(AH14),"",IF(IFERROR(ABS(AH14-'_key'!$A$1197)&lt;=0.05,FALSE),"✓","✗"))</f>
        <v>0</v>
      </c>
    </row>
    <row r="15" spans="1:35">
      <c r="A15" s="17" t="s">
        <v>54</v>
      </c>
      <c r="B15" s="28"/>
      <c r="C15" s="28"/>
      <c r="D15" s="28"/>
      <c r="E15" s="29"/>
      <c r="F15" s="30"/>
      <c r="G15" s="30"/>
      <c r="H15" s="37"/>
      <c r="I15" s="30"/>
      <c r="J15" s="30"/>
      <c r="K15" s="37"/>
      <c r="L15" s="28"/>
      <c r="M15" s="38"/>
      <c r="N15" s="30"/>
      <c r="O15" s="28"/>
      <c r="P15" s="28"/>
      <c r="Q15" s="28"/>
      <c r="R15" s="28"/>
      <c r="S15" s="43"/>
      <c r="T15" s="28"/>
      <c r="U15" s="28"/>
      <c r="V15" s="28"/>
      <c r="X15" s="31">
        <f>IF(ISBLANK(H15),"",IF(IFERROR(ABS(H15-'_key'!$A$271)&lt;=5e-05,FALSE),"✓","✗"))</f>
        <v>0</v>
      </c>
      <c r="Y15" s="31">
        <f>IF(ISBLANK(K15),"",IF(IFERROR(ABS(K15-'_key'!$A$272)&lt;=5e-05,FALSE),"✓","✗"))</f>
        <v>0</v>
      </c>
      <c r="Z15" s="31">
        <f>IF(ISBLANK(L15),"",IF(IFERROR(ABS(L15-'_key'!$A$273)&lt;=0.005,FALSE),"✓","✗"))</f>
        <v>0</v>
      </c>
      <c r="AA15" s="31">
        <f>IF(ISBLANK(M15),"",IF(IFERROR(ABS(M15-'_key'!$A$274)&lt;=0.005,FALSE),"✓","✗"))</f>
        <v>0</v>
      </c>
      <c r="AB15" s="31">
        <f>IF(ISBLANK(S15),"",IF(IFERROR(ABS(S15-'_key'!$A$275)&lt;=0.01,FALSE),"✓","✗"))</f>
        <v>0</v>
      </c>
      <c r="AC15" s="31">
        <f>IF(ISBLANK(T15),"",IF(IFERROR(EXACT(T15,'_key'!$A$276),FALSE),"✓","✗"))</f>
        <v>0</v>
      </c>
      <c r="AD15" s="31">
        <f>IF(ISBLANK(V15),"",IF(IFERROR(ABS(V15-'_key'!$A$277)&lt;=0.005,FALSE),"✓","✗"))</f>
        <v>0</v>
      </c>
    </row>
    <row r="16" spans="1:35">
      <c r="A16" s="17" t="s">
        <v>57</v>
      </c>
      <c r="B16" s="28"/>
      <c r="C16" s="28"/>
      <c r="D16" s="28"/>
      <c r="E16" s="29"/>
      <c r="F16" s="30"/>
      <c r="G16" s="30"/>
      <c r="H16" s="37"/>
      <c r="I16" s="30"/>
      <c r="J16" s="30"/>
      <c r="K16" s="37"/>
      <c r="L16" s="28"/>
      <c r="M16" s="38"/>
      <c r="N16" s="30"/>
      <c r="O16" s="28"/>
      <c r="P16" s="28"/>
      <c r="Q16" s="28"/>
      <c r="R16" s="28"/>
      <c r="S16" s="43"/>
      <c r="T16" s="28"/>
      <c r="U16" s="28"/>
      <c r="V16" s="28"/>
      <c r="X16" s="31">
        <f>IF(ISBLANK(H16),"",IF(IFERROR(ABS(H16-'_key'!$A$278)&lt;=5e-05,FALSE),"✓","✗"))</f>
        <v>0</v>
      </c>
      <c r="Y16" s="31">
        <f>IF(ISBLANK(K16),"",IF(IFERROR(ABS(K16-'_key'!$A$279)&lt;=5e-05,FALSE),"✓","✗"))</f>
        <v>0</v>
      </c>
      <c r="Z16" s="31">
        <f>IF(ISBLANK(L16),"",IF(IFERROR(ABS(L16-'_key'!$A$280)&lt;=0.005,FALSE),"✓","✗"))</f>
        <v>0</v>
      </c>
      <c r="AA16" s="31">
        <f>IF(ISBLANK(M16),"",IF(IFERROR(ABS(M16-'_key'!$A$281)&lt;=0.005,FALSE),"✓","✗"))</f>
        <v>0</v>
      </c>
      <c r="AB16" s="31">
        <f>IF(ISBLANK(S16),"",IF(IFERROR(ABS(S16-'_key'!$A$282)&lt;=0.01,FALSE),"✓","✗"))</f>
        <v>0</v>
      </c>
      <c r="AC16" s="31">
        <f>IF(ISBLANK(T16),"",IF(IFERROR(EXACT(T16,'_key'!$A$283),FALSE),"✓","✗"))</f>
        <v>0</v>
      </c>
      <c r="AD16" s="31">
        <f>IF(ISBLANK(V16),"",IF(IFERROR(ABS(V16-'_key'!$A$284)&lt;=0.005,FALSE),"✓","✗"))</f>
        <v>0</v>
      </c>
      <c r="AF16" s="44" t="s">
        <v>5463</v>
      </c>
      <c r="AI16" s="31">
        <f>IF(ISBLANK(AH7),"",IF(IFERROR(ABS(AH7-'_key'!$A$1189)&lt;=0.005,FALSE),"✓","✗"))</f>
        <v>0</v>
      </c>
    </row>
    <row r="17" spans="1:35">
      <c r="A17" s="17" t="s">
        <v>59</v>
      </c>
      <c r="B17" s="28"/>
      <c r="C17" s="28"/>
      <c r="D17" s="28"/>
      <c r="E17" s="29"/>
      <c r="F17" s="30"/>
      <c r="G17" s="30"/>
      <c r="H17" s="37"/>
      <c r="I17" s="30"/>
      <c r="J17" s="30"/>
      <c r="K17" s="37"/>
      <c r="L17" s="28"/>
      <c r="M17" s="38"/>
      <c r="N17" s="30"/>
      <c r="O17" s="28"/>
      <c r="P17" s="28"/>
      <c r="Q17" s="28"/>
      <c r="R17" s="28"/>
      <c r="S17" s="43"/>
      <c r="T17" s="28"/>
      <c r="U17" s="28"/>
      <c r="V17" s="28"/>
      <c r="X17" s="31">
        <f>IF(ISBLANK(H17),"",IF(IFERROR(ABS(H17-'_key'!$A$285)&lt;=5e-05,FALSE),"✓","✗"))</f>
        <v>0</v>
      </c>
      <c r="Y17" s="31">
        <f>IF(ISBLANK(K17),"",IF(IFERROR(ABS(K17-'_key'!$A$286)&lt;=5e-05,FALSE),"✓","✗"))</f>
        <v>0</v>
      </c>
      <c r="Z17" s="31">
        <f>IF(ISBLANK(L17),"",IF(IFERROR(ABS(L17-'_key'!$A$287)&lt;=0.005,FALSE),"✓","✗"))</f>
        <v>0</v>
      </c>
      <c r="AA17" s="31">
        <f>IF(ISBLANK(M17),"",IF(IFERROR(EXACT(M17,'_key'!$A$288),FALSE),"✓","✗"))</f>
        <v>0</v>
      </c>
      <c r="AB17" s="31">
        <f>IF(ISBLANK(S17),"",IF(IFERROR(ABS(S17-'_key'!$A$289)&lt;=0.01,FALSE),"✓","✗"))</f>
        <v>0</v>
      </c>
      <c r="AC17" s="31">
        <f>IF(ISBLANK(T17),"",IF(IFERROR(EXACT(T17,'_key'!$A$290),FALSE),"✓","✗"))</f>
        <v>0</v>
      </c>
      <c r="AD17" s="31">
        <f>IF(ISBLANK(V17),"",IF(IFERROR(ABS(V17-'_key'!$A$291)&lt;=0.005,FALSE),"✓","✗"))</f>
        <v>0</v>
      </c>
      <c r="AI17" s="31">
        <f>IF(ISBLANK(AH8),"",IF(IFERROR(ABS(AH8-'_key'!$A$1191)&lt;=0.005,FALSE),"✓","✗"))</f>
        <v>0</v>
      </c>
    </row>
    <row r="18" spans="1:35">
      <c r="A18" s="17" t="s">
        <v>63</v>
      </c>
      <c r="B18" s="28"/>
      <c r="C18" s="28"/>
      <c r="D18" s="28"/>
      <c r="E18" s="29"/>
      <c r="F18" s="30"/>
      <c r="G18" s="30"/>
      <c r="H18" s="37"/>
      <c r="I18" s="30"/>
      <c r="J18" s="30"/>
      <c r="K18" s="37"/>
      <c r="L18" s="28"/>
      <c r="M18" s="38"/>
      <c r="N18" s="30"/>
      <c r="O18" s="28"/>
      <c r="P18" s="28"/>
      <c r="Q18" s="28"/>
      <c r="R18" s="28"/>
      <c r="S18" s="43"/>
      <c r="T18" s="28"/>
      <c r="U18" s="28"/>
      <c r="V18" s="28"/>
      <c r="X18" s="31">
        <f>IF(ISBLANK(H18),"",IF(IFERROR(ABS(H18-'_key'!$A$292)&lt;=5e-05,FALSE),"✓","✗"))</f>
        <v>0</v>
      </c>
      <c r="Y18" s="31">
        <f>IF(ISBLANK(K18),"",IF(IFERROR(ABS(K18-'_key'!$A$293)&lt;=5e-05,FALSE),"✓","✗"))</f>
        <v>0</v>
      </c>
      <c r="Z18" s="31">
        <f>IF(ISBLANK(L18),"",IF(IFERROR(ABS(L18-'_key'!$A$294)&lt;=0.005,FALSE),"✓","✗"))</f>
        <v>0</v>
      </c>
      <c r="AA18" s="31">
        <f>IF(ISBLANK(M18),"",IF(IFERROR(ABS(M18-'_key'!$A$295)&lt;=0.005,FALSE),"✓","✗"))</f>
        <v>0</v>
      </c>
      <c r="AB18" s="31">
        <f>IF(ISBLANK(S18),"",IF(IFERROR(ABS(S18-'_key'!$A$296)&lt;=0.01,FALSE),"✓","✗"))</f>
        <v>0</v>
      </c>
      <c r="AC18" s="31">
        <f>IF(ISBLANK(T18),"",IF(IFERROR(EXACT(T18,'_key'!$A$297),FALSE),"✓","✗"))</f>
        <v>0</v>
      </c>
      <c r="AD18" s="31">
        <f>IF(ISBLANK(V18),"",IF(IFERROR(ABS(V18-'_key'!$A$298)&lt;=0.005,FALSE),"✓","✗"))</f>
        <v>0</v>
      </c>
      <c r="AI18" s="31">
        <f>IF(ISBLANK(AH9),"",IF(IFERROR(ABS(AH9-'_key'!$A$1193)&lt;=0.005,FALSE),"✓","✗"))</f>
        <v>0</v>
      </c>
    </row>
    <row r="19" spans="1:35">
      <c r="A19" s="17" t="s">
        <v>66</v>
      </c>
      <c r="B19" s="28"/>
      <c r="C19" s="28"/>
      <c r="D19" s="28"/>
      <c r="E19" s="29"/>
      <c r="F19" s="30"/>
      <c r="G19" s="30"/>
      <c r="H19" s="37"/>
      <c r="I19" s="30"/>
      <c r="J19" s="30"/>
      <c r="K19" s="37"/>
      <c r="L19" s="28"/>
      <c r="M19" s="38"/>
      <c r="N19" s="30"/>
      <c r="O19" s="28"/>
      <c r="P19" s="28"/>
      <c r="Q19" s="28"/>
      <c r="R19" s="28"/>
      <c r="S19" s="43"/>
      <c r="T19" s="28"/>
      <c r="U19" s="28"/>
      <c r="V19" s="28"/>
      <c r="X19" s="31">
        <f>IF(ISBLANK(H19),"",IF(IFERROR(ABS(H19-'_key'!$A$299)&lt;=5e-05,FALSE),"✓","✗"))</f>
        <v>0</v>
      </c>
      <c r="Y19" s="31">
        <f>IF(ISBLANK(K19),"",IF(IFERROR(ABS(K19-'_key'!$A$300)&lt;=5e-05,FALSE),"✓","✗"))</f>
        <v>0</v>
      </c>
      <c r="Z19" s="31">
        <f>IF(ISBLANK(L19),"",IF(IFERROR(ABS(L19-'_key'!$A$301)&lt;=0.005,FALSE),"✓","✗"))</f>
        <v>0</v>
      </c>
      <c r="AA19" s="31">
        <f>IF(ISBLANK(M19),"",IF(IFERROR(EXACT(M19,'_key'!$A$302),FALSE),"✓","✗"))</f>
        <v>0</v>
      </c>
      <c r="AB19" s="31">
        <f>IF(ISBLANK(S19),"",IF(IFERROR(ABS(S19-'_key'!$A$303)&lt;=0.01,FALSE),"✓","✗"))</f>
        <v>0</v>
      </c>
      <c r="AC19" s="31">
        <f>IF(ISBLANK(T19),"",IF(IFERROR(EXACT(T19,'_key'!$A$304),FALSE),"✓","✗"))</f>
        <v>0</v>
      </c>
      <c r="AD19" s="31">
        <f>IF(ISBLANK(V19),"",IF(IFERROR(ABS(V19-'_key'!$A$305)&lt;=0.005,FALSE),"✓","✗"))</f>
        <v>0</v>
      </c>
    </row>
    <row r="20" spans="1:35">
      <c r="A20" s="17" t="s">
        <v>69</v>
      </c>
      <c r="B20" s="28"/>
      <c r="C20" s="28"/>
      <c r="D20" s="28"/>
      <c r="E20" s="29"/>
      <c r="F20" s="30"/>
      <c r="G20" s="30"/>
      <c r="H20" s="37"/>
      <c r="I20" s="30"/>
      <c r="J20" s="30"/>
      <c r="K20" s="37"/>
      <c r="L20" s="28"/>
      <c r="M20" s="38"/>
      <c r="N20" s="30"/>
      <c r="O20" s="28"/>
      <c r="P20" s="28"/>
      <c r="Q20" s="28"/>
      <c r="R20" s="28"/>
      <c r="S20" s="43"/>
      <c r="T20" s="28"/>
      <c r="U20" s="28"/>
      <c r="V20" s="28"/>
      <c r="X20" s="31">
        <f>IF(ISBLANK(H20),"",IF(IFERROR(ABS(H20-'_key'!$A$306)&lt;=5e-05,FALSE),"✓","✗"))</f>
        <v>0</v>
      </c>
      <c r="Y20" s="31">
        <f>IF(ISBLANK(K20),"",IF(IFERROR(ABS(K20-'_key'!$A$307)&lt;=5e-05,FALSE),"✓","✗"))</f>
        <v>0</v>
      </c>
      <c r="Z20" s="31">
        <f>IF(ISBLANK(L20),"",IF(IFERROR(ABS(L20-'_key'!$A$308)&lt;=0.005,FALSE),"✓","✗"))</f>
        <v>0</v>
      </c>
      <c r="AA20" s="31">
        <f>IF(ISBLANK(M20),"",IF(IFERROR(ABS(M20-'_key'!$A$309)&lt;=0.005,FALSE),"✓","✗"))</f>
        <v>0</v>
      </c>
      <c r="AB20" s="31">
        <f>IF(ISBLANK(S20),"",IF(IFERROR(ABS(S20-'_key'!$A$310)&lt;=0.01,FALSE),"✓","✗"))</f>
        <v>0</v>
      </c>
      <c r="AC20" s="31">
        <f>IF(ISBLANK(T20),"",IF(IFERROR(EXACT(T20,'_key'!$A$311),FALSE),"✓","✗"))</f>
        <v>0</v>
      </c>
      <c r="AD20" s="31">
        <f>IF(ISBLANK(V20),"",IF(IFERROR(ABS(V20-'_key'!$A$312)&lt;=0.005,FALSE),"✓","✗"))</f>
        <v>0</v>
      </c>
    </row>
    <row r="21" spans="1:35">
      <c r="A21" s="17" t="s">
        <v>71</v>
      </c>
      <c r="B21" s="28"/>
      <c r="C21" s="28"/>
      <c r="D21" s="28"/>
      <c r="E21" s="29"/>
      <c r="F21" s="30"/>
      <c r="G21" s="30"/>
      <c r="H21" s="37"/>
      <c r="I21" s="30"/>
      <c r="J21" s="30"/>
      <c r="K21" s="37"/>
      <c r="L21" s="28"/>
      <c r="M21" s="38"/>
      <c r="N21" s="30"/>
      <c r="O21" s="28"/>
      <c r="P21" s="28"/>
      <c r="Q21" s="28"/>
      <c r="R21" s="28"/>
      <c r="S21" s="43"/>
      <c r="T21" s="28"/>
      <c r="U21" s="28"/>
      <c r="V21" s="28"/>
      <c r="X21" s="31">
        <f>IF(ISBLANK(H21),"",IF(IFERROR(ABS(H21-'_key'!$A$313)&lt;=5e-05,FALSE),"✓","✗"))</f>
        <v>0</v>
      </c>
      <c r="Y21" s="31">
        <f>IF(ISBLANK(K21),"",IF(IFERROR(ABS(K21-'_key'!$A$314)&lt;=5e-05,FALSE),"✓","✗"))</f>
        <v>0</v>
      </c>
      <c r="Z21" s="31">
        <f>IF(ISBLANK(L21),"",IF(IFERROR(ABS(L21-'_key'!$A$315)&lt;=0.005,FALSE),"✓","✗"))</f>
        <v>0</v>
      </c>
      <c r="AA21" s="31">
        <f>IF(ISBLANK(M21),"",IF(IFERROR(ABS(M21-'_key'!$A$316)&lt;=0.005,FALSE),"✓","✗"))</f>
        <v>0</v>
      </c>
      <c r="AB21" s="31">
        <f>IF(ISBLANK(S21),"",IF(IFERROR(ABS(S21-'_key'!$A$317)&lt;=0.01,FALSE),"✓","✗"))</f>
        <v>0</v>
      </c>
      <c r="AC21" s="31">
        <f>IF(ISBLANK(T21),"",IF(IFERROR(EXACT(T21,'_key'!$A$318),FALSE),"✓","✗"))</f>
        <v>0</v>
      </c>
      <c r="AD21" s="31">
        <f>IF(ISBLANK(V21),"",IF(IFERROR(ABS(V21-'_key'!$A$319)&lt;=0.005,FALSE),"✓","✗"))</f>
        <v>0</v>
      </c>
    </row>
    <row r="22" spans="1:35">
      <c r="A22" s="17" t="s">
        <v>75</v>
      </c>
      <c r="B22" s="28"/>
      <c r="C22" s="28"/>
      <c r="D22" s="28"/>
      <c r="E22" s="29"/>
      <c r="F22" s="30"/>
      <c r="G22" s="30"/>
      <c r="H22" s="37"/>
      <c r="I22" s="30"/>
      <c r="J22" s="30"/>
      <c r="K22" s="37"/>
      <c r="L22" s="28"/>
      <c r="M22" s="38"/>
      <c r="N22" s="30"/>
      <c r="O22" s="28"/>
      <c r="P22" s="28"/>
      <c r="Q22" s="28"/>
      <c r="R22" s="28"/>
      <c r="S22" s="43"/>
      <c r="T22" s="28"/>
      <c r="U22" s="28"/>
      <c r="V22" s="28"/>
      <c r="X22" s="31">
        <f>IF(ISBLANK(H22),"",IF(IFERROR(ABS(H22-'_key'!$A$320)&lt;=5e-05,FALSE),"✓","✗"))</f>
        <v>0</v>
      </c>
      <c r="Y22" s="31">
        <f>IF(ISBLANK(K22),"",IF(IFERROR(ABS(K22-'_key'!$A$321)&lt;=5e-05,FALSE),"✓","✗"))</f>
        <v>0</v>
      </c>
      <c r="Z22" s="31">
        <f>IF(ISBLANK(L22),"",IF(IFERROR(ABS(L22-'_key'!$A$322)&lt;=0.005,FALSE),"✓","✗"))</f>
        <v>0</v>
      </c>
      <c r="AA22" s="31">
        <f>IF(ISBLANK(M22),"",IF(IFERROR(ABS(M22-'_key'!$A$323)&lt;=0.005,FALSE),"✓","✗"))</f>
        <v>0</v>
      </c>
      <c r="AB22" s="31">
        <f>IF(ISBLANK(S22),"",IF(IFERROR(ABS(S22-'_key'!$A$324)&lt;=0.01,FALSE),"✓","✗"))</f>
        <v>0</v>
      </c>
      <c r="AC22" s="31">
        <f>IF(ISBLANK(T22),"",IF(IFERROR(EXACT(T22,'_key'!$A$325),FALSE),"✓","✗"))</f>
        <v>0</v>
      </c>
      <c r="AD22" s="31">
        <f>IF(ISBLANK(V22),"",IF(IFERROR(ABS(V22-'_key'!$A$326)&lt;=0.005,FALSE),"✓","✗"))</f>
        <v>0</v>
      </c>
    </row>
    <row r="23" spans="1:35">
      <c r="A23" s="17" t="s">
        <v>78</v>
      </c>
      <c r="B23" s="28"/>
      <c r="C23" s="28"/>
      <c r="D23" s="28"/>
      <c r="E23" s="29"/>
      <c r="F23" s="30"/>
      <c r="G23" s="30"/>
      <c r="H23" s="37"/>
      <c r="I23" s="30"/>
      <c r="J23" s="30"/>
      <c r="K23" s="37"/>
      <c r="L23" s="28"/>
      <c r="M23" s="38"/>
      <c r="N23" s="30"/>
      <c r="O23" s="28"/>
      <c r="P23" s="28"/>
      <c r="Q23" s="28"/>
      <c r="R23" s="28"/>
      <c r="S23" s="43"/>
      <c r="T23" s="28"/>
      <c r="U23" s="28"/>
      <c r="V23" s="28"/>
      <c r="X23" s="31">
        <f>IF(ISBLANK(H23),"",IF(IFERROR(ABS(H23-'_key'!$A$327)&lt;=5e-05,FALSE),"✓","✗"))</f>
        <v>0</v>
      </c>
      <c r="Y23" s="31">
        <f>IF(ISBLANK(K23),"",IF(IFERROR(ABS(K23-'_key'!$A$328)&lt;=5e-05,FALSE),"✓","✗"))</f>
        <v>0</v>
      </c>
      <c r="Z23" s="31">
        <f>IF(ISBLANK(L23),"",IF(IFERROR(ABS(L23-'_key'!$A$329)&lt;=0.005,FALSE),"✓","✗"))</f>
        <v>0</v>
      </c>
      <c r="AA23" s="31">
        <f>IF(ISBLANK(M23),"",IF(IFERROR(ABS(M23-'_key'!$A$330)&lt;=0.005,FALSE),"✓","✗"))</f>
        <v>0</v>
      </c>
      <c r="AB23" s="31">
        <f>IF(ISBLANK(S23),"",IF(IFERROR(ABS(S23-'_key'!$A$331)&lt;=0.01,FALSE),"✓","✗"))</f>
        <v>0</v>
      </c>
      <c r="AC23" s="31">
        <f>IF(ISBLANK(T23),"",IF(IFERROR(EXACT(T23,'_key'!$A$332),FALSE),"✓","✗"))</f>
        <v>0</v>
      </c>
      <c r="AD23" s="31">
        <f>IF(ISBLANK(V23),"",IF(IFERROR(ABS(V23-'_key'!$A$333)&lt;=0.005,FALSE),"✓","✗"))</f>
        <v>0</v>
      </c>
    </row>
    <row r="24" spans="1:35">
      <c r="A24" s="17" t="s">
        <v>81</v>
      </c>
      <c r="B24" s="28"/>
      <c r="C24" s="28"/>
      <c r="D24" s="28"/>
      <c r="E24" s="29"/>
      <c r="F24" s="30"/>
      <c r="G24" s="30"/>
      <c r="H24" s="37"/>
      <c r="I24" s="30"/>
      <c r="J24" s="30"/>
      <c r="K24" s="37"/>
      <c r="L24" s="28"/>
      <c r="M24" s="38"/>
      <c r="N24" s="30"/>
      <c r="O24" s="28"/>
      <c r="P24" s="28"/>
      <c r="Q24" s="28"/>
      <c r="R24" s="28"/>
      <c r="S24" s="43"/>
      <c r="T24" s="28"/>
      <c r="U24" s="28"/>
      <c r="V24" s="28"/>
      <c r="X24" s="31">
        <f>IF(ISBLANK(H24),"",IF(IFERROR(ABS(H24-'_key'!$A$334)&lt;=5e-05,FALSE),"✓","✗"))</f>
        <v>0</v>
      </c>
      <c r="Y24" s="31">
        <f>IF(ISBLANK(K24),"",IF(IFERROR(ABS(K24-'_key'!$A$335)&lt;=5e-05,FALSE),"✓","✗"))</f>
        <v>0</v>
      </c>
      <c r="Z24" s="31">
        <f>IF(ISBLANK(L24),"",IF(IFERROR(ABS(L24-'_key'!$A$336)&lt;=0.005,FALSE),"✓","✗"))</f>
        <v>0</v>
      </c>
      <c r="AA24" s="31">
        <f>IF(ISBLANK(M24),"",IF(IFERROR(ABS(M24-'_key'!$A$337)&lt;=0.005,FALSE),"✓","✗"))</f>
        <v>0</v>
      </c>
      <c r="AB24" s="31">
        <f>IF(ISBLANK(S24),"",IF(IFERROR(ABS(S24-'_key'!$A$338)&lt;=0.01,FALSE),"✓","✗"))</f>
        <v>0</v>
      </c>
      <c r="AC24" s="31">
        <f>IF(ISBLANK(T24),"",IF(IFERROR(EXACT(T24,'_key'!$A$339),FALSE),"✓","✗"))</f>
        <v>0</v>
      </c>
      <c r="AD24" s="31">
        <f>IF(ISBLANK(V24),"",IF(IFERROR(ABS(V24-'_key'!$A$340)&lt;=0.005,FALSE),"✓","✗"))</f>
        <v>0</v>
      </c>
    </row>
    <row r="25" spans="1:35">
      <c r="A25" s="17" t="s">
        <v>83</v>
      </c>
      <c r="B25" s="28"/>
      <c r="C25" s="28"/>
      <c r="D25" s="28"/>
      <c r="E25" s="29"/>
      <c r="F25" s="30"/>
      <c r="G25" s="30"/>
      <c r="H25" s="37"/>
      <c r="I25" s="30"/>
      <c r="J25" s="30"/>
      <c r="K25" s="37"/>
      <c r="L25" s="28"/>
      <c r="M25" s="38"/>
      <c r="N25" s="30"/>
      <c r="O25" s="28"/>
      <c r="P25" s="28"/>
      <c r="Q25" s="28"/>
      <c r="R25" s="28"/>
      <c r="S25" s="43"/>
      <c r="T25" s="28"/>
      <c r="U25" s="28"/>
      <c r="V25" s="28"/>
      <c r="X25" s="31">
        <f>IF(ISBLANK(H25),"",IF(IFERROR(ABS(H25-'_key'!$A$341)&lt;=5e-05,FALSE),"✓","✗"))</f>
        <v>0</v>
      </c>
      <c r="Y25" s="31">
        <f>IF(ISBLANK(K25),"",IF(IFERROR(ABS(K25-'_key'!$A$342)&lt;=5e-05,FALSE),"✓","✗"))</f>
        <v>0</v>
      </c>
      <c r="Z25" s="31">
        <f>IF(ISBLANK(L25),"",IF(IFERROR(ABS(L25-'_key'!$A$343)&lt;=0.005,FALSE),"✓","✗"))</f>
        <v>0</v>
      </c>
      <c r="AA25" s="31">
        <f>IF(ISBLANK(M25),"",IF(IFERROR(ABS(M25-'_key'!$A$344)&lt;=0.005,FALSE),"✓","✗"))</f>
        <v>0</v>
      </c>
      <c r="AB25" s="31">
        <f>IF(ISBLANK(S25),"",IF(IFERROR(ABS(S25-'_key'!$A$345)&lt;=0.01,FALSE),"✓","✗"))</f>
        <v>0</v>
      </c>
      <c r="AC25" s="31">
        <f>IF(ISBLANK(T25),"",IF(IFERROR(EXACT(T25,'_key'!$A$346),FALSE),"✓","✗"))</f>
        <v>0</v>
      </c>
      <c r="AD25" s="31">
        <f>IF(ISBLANK(V25),"",IF(IFERROR(ABS(V25-'_key'!$A$347)&lt;=0.005,FALSE),"✓","✗"))</f>
        <v>0</v>
      </c>
    </row>
    <row r="26" spans="1:35">
      <c r="A26" s="17" t="s">
        <v>85</v>
      </c>
      <c r="B26" s="28"/>
      <c r="C26" s="28"/>
      <c r="D26" s="28"/>
      <c r="E26" s="29"/>
      <c r="F26" s="30"/>
      <c r="G26" s="30"/>
      <c r="H26" s="37"/>
      <c r="I26" s="30"/>
      <c r="J26" s="30"/>
      <c r="K26" s="37"/>
      <c r="L26" s="28"/>
      <c r="M26" s="38"/>
      <c r="N26" s="30"/>
      <c r="O26" s="28"/>
      <c r="P26" s="28"/>
      <c r="Q26" s="28"/>
      <c r="R26" s="28"/>
      <c r="S26" s="43"/>
      <c r="T26" s="28"/>
      <c r="U26" s="28"/>
      <c r="V26" s="28"/>
      <c r="X26" s="31">
        <f>IF(ISBLANK(H26),"",IF(IFERROR(ABS(H26-'_key'!$A$348)&lt;=5e-05,FALSE),"✓","✗"))</f>
        <v>0</v>
      </c>
      <c r="Y26" s="31">
        <f>IF(ISBLANK(K26),"",IF(IFERROR(ABS(K26-'_key'!$A$349)&lt;=5e-05,FALSE),"✓","✗"))</f>
        <v>0</v>
      </c>
      <c r="Z26" s="31">
        <f>IF(ISBLANK(L26),"",IF(IFERROR(ABS(L26-'_key'!$A$350)&lt;=0.005,FALSE),"✓","✗"))</f>
        <v>0</v>
      </c>
      <c r="AA26" s="31">
        <f>IF(ISBLANK(M26),"",IF(IFERROR(EXACT(M26,'_key'!$A$351),FALSE),"✓","✗"))</f>
        <v>0</v>
      </c>
      <c r="AB26" s="31">
        <f>IF(ISBLANK(S26),"",IF(IFERROR(ABS(S26-'_key'!$A$352)&lt;=0.01,FALSE),"✓","✗"))</f>
        <v>0</v>
      </c>
      <c r="AC26" s="31">
        <f>IF(ISBLANK(T26),"",IF(IFERROR(EXACT(T26,'_key'!$A$353),FALSE),"✓","✗"))</f>
        <v>0</v>
      </c>
      <c r="AD26" s="31">
        <f>IF(ISBLANK(V26),"",IF(IFERROR(ABS(V26-'_key'!$A$354)&lt;=0.005,FALSE),"✓","✗"))</f>
        <v>0</v>
      </c>
    </row>
    <row r="27" spans="1:35">
      <c r="A27" s="17" t="s">
        <v>87</v>
      </c>
      <c r="B27" s="28"/>
      <c r="C27" s="28"/>
      <c r="D27" s="28"/>
      <c r="E27" s="29"/>
      <c r="F27" s="30"/>
      <c r="G27" s="30"/>
      <c r="H27" s="37"/>
      <c r="I27" s="30"/>
      <c r="J27" s="30"/>
      <c r="K27" s="37"/>
      <c r="L27" s="28"/>
      <c r="M27" s="38"/>
      <c r="N27" s="30"/>
      <c r="O27" s="28"/>
      <c r="P27" s="28"/>
      <c r="Q27" s="28"/>
      <c r="R27" s="28"/>
      <c r="S27" s="43"/>
      <c r="T27" s="28"/>
      <c r="U27" s="28"/>
      <c r="V27" s="28"/>
      <c r="X27" s="31">
        <f>IF(ISBLANK(H27),"",IF(IFERROR(ABS(H27-'_key'!$A$355)&lt;=5e-05,FALSE),"✓","✗"))</f>
        <v>0</v>
      </c>
      <c r="Y27" s="31">
        <f>IF(ISBLANK(K27),"",IF(IFERROR(ABS(K27-'_key'!$A$356)&lt;=5e-05,FALSE),"✓","✗"))</f>
        <v>0</v>
      </c>
      <c r="Z27" s="31">
        <f>IF(ISBLANK(L27),"",IF(IFERROR(ABS(L27-'_key'!$A$357)&lt;=0.005,FALSE),"✓","✗"))</f>
        <v>0</v>
      </c>
      <c r="AA27" s="31">
        <f>IF(ISBLANK(M27),"",IF(IFERROR(ABS(M27-'_key'!$A$358)&lt;=0.005,FALSE),"✓","✗"))</f>
        <v>0</v>
      </c>
      <c r="AB27" s="31">
        <f>IF(ISBLANK(S27),"",IF(IFERROR(ABS(S27-'_key'!$A$359)&lt;=0.01,FALSE),"✓","✗"))</f>
        <v>0</v>
      </c>
      <c r="AC27" s="31">
        <f>IF(ISBLANK(T27),"",IF(IFERROR(EXACT(T27,'_key'!$A$360),FALSE),"✓","✗"))</f>
        <v>0</v>
      </c>
      <c r="AD27" s="31">
        <f>IF(ISBLANK(V27),"",IF(IFERROR(ABS(V27-'_key'!$A$361)&lt;=0.005,FALSE),"✓","✗"))</f>
        <v>0</v>
      </c>
    </row>
    <row r="28" spans="1:35">
      <c r="A28" s="17" t="s">
        <v>90</v>
      </c>
      <c r="B28" s="28"/>
      <c r="C28" s="28"/>
      <c r="D28" s="28"/>
      <c r="E28" s="29"/>
      <c r="F28" s="30"/>
      <c r="G28" s="30"/>
      <c r="H28" s="37"/>
      <c r="I28" s="30"/>
      <c r="J28" s="30"/>
      <c r="K28" s="37"/>
      <c r="L28" s="28"/>
      <c r="M28" s="38"/>
      <c r="N28" s="30"/>
      <c r="O28" s="28"/>
      <c r="P28" s="28"/>
      <c r="Q28" s="28"/>
      <c r="R28" s="28"/>
      <c r="S28" s="43"/>
      <c r="T28" s="28"/>
      <c r="U28" s="28"/>
      <c r="V28" s="28"/>
      <c r="X28" s="31">
        <f>IF(ISBLANK(H28),"",IF(IFERROR(ABS(H28-'_key'!$A$362)&lt;=5e-05,FALSE),"✓","✗"))</f>
        <v>0</v>
      </c>
      <c r="Y28" s="31">
        <f>IF(ISBLANK(K28),"",IF(IFERROR(ABS(K28-'_key'!$A$363)&lt;=5e-05,FALSE),"✓","✗"))</f>
        <v>0</v>
      </c>
      <c r="Z28" s="31">
        <f>IF(ISBLANK(L28),"",IF(IFERROR(ABS(L28-'_key'!$A$364)&lt;=0.005,FALSE),"✓","✗"))</f>
        <v>0</v>
      </c>
      <c r="AA28" s="31">
        <f>IF(ISBLANK(M28),"",IF(IFERROR(ABS(M28-'_key'!$A$365)&lt;=0.005,FALSE),"✓","✗"))</f>
        <v>0</v>
      </c>
      <c r="AB28" s="31">
        <f>IF(ISBLANK(S28),"",IF(IFERROR(ABS(S28-'_key'!$A$366)&lt;=0.01,FALSE),"✓","✗"))</f>
        <v>0</v>
      </c>
      <c r="AC28" s="31">
        <f>IF(ISBLANK(T28),"",IF(IFERROR(EXACT(T28,'_key'!$A$367),FALSE),"✓","✗"))</f>
        <v>0</v>
      </c>
      <c r="AD28" s="31">
        <f>IF(ISBLANK(V28),"",IF(IFERROR(ABS(V28-'_key'!$A$368)&lt;=0.005,FALSE),"✓","✗"))</f>
        <v>0</v>
      </c>
    </row>
    <row r="29" spans="1:35">
      <c r="A29" s="17" t="s">
        <v>94</v>
      </c>
      <c r="B29" s="28"/>
      <c r="C29" s="28"/>
      <c r="D29" s="28"/>
      <c r="E29" s="29"/>
      <c r="F29" s="30"/>
      <c r="G29" s="30"/>
      <c r="H29" s="37"/>
      <c r="I29" s="30"/>
      <c r="J29" s="30"/>
      <c r="K29" s="37"/>
      <c r="L29" s="28"/>
      <c r="M29" s="38"/>
      <c r="N29" s="30"/>
      <c r="O29" s="28"/>
      <c r="P29" s="28"/>
      <c r="Q29" s="28"/>
      <c r="R29" s="28"/>
      <c r="S29" s="43"/>
      <c r="T29" s="28"/>
      <c r="U29" s="28"/>
      <c r="V29" s="28"/>
      <c r="X29" s="31">
        <f>IF(ISBLANK(H29),"",IF(IFERROR(ABS(H29-'_key'!$A$369)&lt;=5e-05,FALSE),"✓","✗"))</f>
        <v>0</v>
      </c>
      <c r="Y29" s="31">
        <f>IF(ISBLANK(K29),"",IF(IFERROR(ABS(K29-'_key'!$A$370)&lt;=5e-05,FALSE),"✓","✗"))</f>
        <v>0</v>
      </c>
      <c r="Z29" s="31">
        <f>IF(ISBLANK(L29),"",IF(IFERROR(ABS(L29-'_key'!$A$371)&lt;=0.005,FALSE),"✓","✗"))</f>
        <v>0</v>
      </c>
      <c r="AA29" s="31">
        <f>IF(ISBLANK(M29),"",IF(IFERROR(ABS(M29-'_key'!$A$372)&lt;=0.005,FALSE),"✓","✗"))</f>
        <v>0</v>
      </c>
      <c r="AB29" s="31">
        <f>IF(ISBLANK(S29),"",IF(IFERROR(ABS(S29-'_key'!$A$373)&lt;=0.01,FALSE),"✓","✗"))</f>
        <v>0</v>
      </c>
      <c r="AC29" s="31">
        <f>IF(ISBLANK(T29),"",IF(IFERROR(EXACT(T29,'_key'!$A$374),FALSE),"✓","✗"))</f>
        <v>0</v>
      </c>
      <c r="AD29" s="31">
        <f>IF(ISBLANK(V29),"",IF(IFERROR(ABS(V29-'_key'!$A$375)&lt;=0.005,FALSE),"✓","✗"))</f>
        <v>0</v>
      </c>
    </row>
    <row r="30" spans="1:35">
      <c r="A30" s="17" t="s">
        <v>96</v>
      </c>
      <c r="B30" s="28"/>
      <c r="C30" s="28"/>
      <c r="D30" s="28"/>
      <c r="E30" s="29"/>
      <c r="F30" s="30"/>
      <c r="G30" s="30"/>
      <c r="H30" s="37"/>
      <c r="I30" s="30"/>
      <c r="J30" s="30"/>
      <c r="K30" s="37"/>
      <c r="L30" s="28"/>
      <c r="M30" s="38"/>
      <c r="N30" s="30"/>
      <c r="O30" s="28"/>
      <c r="P30" s="28"/>
      <c r="Q30" s="28"/>
      <c r="R30" s="28"/>
      <c r="S30" s="43"/>
      <c r="T30" s="28"/>
      <c r="U30" s="28"/>
      <c r="V30" s="28"/>
      <c r="X30" s="31">
        <f>IF(ISBLANK(H30),"",IF(IFERROR(ABS(H30-'_key'!$A$376)&lt;=5e-05,FALSE),"✓","✗"))</f>
        <v>0</v>
      </c>
      <c r="Y30" s="31">
        <f>IF(ISBLANK(K30),"",IF(IFERROR(ABS(K30-'_key'!$A$377)&lt;=5e-05,FALSE),"✓","✗"))</f>
        <v>0</v>
      </c>
      <c r="Z30" s="31">
        <f>IF(ISBLANK(L30),"",IF(IFERROR(ABS(L30-'_key'!$A$378)&lt;=0.005,FALSE),"✓","✗"))</f>
        <v>0</v>
      </c>
      <c r="AA30" s="31">
        <f>IF(ISBLANK(M30),"",IF(IFERROR(ABS(M30-'_key'!$A$379)&lt;=0.005,FALSE),"✓","✗"))</f>
        <v>0</v>
      </c>
      <c r="AB30" s="31">
        <f>IF(ISBLANK(S30),"",IF(IFERROR(ABS(S30-'_key'!$A$380)&lt;=0.01,FALSE),"✓","✗"))</f>
        <v>0</v>
      </c>
      <c r="AC30" s="31">
        <f>IF(ISBLANK(T30),"",IF(IFERROR(EXACT(T30,'_key'!$A$381),FALSE),"✓","✗"))</f>
        <v>0</v>
      </c>
      <c r="AD30" s="31">
        <f>IF(ISBLANK(V30),"",IF(IFERROR(ABS(V30-'_key'!$A$382)&lt;=0.005,FALSE),"✓","✗"))</f>
        <v>0</v>
      </c>
    </row>
    <row r="31" spans="1:35">
      <c r="A31" s="17" t="s">
        <v>98</v>
      </c>
      <c r="B31" s="28"/>
      <c r="C31" s="28"/>
      <c r="D31" s="28"/>
      <c r="E31" s="29"/>
      <c r="F31" s="30"/>
      <c r="G31" s="30"/>
      <c r="H31" s="37"/>
      <c r="I31" s="30"/>
      <c r="J31" s="30"/>
      <c r="K31" s="37"/>
      <c r="L31" s="28"/>
      <c r="M31" s="38"/>
      <c r="N31" s="30"/>
      <c r="O31" s="28"/>
      <c r="P31" s="28"/>
      <c r="Q31" s="28"/>
      <c r="R31" s="28"/>
      <c r="S31" s="43"/>
      <c r="T31" s="28"/>
      <c r="U31" s="28"/>
      <c r="V31" s="28"/>
      <c r="X31" s="31">
        <f>IF(ISBLANK(H31),"",IF(IFERROR(ABS(H31-'_key'!$A$383)&lt;=5e-05,FALSE),"✓","✗"))</f>
        <v>0</v>
      </c>
      <c r="Y31" s="31">
        <f>IF(ISBLANK(K31),"",IF(IFERROR(ABS(K31-'_key'!$A$384)&lt;=5e-05,FALSE),"✓","✗"))</f>
        <v>0</v>
      </c>
      <c r="Z31" s="31">
        <f>IF(ISBLANK(L31),"",IF(IFERROR(ABS(L31-'_key'!$A$385)&lt;=0.005,FALSE),"✓","✗"))</f>
        <v>0</v>
      </c>
      <c r="AA31" s="31">
        <f>IF(ISBLANK(M31),"",IF(IFERROR(ABS(M31-'_key'!$A$386)&lt;=0.005,FALSE),"✓","✗"))</f>
        <v>0</v>
      </c>
      <c r="AB31" s="31">
        <f>IF(ISBLANK(S31),"",IF(IFERROR(ABS(S31-'_key'!$A$387)&lt;=0.01,FALSE),"✓","✗"))</f>
        <v>0</v>
      </c>
      <c r="AC31" s="31">
        <f>IF(ISBLANK(T31),"",IF(IFERROR(EXACT(T31,'_key'!$A$388),FALSE),"✓","✗"))</f>
        <v>0</v>
      </c>
      <c r="AD31" s="31">
        <f>IF(ISBLANK(V31),"",IF(IFERROR(ABS(V31-'_key'!$A$389)&lt;=0.005,FALSE),"✓","✗"))</f>
        <v>0</v>
      </c>
    </row>
    <row r="32" spans="1:35">
      <c r="A32" s="17" t="s">
        <v>100</v>
      </c>
      <c r="B32" s="28"/>
      <c r="C32" s="28"/>
      <c r="D32" s="28"/>
      <c r="E32" s="29"/>
      <c r="F32" s="30"/>
      <c r="G32" s="30"/>
      <c r="H32" s="37"/>
      <c r="I32" s="30"/>
      <c r="J32" s="30"/>
      <c r="K32" s="37"/>
      <c r="L32" s="28"/>
      <c r="M32" s="38"/>
      <c r="N32" s="30"/>
      <c r="O32" s="28"/>
      <c r="P32" s="28"/>
      <c r="Q32" s="28"/>
      <c r="R32" s="28"/>
      <c r="S32" s="43"/>
      <c r="T32" s="28"/>
      <c r="U32" s="28"/>
      <c r="V32" s="28"/>
      <c r="X32" s="31">
        <f>IF(ISBLANK(H32),"",IF(IFERROR(ABS(H32-'_key'!$A$390)&lt;=5e-05,FALSE),"✓","✗"))</f>
        <v>0</v>
      </c>
      <c r="Y32" s="31">
        <f>IF(ISBLANK(K32),"",IF(IFERROR(ABS(K32-'_key'!$A$391)&lt;=5e-05,FALSE),"✓","✗"))</f>
        <v>0</v>
      </c>
      <c r="Z32" s="31">
        <f>IF(ISBLANK(L32),"",IF(IFERROR(ABS(L32-'_key'!$A$392)&lt;=0.005,FALSE),"✓","✗"))</f>
        <v>0</v>
      </c>
      <c r="AA32" s="31">
        <f>IF(ISBLANK(M32),"",IF(IFERROR(EXACT(M32,'_key'!$A$393),FALSE),"✓","✗"))</f>
        <v>0</v>
      </c>
      <c r="AB32" s="31">
        <f>IF(ISBLANK(S32),"",IF(IFERROR(ABS(S32-'_key'!$A$394)&lt;=0.01,FALSE),"✓","✗"))</f>
        <v>0</v>
      </c>
      <c r="AC32" s="31">
        <f>IF(ISBLANK(T32),"",IF(IFERROR(EXACT(T32,'_key'!$A$395),FALSE),"✓","✗"))</f>
        <v>0</v>
      </c>
      <c r="AD32" s="31">
        <f>IF(ISBLANK(V32),"",IF(IFERROR(ABS(V32-'_key'!$A$396)&lt;=0.005,FALSE),"✓","✗"))</f>
        <v>0</v>
      </c>
    </row>
    <row r="33" spans="1:30">
      <c r="A33" s="17" t="s">
        <v>104</v>
      </c>
      <c r="B33" s="28"/>
      <c r="C33" s="28"/>
      <c r="D33" s="28"/>
      <c r="E33" s="29"/>
      <c r="F33" s="30"/>
      <c r="G33" s="30"/>
      <c r="H33" s="37"/>
      <c r="I33" s="30"/>
      <c r="J33" s="30"/>
      <c r="K33" s="37"/>
      <c r="L33" s="28"/>
      <c r="M33" s="38"/>
      <c r="N33" s="30"/>
      <c r="O33" s="28"/>
      <c r="P33" s="28"/>
      <c r="Q33" s="28"/>
      <c r="R33" s="28"/>
      <c r="S33" s="43"/>
      <c r="T33" s="28"/>
      <c r="U33" s="28"/>
      <c r="V33" s="28"/>
      <c r="X33" s="31">
        <f>IF(ISBLANK(H33),"",IF(IFERROR(ABS(H33-'_key'!$A$397)&lt;=5e-05,FALSE),"✓","✗"))</f>
        <v>0</v>
      </c>
      <c r="Y33" s="31">
        <f>IF(ISBLANK(K33),"",IF(IFERROR(ABS(K33-'_key'!$A$398)&lt;=5e-05,FALSE),"✓","✗"))</f>
        <v>0</v>
      </c>
      <c r="Z33" s="31">
        <f>IF(ISBLANK(L33),"",IF(IFERROR(ABS(L33-'_key'!$A$399)&lt;=0.005,FALSE),"✓","✗"))</f>
        <v>0</v>
      </c>
      <c r="AA33" s="31">
        <f>IF(ISBLANK(M33),"",IF(IFERROR(ABS(M33-'_key'!$A$400)&lt;=0.005,FALSE),"✓","✗"))</f>
        <v>0</v>
      </c>
      <c r="AB33" s="31">
        <f>IF(ISBLANK(S33),"",IF(IFERROR(ABS(S33-'_key'!$A$401)&lt;=0.01,FALSE),"✓","✗"))</f>
        <v>0</v>
      </c>
      <c r="AC33" s="31">
        <f>IF(ISBLANK(T33),"",IF(IFERROR(EXACT(T33,'_key'!$A$402),FALSE),"✓","✗"))</f>
        <v>0</v>
      </c>
      <c r="AD33" s="31">
        <f>IF(ISBLANK(V33),"",IF(IFERROR(ABS(V33-'_key'!$A$403)&lt;=0.005,FALSE),"✓","✗"))</f>
        <v>0</v>
      </c>
    </row>
    <row r="34" spans="1:30">
      <c r="A34" s="17" t="s">
        <v>106</v>
      </c>
      <c r="B34" s="28"/>
      <c r="C34" s="28"/>
      <c r="D34" s="28"/>
      <c r="E34" s="29"/>
      <c r="F34" s="30"/>
      <c r="G34" s="30"/>
      <c r="H34" s="37"/>
      <c r="I34" s="30"/>
      <c r="J34" s="30"/>
      <c r="K34" s="37"/>
      <c r="L34" s="28"/>
      <c r="M34" s="38"/>
      <c r="N34" s="30"/>
      <c r="O34" s="28"/>
      <c r="P34" s="28"/>
      <c r="Q34" s="28"/>
      <c r="R34" s="28"/>
      <c r="S34" s="43"/>
      <c r="T34" s="28"/>
      <c r="U34" s="28"/>
      <c r="V34" s="28"/>
      <c r="X34" s="31">
        <f>IF(ISBLANK(H34),"",IF(IFERROR(ABS(H34-'_key'!$A$404)&lt;=5e-05,FALSE),"✓","✗"))</f>
        <v>0</v>
      </c>
      <c r="Y34" s="31">
        <f>IF(ISBLANK(K34),"",IF(IFERROR(ABS(K34-'_key'!$A$405)&lt;=5e-05,FALSE),"✓","✗"))</f>
        <v>0</v>
      </c>
      <c r="Z34" s="31">
        <f>IF(ISBLANK(L34),"",IF(IFERROR(ABS(L34-'_key'!$A$406)&lt;=0.005,FALSE),"✓","✗"))</f>
        <v>0</v>
      </c>
      <c r="AA34" s="31">
        <f>IF(ISBLANK(M34),"",IF(IFERROR(ABS(M34-'_key'!$A$407)&lt;=0.005,FALSE),"✓","✗"))</f>
        <v>0</v>
      </c>
      <c r="AB34" s="31">
        <f>IF(ISBLANK(S34),"",IF(IFERROR(ABS(S34-'_key'!$A$408)&lt;=0.01,FALSE),"✓","✗"))</f>
        <v>0</v>
      </c>
      <c r="AC34" s="31">
        <f>IF(ISBLANK(T34),"",IF(IFERROR(EXACT(T34,'_key'!$A$409),FALSE),"✓","✗"))</f>
        <v>0</v>
      </c>
      <c r="AD34" s="31">
        <f>IF(ISBLANK(V34),"",IF(IFERROR(ABS(V34-'_key'!$A$410)&lt;=0.005,FALSE),"✓","✗"))</f>
        <v>0</v>
      </c>
    </row>
    <row r="35" spans="1:30">
      <c r="A35" s="17" t="s">
        <v>108</v>
      </c>
      <c r="B35" s="28"/>
      <c r="C35" s="28"/>
      <c r="D35" s="28"/>
      <c r="E35" s="29"/>
      <c r="F35" s="30"/>
      <c r="G35" s="30"/>
      <c r="H35" s="37"/>
      <c r="I35" s="30"/>
      <c r="J35" s="30"/>
      <c r="K35" s="37"/>
      <c r="L35" s="28"/>
      <c r="M35" s="38"/>
      <c r="N35" s="30"/>
      <c r="O35" s="28"/>
      <c r="P35" s="28"/>
      <c r="Q35" s="28"/>
      <c r="R35" s="28"/>
      <c r="S35" s="43"/>
      <c r="T35" s="28"/>
      <c r="U35" s="28"/>
      <c r="V35" s="28"/>
      <c r="X35" s="31">
        <f>IF(ISBLANK(H35),"",IF(IFERROR(ABS(H35-'_key'!$A$411)&lt;=5e-05,FALSE),"✓","✗"))</f>
        <v>0</v>
      </c>
      <c r="Y35" s="31">
        <f>IF(ISBLANK(K35),"",IF(IFERROR(ABS(K35-'_key'!$A$412)&lt;=5e-05,FALSE),"✓","✗"))</f>
        <v>0</v>
      </c>
      <c r="Z35" s="31">
        <f>IF(ISBLANK(L35),"",IF(IFERROR(ABS(L35-'_key'!$A$413)&lt;=0.005,FALSE),"✓","✗"))</f>
        <v>0</v>
      </c>
      <c r="AA35" s="31">
        <f>IF(ISBLANK(M35),"",IF(IFERROR(EXACT(M35,'_key'!$A$414),FALSE),"✓","✗"))</f>
        <v>0</v>
      </c>
      <c r="AB35" s="31">
        <f>IF(ISBLANK(S35),"",IF(IFERROR(ABS(S35-'_key'!$A$415)&lt;=0.01,FALSE),"✓","✗"))</f>
        <v>0</v>
      </c>
      <c r="AC35" s="31">
        <f>IF(ISBLANK(T35),"",IF(IFERROR(EXACT(T35,'_key'!$A$416),FALSE),"✓","✗"))</f>
        <v>0</v>
      </c>
      <c r="AD35" s="31">
        <f>IF(ISBLANK(V35),"",IF(IFERROR(ABS(V35-'_key'!$A$417)&lt;=0.005,FALSE),"✓","✗"))</f>
        <v>0</v>
      </c>
    </row>
    <row r="36" spans="1:30">
      <c r="A36" s="17" t="s">
        <v>110</v>
      </c>
      <c r="B36" s="28"/>
      <c r="C36" s="28"/>
      <c r="D36" s="28"/>
      <c r="E36" s="29"/>
      <c r="F36" s="30"/>
      <c r="G36" s="30"/>
      <c r="H36" s="37"/>
      <c r="I36" s="30"/>
      <c r="J36" s="30"/>
      <c r="K36" s="37"/>
      <c r="L36" s="28"/>
      <c r="M36" s="38"/>
      <c r="N36" s="30"/>
      <c r="O36" s="28"/>
      <c r="P36" s="28"/>
      <c r="Q36" s="28"/>
      <c r="R36" s="28"/>
      <c r="S36" s="43"/>
      <c r="T36" s="28"/>
      <c r="U36" s="28"/>
      <c r="V36" s="28"/>
      <c r="X36" s="31">
        <f>IF(ISBLANK(H36),"",IF(IFERROR(ABS(H36-'_key'!$A$418)&lt;=5e-05,FALSE),"✓","✗"))</f>
        <v>0</v>
      </c>
      <c r="Y36" s="31">
        <f>IF(ISBLANK(K36),"",IF(IFERROR(ABS(K36-'_key'!$A$419)&lt;=5e-05,FALSE),"✓","✗"))</f>
        <v>0</v>
      </c>
      <c r="Z36" s="31">
        <f>IF(ISBLANK(L36),"",IF(IFERROR(ABS(L36-'_key'!$A$420)&lt;=0.005,FALSE),"✓","✗"))</f>
        <v>0</v>
      </c>
      <c r="AA36" s="31">
        <f>IF(ISBLANK(M36),"",IF(IFERROR(ABS(M36-'_key'!$A$421)&lt;=0.005,FALSE),"✓","✗"))</f>
        <v>0</v>
      </c>
      <c r="AB36" s="31">
        <f>IF(ISBLANK(S36),"",IF(IFERROR(ABS(S36-'_key'!$A$422)&lt;=0.01,FALSE),"✓","✗"))</f>
        <v>0</v>
      </c>
      <c r="AC36" s="31">
        <f>IF(ISBLANK(T36),"",IF(IFERROR(EXACT(T36,'_key'!$A$423),FALSE),"✓","✗"))</f>
        <v>0</v>
      </c>
      <c r="AD36" s="31">
        <f>IF(ISBLANK(V36),"",IF(IFERROR(ABS(V36-'_key'!$A$424)&lt;=0.005,FALSE),"✓","✗"))</f>
        <v>0</v>
      </c>
    </row>
    <row r="37" spans="1:30">
      <c r="A37" s="17" t="s">
        <v>112</v>
      </c>
      <c r="B37" s="28"/>
      <c r="C37" s="28"/>
      <c r="D37" s="28"/>
      <c r="E37" s="29"/>
      <c r="F37" s="30"/>
      <c r="G37" s="30"/>
      <c r="H37" s="37"/>
      <c r="I37" s="30"/>
      <c r="J37" s="30"/>
      <c r="K37" s="37"/>
      <c r="L37" s="28"/>
      <c r="M37" s="38"/>
      <c r="N37" s="30"/>
      <c r="O37" s="28"/>
      <c r="P37" s="28"/>
      <c r="Q37" s="28"/>
      <c r="R37" s="28"/>
      <c r="S37" s="43"/>
      <c r="T37" s="28"/>
      <c r="U37" s="28"/>
      <c r="V37" s="28"/>
      <c r="X37" s="31">
        <f>IF(ISBLANK(H37),"",IF(IFERROR(ABS(H37-'_key'!$A$425)&lt;=5e-05,FALSE),"✓","✗"))</f>
        <v>0</v>
      </c>
      <c r="Y37" s="31">
        <f>IF(ISBLANK(K37),"",IF(IFERROR(ABS(K37-'_key'!$A$426)&lt;=5e-05,FALSE),"✓","✗"))</f>
        <v>0</v>
      </c>
      <c r="Z37" s="31">
        <f>IF(ISBLANK(L37),"",IF(IFERROR(ABS(L37-'_key'!$A$427)&lt;=0.005,FALSE),"✓","✗"))</f>
        <v>0</v>
      </c>
      <c r="AA37" s="31">
        <f>IF(ISBLANK(M37),"",IF(IFERROR(EXACT(M37,'_key'!$A$428),FALSE),"✓","✗"))</f>
        <v>0</v>
      </c>
      <c r="AB37" s="31">
        <f>IF(ISBLANK(S37),"",IF(IFERROR(ABS(S37-'_key'!$A$429)&lt;=0.01,FALSE),"✓","✗"))</f>
        <v>0</v>
      </c>
      <c r="AC37" s="31">
        <f>IF(ISBLANK(T37),"",IF(IFERROR(EXACT(T37,'_key'!$A$430),FALSE),"✓","✗"))</f>
        <v>0</v>
      </c>
      <c r="AD37" s="31">
        <f>IF(ISBLANK(V37),"",IF(IFERROR(ABS(V37-'_key'!$A$431)&lt;=0.005,FALSE),"✓","✗"))</f>
        <v>0</v>
      </c>
    </row>
    <row r="38" spans="1:30">
      <c r="A38" s="17" t="s">
        <v>114</v>
      </c>
      <c r="B38" s="28"/>
      <c r="C38" s="28"/>
      <c r="D38" s="28"/>
      <c r="E38" s="29"/>
      <c r="F38" s="30"/>
      <c r="G38" s="30"/>
      <c r="H38" s="37"/>
      <c r="I38" s="30"/>
      <c r="J38" s="30"/>
      <c r="K38" s="37"/>
      <c r="L38" s="28"/>
      <c r="M38" s="38"/>
      <c r="N38" s="30"/>
      <c r="O38" s="28"/>
      <c r="P38" s="28"/>
      <c r="Q38" s="28"/>
      <c r="R38" s="28"/>
      <c r="S38" s="43"/>
      <c r="T38" s="28"/>
      <c r="U38" s="28"/>
      <c r="V38" s="28"/>
      <c r="X38" s="31">
        <f>IF(ISBLANK(H38),"",IF(IFERROR(ABS(H38-'_key'!$A$432)&lt;=5e-05,FALSE),"✓","✗"))</f>
        <v>0</v>
      </c>
      <c r="Y38" s="31">
        <f>IF(ISBLANK(K38),"",IF(IFERROR(ABS(K38-'_key'!$A$433)&lt;=5e-05,FALSE),"✓","✗"))</f>
        <v>0</v>
      </c>
      <c r="Z38" s="31">
        <f>IF(ISBLANK(L38),"",IF(IFERROR(ABS(L38-'_key'!$A$434)&lt;=0.005,FALSE),"✓","✗"))</f>
        <v>0</v>
      </c>
      <c r="AA38" s="31">
        <f>IF(ISBLANK(M38),"",IF(IFERROR(ABS(M38-'_key'!$A$435)&lt;=0.005,FALSE),"✓","✗"))</f>
        <v>0</v>
      </c>
      <c r="AB38" s="31">
        <f>IF(ISBLANK(S38),"",IF(IFERROR(ABS(S38-'_key'!$A$436)&lt;=0.01,FALSE),"✓","✗"))</f>
        <v>0</v>
      </c>
      <c r="AC38" s="31">
        <f>IF(ISBLANK(T38),"",IF(IFERROR(EXACT(T38,'_key'!$A$437),FALSE),"✓","✗"))</f>
        <v>0</v>
      </c>
      <c r="AD38" s="31">
        <f>IF(ISBLANK(V38),"",IF(IFERROR(ABS(V38-'_key'!$A$438)&lt;=0.005,FALSE),"✓","✗"))</f>
        <v>0</v>
      </c>
    </row>
    <row r="39" spans="1:30">
      <c r="A39" s="17" t="s">
        <v>116</v>
      </c>
      <c r="B39" s="28"/>
      <c r="C39" s="28"/>
      <c r="D39" s="28"/>
      <c r="E39" s="29"/>
      <c r="F39" s="30"/>
      <c r="G39" s="30"/>
      <c r="H39" s="37"/>
      <c r="I39" s="30"/>
      <c r="J39" s="30"/>
      <c r="K39" s="37"/>
      <c r="L39" s="28"/>
      <c r="M39" s="38"/>
      <c r="N39" s="30"/>
      <c r="O39" s="28"/>
      <c r="P39" s="28"/>
      <c r="Q39" s="28"/>
      <c r="R39" s="28"/>
      <c r="S39" s="43"/>
      <c r="T39" s="28"/>
      <c r="U39" s="28"/>
      <c r="V39" s="28"/>
      <c r="X39" s="31">
        <f>IF(ISBLANK(H39),"",IF(IFERROR(ABS(H39-'_key'!$A$439)&lt;=5e-05,FALSE),"✓","✗"))</f>
        <v>0</v>
      </c>
      <c r="Y39" s="31">
        <f>IF(ISBLANK(K39),"",IF(IFERROR(ABS(K39-'_key'!$A$440)&lt;=5e-05,FALSE),"✓","✗"))</f>
        <v>0</v>
      </c>
      <c r="Z39" s="31">
        <f>IF(ISBLANK(L39),"",IF(IFERROR(ABS(L39-'_key'!$A$441)&lt;=0.005,FALSE),"✓","✗"))</f>
        <v>0</v>
      </c>
      <c r="AA39" s="31">
        <f>IF(ISBLANK(M39),"",IF(IFERROR(EXACT(M39,'_key'!$A$442),FALSE),"✓","✗"))</f>
        <v>0</v>
      </c>
      <c r="AB39" s="31">
        <f>IF(ISBLANK(S39),"",IF(IFERROR(ABS(S39-'_key'!$A$443)&lt;=0.01,FALSE),"✓","✗"))</f>
        <v>0</v>
      </c>
      <c r="AC39" s="31">
        <f>IF(ISBLANK(T39),"",IF(IFERROR(EXACT(T39,'_key'!$A$444),FALSE),"✓","✗"))</f>
        <v>0</v>
      </c>
      <c r="AD39" s="31">
        <f>IF(ISBLANK(V39),"",IF(IFERROR(ABS(V39-'_key'!$A$445)&lt;=0.005,FALSE),"✓","✗"))</f>
        <v>0</v>
      </c>
    </row>
    <row r="40" spans="1:30">
      <c r="A40" s="17" t="s">
        <v>118</v>
      </c>
      <c r="B40" s="28"/>
      <c r="C40" s="28"/>
      <c r="D40" s="28"/>
      <c r="E40" s="29"/>
      <c r="F40" s="30"/>
      <c r="G40" s="30"/>
      <c r="H40" s="37"/>
      <c r="I40" s="30"/>
      <c r="J40" s="30"/>
      <c r="K40" s="37"/>
      <c r="L40" s="28"/>
      <c r="M40" s="38"/>
      <c r="N40" s="30"/>
      <c r="O40" s="28"/>
      <c r="P40" s="28"/>
      <c r="Q40" s="28"/>
      <c r="R40" s="28"/>
      <c r="S40" s="43"/>
      <c r="T40" s="28"/>
      <c r="U40" s="28"/>
      <c r="V40" s="28"/>
      <c r="X40" s="31">
        <f>IF(ISBLANK(H40),"",IF(IFERROR(ABS(H40-'_key'!$A$446)&lt;=5e-05,FALSE),"✓","✗"))</f>
        <v>0</v>
      </c>
      <c r="Y40" s="31">
        <f>IF(ISBLANK(K40),"",IF(IFERROR(ABS(K40-'_key'!$A$447)&lt;=5e-05,FALSE),"✓","✗"))</f>
        <v>0</v>
      </c>
      <c r="Z40" s="31">
        <f>IF(ISBLANK(L40),"",IF(IFERROR(ABS(L40-'_key'!$A$448)&lt;=0.005,FALSE),"✓","✗"))</f>
        <v>0</v>
      </c>
      <c r="AA40" s="31">
        <f>IF(ISBLANK(M40),"",IF(IFERROR(EXACT(M40,'_key'!$A$449),FALSE),"✓","✗"))</f>
        <v>0</v>
      </c>
      <c r="AB40" s="31">
        <f>IF(ISBLANK(S40),"",IF(IFERROR(ABS(S40-'_key'!$A$450)&lt;=0.01,FALSE),"✓","✗"))</f>
        <v>0</v>
      </c>
      <c r="AC40" s="31">
        <f>IF(ISBLANK(T40),"",IF(IFERROR(EXACT(T40,'_key'!$A$451),FALSE),"✓","✗"))</f>
        <v>0</v>
      </c>
      <c r="AD40" s="31">
        <f>IF(ISBLANK(V40),"",IF(IFERROR(ABS(V40-'_key'!$A$452)&lt;=0.005,FALSE),"✓","✗"))</f>
        <v>0</v>
      </c>
    </row>
    <row r="41" spans="1:30">
      <c r="A41" s="17" t="s">
        <v>120</v>
      </c>
      <c r="B41" s="28"/>
      <c r="C41" s="28"/>
      <c r="D41" s="28"/>
      <c r="E41" s="29"/>
      <c r="F41" s="30"/>
      <c r="G41" s="30"/>
      <c r="H41" s="37"/>
      <c r="I41" s="30"/>
      <c r="J41" s="30"/>
      <c r="K41" s="37"/>
      <c r="L41" s="28"/>
      <c r="M41" s="38"/>
      <c r="N41" s="30"/>
      <c r="O41" s="28"/>
      <c r="P41" s="28"/>
      <c r="Q41" s="28"/>
      <c r="R41" s="28"/>
      <c r="S41" s="43"/>
      <c r="T41" s="28"/>
      <c r="U41" s="28"/>
      <c r="V41" s="28"/>
      <c r="X41" s="31">
        <f>IF(ISBLANK(H41),"",IF(IFERROR(ABS(H41-'_key'!$A$453)&lt;=5e-05,FALSE),"✓","✗"))</f>
        <v>0</v>
      </c>
      <c r="Y41" s="31">
        <f>IF(ISBLANK(K41),"",IF(IFERROR(ABS(K41-'_key'!$A$454)&lt;=5e-05,FALSE),"✓","✗"))</f>
        <v>0</v>
      </c>
      <c r="Z41" s="31">
        <f>IF(ISBLANK(L41),"",IF(IFERROR(ABS(L41-'_key'!$A$455)&lt;=0.005,FALSE),"✓","✗"))</f>
        <v>0</v>
      </c>
      <c r="AA41" s="31">
        <f>IF(ISBLANK(M41),"",IF(IFERROR(EXACT(M41,'_key'!$A$456),FALSE),"✓","✗"))</f>
        <v>0</v>
      </c>
      <c r="AB41" s="31">
        <f>IF(ISBLANK(S41),"",IF(IFERROR(ABS(S41-'_key'!$A$457)&lt;=0.01,FALSE),"✓","✗"))</f>
        <v>0</v>
      </c>
      <c r="AC41" s="31">
        <f>IF(ISBLANK(T41),"",IF(IFERROR(EXACT(T41,'_key'!$A$458),FALSE),"✓","✗"))</f>
        <v>0</v>
      </c>
      <c r="AD41" s="31">
        <f>IF(ISBLANK(V41),"",IF(IFERROR(ABS(V41-'_key'!$A$459)&lt;=0.005,FALSE),"✓","✗"))</f>
        <v>0</v>
      </c>
    </row>
    <row r="42" spans="1:30">
      <c r="A42" s="17" t="s">
        <v>122</v>
      </c>
      <c r="B42" s="28"/>
      <c r="C42" s="28"/>
      <c r="D42" s="28"/>
      <c r="E42" s="29"/>
      <c r="F42" s="30"/>
      <c r="G42" s="30"/>
      <c r="H42" s="37"/>
      <c r="I42" s="30"/>
      <c r="J42" s="30"/>
      <c r="K42" s="37"/>
      <c r="L42" s="28"/>
      <c r="M42" s="38"/>
      <c r="N42" s="30"/>
      <c r="O42" s="28"/>
      <c r="P42" s="28"/>
      <c r="Q42" s="28"/>
      <c r="R42" s="28"/>
      <c r="S42" s="43"/>
      <c r="T42" s="28"/>
      <c r="U42" s="28"/>
      <c r="V42" s="28"/>
      <c r="X42" s="31">
        <f>IF(ISBLANK(H42),"",IF(IFERROR(ABS(H42-'_key'!$A$460)&lt;=5e-05,FALSE),"✓","✗"))</f>
        <v>0</v>
      </c>
      <c r="Y42" s="31">
        <f>IF(ISBLANK(K42),"",IF(IFERROR(ABS(K42-'_key'!$A$461)&lt;=5e-05,FALSE),"✓","✗"))</f>
        <v>0</v>
      </c>
      <c r="Z42" s="31">
        <f>IF(ISBLANK(L42),"",IF(IFERROR(ABS(L42-'_key'!$A$462)&lt;=0.005,FALSE),"✓","✗"))</f>
        <v>0</v>
      </c>
      <c r="AA42" s="31">
        <f>IF(ISBLANK(M42),"",IF(IFERROR(ABS(M42-'_key'!$A$463)&lt;=0.005,FALSE),"✓","✗"))</f>
        <v>0</v>
      </c>
      <c r="AB42" s="31">
        <f>IF(ISBLANK(S42),"",IF(IFERROR(ABS(S42-'_key'!$A$464)&lt;=0.01,FALSE),"✓","✗"))</f>
        <v>0</v>
      </c>
      <c r="AC42" s="31">
        <f>IF(ISBLANK(T42),"",IF(IFERROR(EXACT(T42,'_key'!$A$465),FALSE),"✓","✗"))</f>
        <v>0</v>
      </c>
      <c r="AD42" s="31">
        <f>IF(ISBLANK(V42),"",IF(IFERROR(ABS(V42-'_key'!$A$466)&lt;=0.005,FALSE),"✓","✗"))</f>
        <v>0</v>
      </c>
    </row>
    <row r="43" spans="1:30">
      <c r="A43" s="17" t="s">
        <v>124</v>
      </c>
      <c r="B43" s="28"/>
      <c r="C43" s="28"/>
      <c r="D43" s="28"/>
      <c r="E43" s="29"/>
      <c r="F43" s="30"/>
      <c r="G43" s="30"/>
      <c r="H43" s="37"/>
      <c r="I43" s="30"/>
      <c r="J43" s="30"/>
      <c r="K43" s="37"/>
      <c r="L43" s="28"/>
      <c r="M43" s="38"/>
      <c r="N43" s="30"/>
      <c r="O43" s="28"/>
      <c r="P43" s="28"/>
      <c r="Q43" s="28"/>
      <c r="R43" s="28"/>
      <c r="S43" s="43"/>
      <c r="T43" s="28"/>
      <c r="U43" s="28"/>
      <c r="V43" s="28"/>
      <c r="X43" s="31">
        <f>IF(ISBLANK(H43),"",IF(IFERROR(ABS(H43-'_key'!$A$467)&lt;=5e-05,FALSE),"✓","✗"))</f>
        <v>0</v>
      </c>
      <c r="Y43" s="31">
        <f>IF(ISBLANK(K43),"",IF(IFERROR(ABS(K43-'_key'!$A$468)&lt;=5e-05,FALSE),"✓","✗"))</f>
        <v>0</v>
      </c>
      <c r="Z43" s="31">
        <f>IF(ISBLANK(L43),"",IF(IFERROR(ABS(L43-'_key'!$A$469)&lt;=0.005,FALSE),"✓","✗"))</f>
        <v>0</v>
      </c>
      <c r="AA43" s="31">
        <f>IF(ISBLANK(M43),"",IF(IFERROR(ABS(M43-'_key'!$A$470)&lt;=0.005,FALSE),"✓","✗"))</f>
        <v>0</v>
      </c>
      <c r="AB43" s="31">
        <f>IF(ISBLANK(S43),"",IF(IFERROR(ABS(S43-'_key'!$A$471)&lt;=0.01,FALSE),"✓","✗"))</f>
        <v>0</v>
      </c>
      <c r="AC43" s="31">
        <f>IF(ISBLANK(T43),"",IF(IFERROR(EXACT(T43,'_key'!$A$472),FALSE),"✓","✗"))</f>
        <v>0</v>
      </c>
      <c r="AD43" s="31">
        <f>IF(ISBLANK(V43),"",IF(IFERROR(ABS(V43-'_key'!$A$473)&lt;=0.005,FALSE),"✓","✗"))</f>
        <v>0</v>
      </c>
    </row>
    <row r="44" spans="1:30">
      <c r="A44" s="17" t="s">
        <v>126</v>
      </c>
      <c r="B44" s="28"/>
      <c r="C44" s="28"/>
      <c r="D44" s="28"/>
      <c r="E44" s="29"/>
      <c r="F44" s="30"/>
      <c r="G44" s="30"/>
      <c r="H44" s="37"/>
      <c r="I44" s="30"/>
      <c r="J44" s="30"/>
      <c r="K44" s="37"/>
      <c r="L44" s="28"/>
      <c r="M44" s="38"/>
      <c r="N44" s="30"/>
      <c r="O44" s="28"/>
      <c r="P44" s="28"/>
      <c r="Q44" s="28"/>
      <c r="R44" s="28"/>
      <c r="S44" s="43"/>
      <c r="T44" s="28"/>
      <c r="U44" s="28"/>
      <c r="V44" s="28"/>
      <c r="X44" s="31">
        <f>IF(ISBLANK(H44),"",IF(IFERROR(ABS(H44-'_key'!$A$474)&lt;=5e-05,FALSE),"✓","✗"))</f>
        <v>0</v>
      </c>
      <c r="Y44" s="31">
        <f>IF(ISBLANK(K44),"",IF(IFERROR(ABS(K44-'_key'!$A$475)&lt;=5e-05,FALSE),"✓","✗"))</f>
        <v>0</v>
      </c>
      <c r="Z44" s="31">
        <f>IF(ISBLANK(L44),"",IF(IFERROR(ABS(L44-'_key'!$A$476)&lt;=0.005,FALSE),"✓","✗"))</f>
        <v>0</v>
      </c>
      <c r="AA44" s="31">
        <f>IF(ISBLANK(M44),"",IF(IFERROR(ABS(M44-'_key'!$A$477)&lt;=0.005,FALSE),"✓","✗"))</f>
        <v>0</v>
      </c>
      <c r="AB44" s="31">
        <f>IF(ISBLANK(S44),"",IF(IFERROR(ABS(S44-'_key'!$A$478)&lt;=0.01,FALSE),"✓","✗"))</f>
        <v>0</v>
      </c>
      <c r="AC44" s="31">
        <f>IF(ISBLANK(T44),"",IF(IFERROR(EXACT(T44,'_key'!$A$479),FALSE),"✓","✗"))</f>
        <v>0</v>
      </c>
      <c r="AD44" s="31">
        <f>IF(ISBLANK(V44),"",IF(IFERROR(ABS(V44-'_key'!$A$480)&lt;=0.005,FALSE),"✓","✗"))</f>
        <v>0</v>
      </c>
    </row>
    <row r="45" spans="1:30">
      <c r="A45" s="17" t="s">
        <v>128</v>
      </c>
      <c r="B45" s="28"/>
      <c r="C45" s="28"/>
      <c r="D45" s="28"/>
      <c r="E45" s="29"/>
      <c r="F45" s="30"/>
      <c r="G45" s="30"/>
      <c r="H45" s="37"/>
      <c r="I45" s="30"/>
      <c r="J45" s="30"/>
      <c r="K45" s="37"/>
      <c r="L45" s="28"/>
      <c r="M45" s="38"/>
      <c r="N45" s="30"/>
      <c r="O45" s="28"/>
      <c r="P45" s="28"/>
      <c r="Q45" s="28"/>
      <c r="R45" s="28"/>
      <c r="S45" s="43"/>
      <c r="T45" s="28"/>
      <c r="U45" s="28"/>
      <c r="V45" s="28"/>
      <c r="X45" s="31">
        <f>IF(ISBLANK(H45),"",IF(IFERROR(ABS(H45-'_key'!$A$481)&lt;=5e-05,FALSE),"✓","✗"))</f>
        <v>0</v>
      </c>
      <c r="Y45" s="31">
        <f>IF(ISBLANK(K45),"",IF(IFERROR(ABS(K45-'_key'!$A$482)&lt;=5e-05,FALSE),"✓","✗"))</f>
        <v>0</v>
      </c>
      <c r="Z45" s="31">
        <f>IF(ISBLANK(L45),"",IF(IFERROR(ABS(L45-'_key'!$A$483)&lt;=0.005,FALSE),"✓","✗"))</f>
        <v>0</v>
      </c>
      <c r="AA45" s="31">
        <f>IF(ISBLANK(M45),"",IF(IFERROR(EXACT(M45,'_key'!$A$484),FALSE),"✓","✗"))</f>
        <v>0</v>
      </c>
      <c r="AB45" s="31">
        <f>IF(ISBLANK(S45),"",IF(IFERROR(ABS(S45-'_key'!$A$485)&lt;=0.01,FALSE),"✓","✗"))</f>
        <v>0</v>
      </c>
      <c r="AC45" s="31">
        <f>IF(ISBLANK(T45),"",IF(IFERROR(EXACT(T45,'_key'!$A$486),FALSE),"✓","✗"))</f>
        <v>0</v>
      </c>
      <c r="AD45" s="31">
        <f>IF(ISBLANK(V45),"",IF(IFERROR(ABS(V45-'_key'!$A$487)&lt;=0.005,FALSE),"✓","✗"))</f>
        <v>0</v>
      </c>
    </row>
    <row r="46" spans="1:30">
      <c r="A46" s="17" t="s">
        <v>130</v>
      </c>
      <c r="B46" s="28"/>
      <c r="C46" s="28"/>
      <c r="D46" s="28"/>
      <c r="E46" s="29"/>
      <c r="F46" s="30"/>
      <c r="G46" s="30"/>
      <c r="H46" s="37"/>
      <c r="I46" s="30"/>
      <c r="J46" s="30"/>
      <c r="K46" s="37"/>
      <c r="L46" s="28"/>
      <c r="M46" s="38"/>
      <c r="N46" s="30"/>
      <c r="O46" s="28"/>
      <c r="P46" s="28"/>
      <c r="Q46" s="28"/>
      <c r="R46" s="28"/>
      <c r="S46" s="43"/>
      <c r="T46" s="28"/>
      <c r="U46" s="28"/>
      <c r="V46" s="28"/>
      <c r="X46" s="31">
        <f>IF(ISBLANK(H46),"",IF(IFERROR(ABS(H46-'_key'!$A$488)&lt;=5e-05,FALSE),"✓","✗"))</f>
        <v>0</v>
      </c>
      <c r="Y46" s="31">
        <f>IF(ISBLANK(K46),"",IF(IFERROR(ABS(K46-'_key'!$A$489)&lt;=5e-05,FALSE),"✓","✗"))</f>
        <v>0</v>
      </c>
      <c r="Z46" s="31">
        <f>IF(ISBLANK(L46),"",IF(IFERROR(ABS(L46-'_key'!$A$490)&lt;=0.005,FALSE),"✓","✗"))</f>
        <v>0</v>
      </c>
      <c r="AA46" s="31">
        <f>IF(ISBLANK(M46),"",IF(IFERROR(EXACT(M46,'_key'!$A$491),FALSE),"✓","✗"))</f>
        <v>0</v>
      </c>
      <c r="AB46" s="31">
        <f>IF(ISBLANK(S46),"",IF(IFERROR(ABS(S46-'_key'!$A$492)&lt;=0.01,FALSE),"✓","✗"))</f>
        <v>0</v>
      </c>
      <c r="AC46" s="31">
        <f>IF(ISBLANK(T46),"",IF(IFERROR(EXACT(T46,'_key'!$A$493),FALSE),"✓","✗"))</f>
        <v>0</v>
      </c>
      <c r="AD46" s="31">
        <f>IF(ISBLANK(V46),"",IF(IFERROR(ABS(V46-'_key'!$A$494)&lt;=0.005,FALSE),"✓","✗"))</f>
        <v>0</v>
      </c>
    </row>
    <row r="47" spans="1:30">
      <c r="A47" s="17" t="s">
        <v>132</v>
      </c>
      <c r="B47" s="28"/>
      <c r="C47" s="28"/>
      <c r="D47" s="28"/>
      <c r="E47" s="29"/>
      <c r="F47" s="30"/>
      <c r="G47" s="30"/>
      <c r="H47" s="37"/>
      <c r="I47" s="30"/>
      <c r="J47" s="30"/>
      <c r="K47" s="37"/>
      <c r="L47" s="28"/>
      <c r="M47" s="38"/>
      <c r="N47" s="30"/>
      <c r="O47" s="28"/>
      <c r="P47" s="28"/>
      <c r="Q47" s="28"/>
      <c r="R47" s="28"/>
      <c r="S47" s="43"/>
      <c r="T47" s="28"/>
      <c r="U47" s="28"/>
      <c r="V47" s="28"/>
      <c r="X47" s="31">
        <f>IF(ISBLANK(H47),"",IF(IFERROR(ABS(H47-'_key'!$A$495)&lt;=5e-05,FALSE),"✓","✗"))</f>
        <v>0</v>
      </c>
      <c r="Y47" s="31">
        <f>IF(ISBLANK(K47),"",IF(IFERROR(ABS(K47-'_key'!$A$496)&lt;=5e-05,FALSE),"✓","✗"))</f>
        <v>0</v>
      </c>
      <c r="Z47" s="31">
        <f>IF(ISBLANK(L47),"",IF(IFERROR(ABS(L47-'_key'!$A$497)&lt;=0.005,FALSE),"✓","✗"))</f>
        <v>0</v>
      </c>
      <c r="AA47" s="31">
        <f>IF(ISBLANK(M47),"",IF(IFERROR(ABS(M47-'_key'!$A$498)&lt;=0.005,FALSE),"✓","✗"))</f>
        <v>0</v>
      </c>
      <c r="AB47" s="31">
        <f>IF(ISBLANK(S47),"",IF(IFERROR(ABS(S47-'_key'!$A$499)&lt;=0.01,FALSE),"✓","✗"))</f>
        <v>0</v>
      </c>
      <c r="AC47" s="31">
        <f>IF(ISBLANK(T47),"",IF(IFERROR(EXACT(T47,'_key'!$A$500),FALSE),"✓","✗"))</f>
        <v>0</v>
      </c>
      <c r="AD47" s="31">
        <f>IF(ISBLANK(V47),"",IF(IFERROR(ABS(V47-'_key'!$A$501)&lt;=0.005,FALSE),"✓","✗"))</f>
        <v>0</v>
      </c>
    </row>
    <row r="48" spans="1:30">
      <c r="A48" s="17" t="s">
        <v>134</v>
      </c>
      <c r="B48" s="28"/>
      <c r="C48" s="28"/>
      <c r="D48" s="28"/>
      <c r="E48" s="29"/>
      <c r="F48" s="30"/>
      <c r="G48" s="30"/>
      <c r="H48" s="37"/>
      <c r="I48" s="30"/>
      <c r="J48" s="30"/>
      <c r="K48" s="37"/>
      <c r="L48" s="28"/>
      <c r="M48" s="38"/>
      <c r="N48" s="30"/>
      <c r="O48" s="28"/>
      <c r="P48" s="28"/>
      <c r="Q48" s="28"/>
      <c r="R48" s="28"/>
      <c r="S48" s="43"/>
      <c r="T48" s="28"/>
      <c r="U48" s="28"/>
      <c r="V48" s="28"/>
      <c r="X48" s="31">
        <f>IF(ISBLANK(H48),"",IF(IFERROR(ABS(H48-'_key'!$A$502)&lt;=5e-05,FALSE),"✓","✗"))</f>
        <v>0</v>
      </c>
      <c r="Y48" s="31">
        <f>IF(ISBLANK(K48),"",IF(IFERROR(ABS(K48-'_key'!$A$503)&lt;=5e-05,FALSE),"✓","✗"))</f>
        <v>0</v>
      </c>
      <c r="Z48" s="31">
        <f>IF(ISBLANK(L48),"",IF(IFERROR(ABS(L48-'_key'!$A$504)&lt;=0.005,FALSE),"✓","✗"))</f>
        <v>0</v>
      </c>
      <c r="AA48" s="31">
        <f>IF(ISBLANK(M48),"",IF(IFERROR(ABS(M48-'_key'!$A$505)&lt;=0.005,FALSE),"✓","✗"))</f>
        <v>0</v>
      </c>
      <c r="AB48" s="31">
        <f>IF(ISBLANK(S48),"",IF(IFERROR(ABS(S48-'_key'!$A$506)&lt;=0.01,FALSE),"✓","✗"))</f>
        <v>0</v>
      </c>
      <c r="AC48" s="31">
        <f>IF(ISBLANK(T48),"",IF(IFERROR(EXACT(T48,'_key'!$A$507),FALSE),"✓","✗"))</f>
        <v>0</v>
      </c>
      <c r="AD48" s="31">
        <f>IF(ISBLANK(V48),"",IF(IFERROR(ABS(V48-'_key'!$A$508)&lt;=0.005,FALSE),"✓","✗"))</f>
        <v>0</v>
      </c>
    </row>
    <row r="49" spans="1:30">
      <c r="A49" s="17" t="s">
        <v>136</v>
      </c>
      <c r="B49" s="28"/>
      <c r="C49" s="28"/>
      <c r="D49" s="28"/>
      <c r="E49" s="29"/>
      <c r="F49" s="30"/>
      <c r="G49" s="30"/>
      <c r="H49" s="37"/>
      <c r="I49" s="30"/>
      <c r="J49" s="30"/>
      <c r="K49" s="37"/>
      <c r="L49" s="28"/>
      <c r="M49" s="38"/>
      <c r="N49" s="30"/>
      <c r="O49" s="28"/>
      <c r="P49" s="28"/>
      <c r="Q49" s="28"/>
      <c r="R49" s="28"/>
      <c r="S49" s="43"/>
      <c r="T49" s="28"/>
      <c r="U49" s="28"/>
      <c r="V49" s="28"/>
      <c r="X49" s="31">
        <f>IF(ISBLANK(H49),"",IF(IFERROR(ABS(H49-'_key'!$A$509)&lt;=5e-05,FALSE),"✓","✗"))</f>
        <v>0</v>
      </c>
      <c r="Y49" s="31">
        <f>IF(ISBLANK(K49),"",IF(IFERROR(ABS(K49-'_key'!$A$510)&lt;=5e-05,FALSE),"✓","✗"))</f>
        <v>0</v>
      </c>
      <c r="Z49" s="31">
        <f>IF(ISBLANK(L49),"",IF(IFERROR(ABS(L49-'_key'!$A$511)&lt;=0.005,FALSE),"✓","✗"))</f>
        <v>0</v>
      </c>
      <c r="AA49" s="31">
        <f>IF(ISBLANK(M49),"",IF(IFERROR(ABS(M49-'_key'!$A$512)&lt;=0.005,FALSE),"✓","✗"))</f>
        <v>0</v>
      </c>
      <c r="AB49" s="31">
        <f>IF(ISBLANK(S49),"",IF(IFERROR(ABS(S49-'_key'!$A$513)&lt;=0.01,FALSE),"✓","✗"))</f>
        <v>0</v>
      </c>
      <c r="AC49" s="31">
        <f>IF(ISBLANK(T49),"",IF(IFERROR(EXACT(T49,'_key'!$A$514),FALSE),"✓","✗"))</f>
        <v>0</v>
      </c>
      <c r="AD49" s="31">
        <f>IF(ISBLANK(V49),"",IF(IFERROR(ABS(V49-'_key'!$A$515)&lt;=0.005,FALSE),"✓","✗"))</f>
        <v>0</v>
      </c>
    </row>
    <row r="50" spans="1:30">
      <c r="A50" s="17" t="s">
        <v>138</v>
      </c>
      <c r="B50" s="28"/>
      <c r="C50" s="28"/>
      <c r="D50" s="28"/>
      <c r="E50" s="29"/>
      <c r="F50" s="30"/>
      <c r="G50" s="30"/>
      <c r="H50" s="37"/>
      <c r="I50" s="30"/>
      <c r="J50" s="30"/>
      <c r="K50" s="37"/>
      <c r="L50" s="28"/>
      <c r="M50" s="38"/>
      <c r="N50" s="30"/>
      <c r="O50" s="28"/>
      <c r="P50" s="28"/>
      <c r="Q50" s="28"/>
      <c r="R50" s="28"/>
      <c r="S50" s="43"/>
      <c r="T50" s="28"/>
      <c r="U50" s="28"/>
      <c r="V50" s="28"/>
      <c r="X50" s="31">
        <f>IF(ISBLANK(H50),"",IF(IFERROR(ABS(H50-'_key'!$A$516)&lt;=5e-05,FALSE),"✓","✗"))</f>
        <v>0</v>
      </c>
      <c r="Y50" s="31">
        <f>IF(ISBLANK(K50),"",IF(IFERROR(ABS(K50-'_key'!$A$517)&lt;=5e-05,FALSE),"✓","✗"))</f>
        <v>0</v>
      </c>
      <c r="Z50" s="31">
        <f>IF(ISBLANK(L50),"",IF(IFERROR(ABS(L50-'_key'!$A$518)&lt;=0.005,FALSE),"✓","✗"))</f>
        <v>0</v>
      </c>
      <c r="AA50" s="31">
        <f>IF(ISBLANK(M50),"",IF(IFERROR(ABS(M50-'_key'!$A$519)&lt;=0.005,FALSE),"✓","✗"))</f>
        <v>0</v>
      </c>
      <c r="AB50" s="31">
        <f>IF(ISBLANK(S50),"",IF(IFERROR(ABS(S50-'_key'!$A$520)&lt;=0.01,FALSE),"✓","✗"))</f>
        <v>0</v>
      </c>
      <c r="AC50" s="31">
        <f>IF(ISBLANK(T50),"",IF(IFERROR(EXACT(T50,'_key'!$A$521),FALSE),"✓","✗"))</f>
        <v>0</v>
      </c>
      <c r="AD50" s="31">
        <f>IF(ISBLANK(V50),"",IF(IFERROR(ABS(V50-'_key'!$A$522)&lt;=0.005,FALSE),"✓","✗"))</f>
        <v>0</v>
      </c>
    </row>
    <row r="51" spans="1:30">
      <c r="A51" s="17" t="s">
        <v>140</v>
      </c>
      <c r="B51" s="28"/>
      <c r="C51" s="28"/>
      <c r="D51" s="28"/>
      <c r="E51" s="29"/>
      <c r="F51" s="30"/>
      <c r="G51" s="30"/>
      <c r="H51" s="37"/>
      <c r="I51" s="30"/>
      <c r="J51" s="30"/>
      <c r="K51" s="37"/>
      <c r="L51" s="28"/>
      <c r="M51" s="38"/>
      <c r="N51" s="30"/>
      <c r="O51" s="28"/>
      <c r="P51" s="28"/>
      <c r="Q51" s="28"/>
      <c r="R51" s="28"/>
      <c r="S51" s="43"/>
      <c r="T51" s="28"/>
      <c r="U51" s="28"/>
      <c r="V51" s="28"/>
      <c r="X51" s="31">
        <f>IF(ISBLANK(H51),"",IF(IFERROR(ABS(H51-'_key'!$A$523)&lt;=5e-05,FALSE),"✓","✗"))</f>
        <v>0</v>
      </c>
      <c r="Y51" s="31">
        <f>IF(ISBLANK(K51),"",IF(IFERROR(ABS(K51-'_key'!$A$524)&lt;=5e-05,FALSE),"✓","✗"))</f>
        <v>0</v>
      </c>
      <c r="Z51" s="31">
        <f>IF(ISBLANK(L51),"",IF(IFERROR(ABS(L51-'_key'!$A$525)&lt;=0.005,FALSE),"✓","✗"))</f>
        <v>0</v>
      </c>
      <c r="AA51" s="31">
        <f>IF(ISBLANK(M51),"",IF(IFERROR(EXACT(M51,'_key'!$A$526),FALSE),"✓","✗"))</f>
        <v>0</v>
      </c>
      <c r="AB51" s="31">
        <f>IF(ISBLANK(S51),"",IF(IFERROR(ABS(S51-'_key'!$A$527)&lt;=0.01,FALSE),"✓","✗"))</f>
        <v>0</v>
      </c>
      <c r="AC51" s="31">
        <f>IF(ISBLANK(T51),"",IF(IFERROR(EXACT(T51,'_key'!$A$528),FALSE),"✓","✗"))</f>
        <v>0</v>
      </c>
      <c r="AD51" s="31">
        <f>IF(ISBLANK(V51),"",IF(IFERROR(ABS(V51-'_key'!$A$529)&lt;=0.005,FALSE),"✓","✗"))</f>
        <v>0</v>
      </c>
    </row>
    <row r="52" spans="1:30">
      <c r="A52" s="17" t="s">
        <v>142</v>
      </c>
      <c r="B52" s="28"/>
      <c r="C52" s="28"/>
      <c r="D52" s="28"/>
      <c r="E52" s="29"/>
      <c r="F52" s="30"/>
      <c r="G52" s="30"/>
      <c r="H52" s="37"/>
      <c r="I52" s="30"/>
      <c r="J52" s="30"/>
      <c r="K52" s="37"/>
      <c r="L52" s="28"/>
      <c r="M52" s="38"/>
      <c r="N52" s="30"/>
      <c r="O52" s="28"/>
      <c r="P52" s="28"/>
      <c r="Q52" s="28"/>
      <c r="R52" s="28"/>
      <c r="S52" s="43"/>
      <c r="T52" s="28"/>
      <c r="U52" s="28"/>
      <c r="V52" s="28"/>
      <c r="X52" s="31">
        <f>IF(ISBLANK(H52),"",IF(IFERROR(ABS(H52-'_key'!$A$530)&lt;=5e-05,FALSE),"✓","✗"))</f>
        <v>0</v>
      </c>
      <c r="Y52" s="31">
        <f>IF(ISBLANK(K52),"",IF(IFERROR(ABS(K52-'_key'!$A$531)&lt;=5e-05,FALSE),"✓","✗"))</f>
        <v>0</v>
      </c>
      <c r="Z52" s="31">
        <f>IF(ISBLANK(L52),"",IF(IFERROR(ABS(L52-'_key'!$A$532)&lt;=0.005,FALSE),"✓","✗"))</f>
        <v>0</v>
      </c>
      <c r="AA52" s="31">
        <f>IF(ISBLANK(M52),"",IF(IFERROR(ABS(M52-'_key'!$A$533)&lt;=0.005,FALSE),"✓","✗"))</f>
        <v>0</v>
      </c>
      <c r="AB52" s="31">
        <f>IF(ISBLANK(S52),"",IF(IFERROR(ABS(S52-'_key'!$A$534)&lt;=0.01,FALSE),"✓","✗"))</f>
        <v>0</v>
      </c>
      <c r="AC52" s="31">
        <f>IF(ISBLANK(T52),"",IF(IFERROR(EXACT(T52,'_key'!$A$535),FALSE),"✓","✗"))</f>
        <v>0</v>
      </c>
      <c r="AD52" s="31">
        <f>IF(ISBLANK(V52),"",IF(IFERROR(ABS(V52-'_key'!$A$536)&lt;=0.005,FALSE),"✓","✗"))</f>
        <v>0</v>
      </c>
    </row>
    <row r="53" spans="1:30">
      <c r="A53" s="17" t="s">
        <v>144</v>
      </c>
      <c r="B53" s="28"/>
      <c r="C53" s="28"/>
      <c r="D53" s="28"/>
      <c r="E53" s="29"/>
      <c r="F53" s="30"/>
      <c r="G53" s="30"/>
      <c r="H53" s="37"/>
      <c r="I53" s="30"/>
      <c r="J53" s="30"/>
      <c r="K53" s="37"/>
      <c r="L53" s="28"/>
      <c r="M53" s="38"/>
      <c r="N53" s="30"/>
      <c r="O53" s="28"/>
      <c r="P53" s="28"/>
      <c r="Q53" s="28"/>
      <c r="R53" s="28"/>
      <c r="S53" s="43"/>
      <c r="T53" s="28"/>
      <c r="U53" s="28"/>
      <c r="V53" s="28"/>
      <c r="X53" s="31">
        <f>IF(ISBLANK(H53),"",IF(IFERROR(ABS(H53-'_key'!$A$537)&lt;=5e-05,FALSE),"✓","✗"))</f>
        <v>0</v>
      </c>
      <c r="Y53" s="31">
        <f>IF(ISBLANK(K53),"",IF(IFERROR(ABS(K53-'_key'!$A$538)&lt;=5e-05,FALSE),"✓","✗"))</f>
        <v>0</v>
      </c>
      <c r="Z53" s="31">
        <f>IF(ISBLANK(L53),"",IF(IFERROR(ABS(L53-'_key'!$A$539)&lt;=0.005,FALSE),"✓","✗"))</f>
        <v>0</v>
      </c>
      <c r="AA53" s="31">
        <f>IF(ISBLANK(M53),"",IF(IFERROR(ABS(M53-'_key'!$A$540)&lt;=0.005,FALSE),"✓","✗"))</f>
        <v>0</v>
      </c>
      <c r="AB53" s="31">
        <f>IF(ISBLANK(S53),"",IF(IFERROR(ABS(S53-'_key'!$A$541)&lt;=0.01,FALSE),"✓","✗"))</f>
        <v>0</v>
      </c>
      <c r="AC53" s="31">
        <f>IF(ISBLANK(T53),"",IF(IFERROR(EXACT(T53,'_key'!$A$542),FALSE),"✓","✗"))</f>
        <v>0</v>
      </c>
      <c r="AD53" s="31">
        <f>IF(ISBLANK(V53),"",IF(IFERROR(ABS(V53-'_key'!$A$543)&lt;=0.005,FALSE),"✓","✗"))</f>
        <v>0</v>
      </c>
    </row>
    <row r="54" spans="1:30">
      <c r="A54" s="17" t="s">
        <v>146</v>
      </c>
      <c r="B54" s="28"/>
      <c r="C54" s="28"/>
      <c r="D54" s="28"/>
      <c r="E54" s="29"/>
      <c r="F54" s="30"/>
      <c r="G54" s="30"/>
      <c r="H54" s="37"/>
      <c r="I54" s="30"/>
      <c r="J54" s="30"/>
      <c r="K54" s="37"/>
      <c r="L54" s="28"/>
      <c r="M54" s="38"/>
      <c r="N54" s="30"/>
      <c r="O54" s="28"/>
      <c r="P54" s="28"/>
      <c r="Q54" s="28"/>
      <c r="R54" s="28"/>
      <c r="S54" s="43"/>
      <c r="T54" s="28"/>
      <c r="U54" s="28"/>
      <c r="V54" s="28"/>
      <c r="X54" s="31">
        <f>IF(ISBLANK(H54),"",IF(IFERROR(ABS(H54-'_key'!$A$544)&lt;=5e-05,FALSE),"✓","✗"))</f>
        <v>0</v>
      </c>
      <c r="Y54" s="31">
        <f>IF(ISBLANK(K54),"",IF(IFERROR(ABS(K54-'_key'!$A$545)&lt;=5e-05,FALSE),"✓","✗"))</f>
        <v>0</v>
      </c>
      <c r="Z54" s="31">
        <f>IF(ISBLANK(L54),"",IF(IFERROR(ABS(L54-'_key'!$A$546)&lt;=0.005,FALSE),"✓","✗"))</f>
        <v>0</v>
      </c>
      <c r="AA54" s="31">
        <f>IF(ISBLANK(M54),"",IF(IFERROR(EXACT(M54,'_key'!$A$547),FALSE),"✓","✗"))</f>
        <v>0</v>
      </c>
      <c r="AB54" s="31">
        <f>IF(ISBLANK(S54),"",IF(IFERROR(ABS(S54-'_key'!$A$548)&lt;=0.01,FALSE),"✓","✗"))</f>
        <v>0</v>
      </c>
      <c r="AC54" s="31">
        <f>IF(ISBLANK(T54),"",IF(IFERROR(EXACT(T54,'_key'!$A$549),FALSE),"✓","✗"))</f>
        <v>0</v>
      </c>
      <c r="AD54" s="31">
        <f>IF(ISBLANK(V54),"",IF(IFERROR(ABS(V54-'_key'!$A$550)&lt;=0.005,FALSE),"✓","✗"))</f>
        <v>0</v>
      </c>
    </row>
    <row r="55" spans="1:30">
      <c r="A55" s="17" t="s">
        <v>148</v>
      </c>
      <c r="B55" s="28"/>
      <c r="C55" s="28"/>
      <c r="D55" s="28"/>
      <c r="E55" s="29"/>
      <c r="F55" s="30"/>
      <c r="G55" s="30"/>
      <c r="H55" s="37"/>
      <c r="I55" s="30"/>
      <c r="J55" s="30"/>
      <c r="K55" s="37"/>
      <c r="L55" s="28"/>
      <c r="M55" s="38"/>
      <c r="N55" s="30"/>
      <c r="O55" s="28"/>
      <c r="P55" s="28"/>
      <c r="Q55" s="28"/>
      <c r="R55" s="28"/>
      <c r="S55" s="43"/>
      <c r="T55" s="28"/>
      <c r="U55" s="28"/>
      <c r="V55" s="28"/>
      <c r="X55" s="31">
        <f>IF(ISBLANK(H55),"",IF(IFERROR(ABS(H55-'_key'!$A$551)&lt;=5e-05,FALSE),"✓","✗"))</f>
        <v>0</v>
      </c>
      <c r="Y55" s="31">
        <f>IF(ISBLANK(K55),"",IF(IFERROR(ABS(K55-'_key'!$A$552)&lt;=5e-05,FALSE),"✓","✗"))</f>
        <v>0</v>
      </c>
      <c r="Z55" s="31">
        <f>IF(ISBLANK(L55),"",IF(IFERROR(ABS(L55-'_key'!$A$553)&lt;=0.005,FALSE),"✓","✗"))</f>
        <v>0</v>
      </c>
      <c r="AA55" s="31">
        <f>IF(ISBLANK(M55),"",IF(IFERROR(ABS(M55-'_key'!$A$554)&lt;=0.005,FALSE),"✓","✗"))</f>
        <v>0</v>
      </c>
      <c r="AB55" s="31">
        <f>IF(ISBLANK(S55),"",IF(IFERROR(ABS(S55-'_key'!$A$555)&lt;=0.01,FALSE),"✓","✗"))</f>
        <v>0</v>
      </c>
      <c r="AC55" s="31">
        <f>IF(ISBLANK(T55),"",IF(IFERROR(EXACT(T55,'_key'!$A$556),FALSE),"✓","✗"))</f>
        <v>0</v>
      </c>
      <c r="AD55" s="31">
        <f>IF(ISBLANK(V55),"",IF(IFERROR(ABS(V55-'_key'!$A$557)&lt;=0.005,FALSE),"✓","✗"))</f>
        <v>0</v>
      </c>
    </row>
    <row r="56" spans="1:30">
      <c r="A56" s="17" t="s">
        <v>150</v>
      </c>
      <c r="B56" s="28"/>
      <c r="C56" s="28"/>
      <c r="D56" s="28"/>
      <c r="E56" s="29"/>
      <c r="F56" s="30"/>
      <c r="G56" s="30"/>
      <c r="H56" s="37"/>
      <c r="I56" s="30"/>
      <c r="J56" s="30"/>
      <c r="K56" s="37"/>
      <c r="L56" s="28"/>
      <c r="M56" s="38"/>
      <c r="N56" s="30"/>
      <c r="O56" s="28"/>
      <c r="P56" s="28"/>
      <c r="Q56" s="28"/>
      <c r="R56" s="28"/>
      <c r="S56" s="43"/>
      <c r="T56" s="28"/>
      <c r="U56" s="28"/>
      <c r="V56" s="28"/>
      <c r="X56" s="31">
        <f>IF(ISBLANK(H56),"",IF(IFERROR(ABS(H56-'_key'!$A$558)&lt;=5e-05,FALSE),"✓","✗"))</f>
        <v>0</v>
      </c>
      <c r="Y56" s="31">
        <f>IF(ISBLANK(K56),"",IF(IFERROR(ABS(K56-'_key'!$A$559)&lt;=5e-05,FALSE),"✓","✗"))</f>
        <v>0</v>
      </c>
      <c r="Z56" s="31">
        <f>IF(ISBLANK(L56),"",IF(IFERROR(ABS(L56-'_key'!$A$560)&lt;=0.005,FALSE),"✓","✗"))</f>
        <v>0</v>
      </c>
      <c r="AA56" s="31">
        <f>IF(ISBLANK(M56),"",IF(IFERROR(ABS(M56-'_key'!$A$561)&lt;=0.005,FALSE),"✓","✗"))</f>
        <v>0</v>
      </c>
      <c r="AB56" s="31">
        <f>IF(ISBLANK(S56),"",IF(IFERROR(ABS(S56-'_key'!$A$562)&lt;=0.01,FALSE),"✓","✗"))</f>
        <v>0</v>
      </c>
      <c r="AC56" s="31">
        <f>IF(ISBLANK(T56),"",IF(IFERROR(EXACT(T56,'_key'!$A$563),FALSE),"✓","✗"))</f>
        <v>0</v>
      </c>
      <c r="AD56" s="31">
        <f>IF(ISBLANK(V56),"",IF(IFERROR(ABS(V56-'_key'!$A$564)&lt;=0.005,FALSE),"✓","✗"))</f>
        <v>0</v>
      </c>
    </row>
    <row r="57" spans="1:30">
      <c r="A57" s="17" t="s">
        <v>152</v>
      </c>
      <c r="B57" s="28"/>
      <c r="C57" s="28"/>
      <c r="D57" s="28"/>
      <c r="E57" s="29"/>
      <c r="F57" s="30"/>
      <c r="G57" s="30"/>
      <c r="H57" s="37"/>
      <c r="I57" s="30"/>
      <c r="J57" s="30"/>
      <c r="K57" s="37"/>
      <c r="L57" s="28"/>
      <c r="M57" s="38"/>
      <c r="N57" s="30"/>
      <c r="O57" s="28"/>
      <c r="P57" s="28"/>
      <c r="Q57" s="28"/>
      <c r="R57" s="28"/>
      <c r="S57" s="43"/>
      <c r="T57" s="28"/>
      <c r="U57" s="28"/>
      <c r="V57" s="28"/>
      <c r="X57" s="31">
        <f>IF(ISBLANK(H57),"",IF(IFERROR(ABS(H57-'_key'!$A$565)&lt;=5e-05,FALSE),"✓","✗"))</f>
        <v>0</v>
      </c>
      <c r="Y57" s="31">
        <f>IF(ISBLANK(K57),"",IF(IFERROR(ABS(K57-'_key'!$A$566)&lt;=5e-05,FALSE),"✓","✗"))</f>
        <v>0</v>
      </c>
      <c r="Z57" s="31">
        <f>IF(ISBLANK(L57),"",IF(IFERROR(ABS(L57-'_key'!$A$567)&lt;=0.005,FALSE),"✓","✗"))</f>
        <v>0</v>
      </c>
      <c r="AA57" s="31">
        <f>IF(ISBLANK(M57),"",IF(IFERROR(ABS(M57-'_key'!$A$568)&lt;=0.005,FALSE),"✓","✗"))</f>
        <v>0</v>
      </c>
      <c r="AB57" s="31">
        <f>IF(ISBLANK(S57),"",IF(IFERROR(ABS(S57-'_key'!$A$569)&lt;=0.01,FALSE),"✓","✗"))</f>
        <v>0</v>
      </c>
      <c r="AC57" s="31">
        <f>IF(ISBLANK(T57),"",IF(IFERROR(EXACT(T57,'_key'!$A$570),FALSE),"✓","✗"))</f>
        <v>0</v>
      </c>
      <c r="AD57" s="31">
        <f>IF(ISBLANK(V57),"",IF(IFERROR(ABS(V57-'_key'!$A$571)&lt;=0.005,FALSE),"✓","✗"))</f>
        <v>0</v>
      </c>
    </row>
    <row r="58" spans="1:30">
      <c r="A58" s="17" t="s">
        <v>154</v>
      </c>
      <c r="B58" s="28"/>
      <c r="C58" s="28"/>
      <c r="D58" s="28"/>
      <c r="E58" s="29"/>
      <c r="F58" s="30"/>
      <c r="G58" s="30"/>
      <c r="H58" s="37"/>
      <c r="I58" s="30"/>
      <c r="J58" s="30"/>
      <c r="K58" s="37"/>
      <c r="L58" s="28"/>
      <c r="M58" s="38"/>
      <c r="N58" s="30"/>
      <c r="O58" s="28"/>
      <c r="P58" s="28"/>
      <c r="Q58" s="28"/>
      <c r="R58" s="28"/>
      <c r="S58" s="43"/>
      <c r="T58" s="28"/>
      <c r="U58" s="28"/>
      <c r="V58" s="28"/>
      <c r="X58" s="31">
        <f>IF(ISBLANK(H58),"",IF(IFERROR(ABS(H58-'_key'!$A$572)&lt;=5e-05,FALSE),"✓","✗"))</f>
        <v>0</v>
      </c>
      <c r="Y58" s="31">
        <f>IF(ISBLANK(K58),"",IF(IFERROR(ABS(K58-'_key'!$A$573)&lt;=5e-05,FALSE),"✓","✗"))</f>
        <v>0</v>
      </c>
      <c r="Z58" s="31">
        <f>IF(ISBLANK(L58),"",IF(IFERROR(ABS(L58-'_key'!$A$574)&lt;=0.005,FALSE),"✓","✗"))</f>
        <v>0</v>
      </c>
      <c r="AA58" s="31">
        <f>IF(ISBLANK(M58),"",IF(IFERROR(EXACT(M58,'_key'!$A$575),FALSE),"✓","✗"))</f>
        <v>0</v>
      </c>
      <c r="AB58" s="31">
        <f>IF(ISBLANK(S58),"",IF(IFERROR(ABS(S58-'_key'!$A$576)&lt;=0.01,FALSE),"✓","✗"))</f>
        <v>0</v>
      </c>
      <c r="AC58" s="31">
        <f>IF(ISBLANK(T58),"",IF(IFERROR(EXACT(T58,'_key'!$A$577),FALSE),"✓","✗"))</f>
        <v>0</v>
      </c>
      <c r="AD58" s="31">
        <f>IF(ISBLANK(V58),"",IF(IFERROR(ABS(V58-'_key'!$A$578)&lt;=0.005,FALSE),"✓","✗"))</f>
        <v>0</v>
      </c>
    </row>
    <row r="59" spans="1:30">
      <c r="A59" s="17" t="s">
        <v>156</v>
      </c>
      <c r="B59" s="28"/>
      <c r="C59" s="28"/>
      <c r="D59" s="28"/>
      <c r="E59" s="29"/>
      <c r="F59" s="30"/>
      <c r="G59" s="30"/>
      <c r="H59" s="37"/>
      <c r="I59" s="30"/>
      <c r="J59" s="30"/>
      <c r="K59" s="37"/>
      <c r="L59" s="28"/>
      <c r="M59" s="38"/>
      <c r="N59" s="30"/>
      <c r="O59" s="28"/>
      <c r="P59" s="28"/>
      <c r="Q59" s="28"/>
      <c r="R59" s="28"/>
      <c r="S59" s="43"/>
      <c r="T59" s="28"/>
      <c r="U59" s="28"/>
      <c r="V59" s="28"/>
      <c r="X59" s="31">
        <f>IF(ISBLANK(H59),"",IF(IFERROR(ABS(H59-'_key'!$A$579)&lt;=5e-05,FALSE),"✓","✗"))</f>
        <v>0</v>
      </c>
      <c r="Y59" s="31">
        <f>IF(ISBLANK(K59),"",IF(IFERROR(ABS(K59-'_key'!$A$580)&lt;=5e-05,FALSE),"✓","✗"))</f>
        <v>0</v>
      </c>
      <c r="Z59" s="31">
        <f>IF(ISBLANK(L59),"",IF(IFERROR(ABS(L59-'_key'!$A$581)&lt;=0.005,FALSE),"✓","✗"))</f>
        <v>0</v>
      </c>
      <c r="AA59" s="31">
        <f>IF(ISBLANK(M59),"",IF(IFERROR(ABS(M59-'_key'!$A$582)&lt;=0.005,FALSE),"✓","✗"))</f>
        <v>0</v>
      </c>
      <c r="AB59" s="31">
        <f>IF(ISBLANK(S59),"",IF(IFERROR(ABS(S59-'_key'!$A$583)&lt;=0.01,FALSE),"✓","✗"))</f>
        <v>0</v>
      </c>
      <c r="AC59" s="31">
        <f>IF(ISBLANK(T59),"",IF(IFERROR(EXACT(T59,'_key'!$A$584),FALSE),"✓","✗"))</f>
        <v>0</v>
      </c>
      <c r="AD59" s="31">
        <f>IF(ISBLANK(V59),"",IF(IFERROR(ABS(V59-'_key'!$A$585)&lt;=0.005,FALSE),"✓","✗"))</f>
        <v>0</v>
      </c>
    </row>
    <row r="60" spans="1:30">
      <c r="A60" s="17" t="s">
        <v>158</v>
      </c>
      <c r="B60" s="28"/>
      <c r="C60" s="28"/>
      <c r="D60" s="28"/>
      <c r="E60" s="29"/>
      <c r="F60" s="30"/>
      <c r="G60" s="30"/>
      <c r="H60" s="37"/>
      <c r="I60" s="30"/>
      <c r="J60" s="30"/>
      <c r="K60" s="37"/>
      <c r="L60" s="28"/>
      <c r="M60" s="38"/>
      <c r="N60" s="30"/>
      <c r="O60" s="28"/>
      <c r="P60" s="28"/>
      <c r="Q60" s="28"/>
      <c r="R60" s="28"/>
      <c r="S60" s="43"/>
      <c r="T60" s="28"/>
      <c r="U60" s="28"/>
      <c r="V60" s="28"/>
      <c r="X60" s="31">
        <f>IF(ISBLANK(H60),"",IF(IFERROR(ABS(H60-'_key'!$A$586)&lt;=5e-05,FALSE),"✓","✗"))</f>
        <v>0</v>
      </c>
      <c r="Y60" s="31">
        <f>IF(ISBLANK(K60),"",IF(IFERROR(ABS(K60-'_key'!$A$587)&lt;=5e-05,FALSE),"✓","✗"))</f>
        <v>0</v>
      </c>
      <c r="Z60" s="31">
        <f>IF(ISBLANK(L60),"",IF(IFERROR(ABS(L60-'_key'!$A$588)&lt;=0.005,FALSE),"✓","✗"))</f>
        <v>0</v>
      </c>
      <c r="AA60" s="31">
        <f>IF(ISBLANK(M60),"",IF(IFERROR(ABS(M60-'_key'!$A$589)&lt;=0.005,FALSE),"✓","✗"))</f>
        <v>0</v>
      </c>
      <c r="AB60" s="31">
        <f>IF(ISBLANK(S60),"",IF(IFERROR(ABS(S60-'_key'!$A$590)&lt;=0.01,FALSE),"✓","✗"))</f>
        <v>0</v>
      </c>
      <c r="AC60" s="31">
        <f>IF(ISBLANK(T60),"",IF(IFERROR(EXACT(T60,'_key'!$A$591),FALSE),"✓","✗"))</f>
        <v>0</v>
      </c>
      <c r="AD60" s="31">
        <f>IF(ISBLANK(V60),"",IF(IFERROR(ABS(V60-'_key'!$A$592)&lt;=0.005,FALSE),"✓","✗"))</f>
        <v>0</v>
      </c>
    </row>
    <row r="61" spans="1:30">
      <c r="A61" s="17" t="s">
        <v>160</v>
      </c>
      <c r="B61" s="28"/>
      <c r="C61" s="28"/>
      <c r="D61" s="28"/>
      <c r="E61" s="29"/>
      <c r="F61" s="30"/>
      <c r="G61" s="30"/>
      <c r="H61" s="37"/>
      <c r="I61" s="30"/>
      <c r="J61" s="30"/>
      <c r="K61" s="37"/>
      <c r="L61" s="28"/>
      <c r="M61" s="38"/>
      <c r="N61" s="30"/>
      <c r="O61" s="28"/>
      <c r="P61" s="28"/>
      <c r="Q61" s="28"/>
      <c r="R61" s="28"/>
      <c r="S61" s="43"/>
      <c r="T61" s="28"/>
      <c r="U61" s="28"/>
      <c r="V61" s="28"/>
      <c r="X61" s="31">
        <f>IF(ISBLANK(H61),"",IF(IFERROR(ABS(H61-'_key'!$A$593)&lt;=5e-05,FALSE),"✓","✗"))</f>
        <v>0</v>
      </c>
      <c r="Y61" s="31">
        <f>IF(ISBLANK(K61),"",IF(IFERROR(ABS(K61-'_key'!$A$594)&lt;=5e-05,FALSE),"✓","✗"))</f>
        <v>0</v>
      </c>
      <c r="Z61" s="31">
        <f>IF(ISBLANK(L61),"",IF(IFERROR(ABS(L61-'_key'!$A$595)&lt;=0.005,FALSE),"✓","✗"))</f>
        <v>0</v>
      </c>
      <c r="AA61" s="31">
        <f>IF(ISBLANK(M61),"",IF(IFERROR(EXACT(M61,'_key'!$A$596),FALSE),"✓","✗"))</f>
        <v>0</v>
      </c>
      <c r="AB61" s="31">
        <f>IF(ISBLANK(S61),"",IF(IFERROR(ABS(S61-'_key'!$A$597)&lt;=0.01,FALSE),"✓","✗"))</f>
        <v>0</v>
      </c>
      <c r="AC61" s="31">
        <f>IF(ISBLANK(T61),"",IF(IFERROR(EXACT(T61,'_key'!$A$598),FALSE),"✓","✗"))</f>
        <v>0</v>
      </c>
      <c r="AD61" s="31">
        <f>IF(ISBLANK(V61),"",IF(IFERROR(ABS(V61-'_key'!$A$599)&lt;=0.005,FALSE),"✓","✗"))</f>
        <v>0</v>
      </c>
    </row>
    <row r="62" spans="1:30">
      <c r="A62" s="17" t="s">
        <v>162</v>
      </c>
      <c r="B62" s="28"/>
      <c r="C62" s="28"/>
      <c r="D62" s="28"/>
      <c r="E62" s="29"/>
      <c r="F62" s="30"/>
      <c r="G62" s="30"/>
      <c r="H62" s="37"/>
      <c r="I62" s="30"/>
      <c r="J62" s="30"/>
      <c r="K62" s="37"/>
      <c r="L62" s="28"/>
      <c r="M62" s="38"/>
      <c r="N62" s="30"/>
      <c r="O62" s="28"/>
      <c r="P62" s="28"/>
      <c r="Q62" s="28"/>
      <c r="R62" s="28"/>
      <c r="S62" s="43"/>
      <c r="T62" s="28"/>
      <c r="U62" s="28"/>
      <c r="V62" s="28"/>
      <c r="X62" s="31">
        <f>IF(ISBLANK(H62),"",IF(IFERROR(ABS(H62-'_key'!$A$600)&lt;=5e-05,FALSE),"✓","✗"))</f>
        <v>0</v>
      </c>
      <c r="Y62" s="31">
        <f>IF(ISBLANK(K62),"",IF(IFERROR(ABS(K62-'_key'!$A$601)&lt;=5e-05,FALSE),"✓","✗"))</f>
        <v>0</v>
      </c>
      <c r="Z62" s="31">
        <f>IF(ISBLANK(L62),"",IF(IFERROR(ABS(L62-'_key'!$A$602)&lt;=0.005,FALSE),"✓","✗"))</f>
        <v>0</v>
      </c>
      <c r="AA62" s="31">
        <f>IF(ISBLANK(M62),"",IF(IFERROR(ABS(M62-'_key'!$A$603)&lt;=0.005,FALSE),"✓","✗"))</f>
        <v>0</v>
      </c>
      <c r="AB62" s="31">
        <f>IF(ISBLANK(S62),"",IF(IFERROR(ABS(S62-'_key'!$A$604)&lt;=0.01,FALSE),"✓","✗"))</f>
        <v>0</v>
      </c>
      <c r="AC62" s="31">
        <f>IF(ISBLANK(T62),"",IF(IFERROR(EXACT(T62,'_key'!$A$605),FALSE),"✓","✗"))</f>
        <v>0</v>
      </c>
      <c r="AD62" s="31">
        <f>IF(ISBLANK(V62),"",IF(IFERROR(ABS(V62-'_key'!$A$606)&lt;=0.005,FALSE),"✓","✗"))</f>
        <v>0</v>
      </c>
    </row>
    <row r="63" spans="1:30">
      <c r="A63" s="17" t="s">
        <v>164</v>
      </c>
      <c r="B63" s="28"/>
      <c r="C63" s="28"/>
      <c r="D63" s="28"/>
      <c r="E63" s="29"/>
      <c r="F63" s="30"/>
      <c r="G63" s="30"/>
      <c r="H63" s="37"/>
      <c r="I63" s="30"/>
      <c r="J63" s="30"/>
      <c r="K63" s="37"/>
      <c r="L63" s="28"/>
      <c r="M63" s="38"/>
      <c r="N63" s="30"/>
      <c r="O63" s="28"/>
      <c r="P63" s="28"/>
      <c r="Q63" s="28"/>
      <c r="R63" s="28"/>
      <c r="S63" s="43"/>
      <c r="T63" s="28"/>
      <c r="U63" s="28"/>
      <c r="V63" s="28"/>
      <c r="X63" s="31">
        <f>IF(ISBLANK(H63),"",IF(IFERROR(ABS(H63-'_key'!$A$607)&lt;=5e-05,FALSE),"✓","✗"))</f>
        <v>0</v>
      </c>
      <c r="Y63" s="31">
        <f>IF(ISBLANK(K63),"",IF(IFERROR(ABS(K63-'_key'!$A$608)&lt;=5e-05,FALSE),"✓","✗"))</f>
        <v>0</v>
      </c>
      <c r="Z63" s="31">
        <f>IF(ISBLANK(L63),"",IF(IFERROR(ABS(L63-'_key'!$A$609)&lt;=0.005,FALSE),"✓","✗"))</f>
        <v>0</v>
      </c>
      <c r="AA63" s="31">
        <f>IF(ISBLANK(M63),"",IF(IFERROR(ABS(M63-'_key'!$A$610)&lt;=0.005,FALSE),"✓","✗"))</f>
        <v>0</v>
      </c>
      <c r="AB63" s="31">
        <f>IF(ISBLANK(S63),"",IF(IFERROR(ABS(S63-'_key'!$A$611)&lt;=0.01,FALSE),"✓","✗"))</f>
        <v>0</v>
      </c>
      <c r="AC63" s="31">
        <f>IF(ISBLANK(T63),"",IF(IFERROR(EXACT(T63,'_key'!$A$612),FALSE),"✓","✗"))</f>
        <v>0</v>
      </c>
      <c r="AD63" s="31">
        <f>IF(ISBLANK(V63),"",IF(IFERROR(ABS(V63-'_key'!$A$613)&lt;=0.005,FALSE),"✓","✗"))</f>
        <v>0</v>
      </c>
    </row>
    <row r="64" spans="1:30">
      <c r="A64" s="17" t="s">
        <v>166</v>
      </c>
      <c r="B64" s="28"/>
      <c r="C64" s="28"/>
      <c r="D64" s="28"/>
      <c r="E64" s="29"/>
      <c r="F64" s="30"/>
      <c r="G64" s="30"/>
      <c r="H64" s="37"/>
      <c r="I64" s="30"/>
      <c r="J64" s="30"/>
      <c r="K64" s="37"/>
      <c r="L64" s="28"/>
      <c r="M64" s="38"/>
      <c r="N64" s="30"/>
      <c r="O64" s="28"/>
      <c r="P64" s="28"/>
      <c r="Q64" s="28"/>
      <c r="R64" s="28"/>
      <c r="S64" s="43"/>
      <c r="T64" s="28"/>
      <c r="U64" s="28"/>
      <c r="V64" s="28"/>
      <c r="X64" s="31">
        <f>IF(ISBLANK(H64),"",IF(IFERROR(ABS(H64-'_key'!$A$614)&lt;=5e-05,FALSE),"✓","✗"))</f>
        <v>0</v>
      </c>
      <c r="Y64" s="31">
        <f>IF(ISBLANK(K64),"",IF(IFERROR(ABS(K64-'_key'!$A$615)&lt;=5e-05,FALSE),"✓","✗"))</f>
        <v>0</v>
      </c>
      <c r="Z64" s="31">
        <f>IF(ISBLANK(L64),"",IF(IFERROR(ABS(L64-'_key'!$A$616)&lt;=0.005,FALSE),"✓","✗"))</f>
        <v>0</v>
      </c>
      <c r="AA64" s="31">
        <f>IF(ISBLANK(M64),"",IF(IFERROR(ABS(M64-'_key'!$A$617)&lt;=0.005,FALSE),"✓","✗"))</f>
        <v>0</v>
      </c>
      <c r="AB64" s="31">
        <f>IF(ISBLANK(S64),"",IF(IFERROR(ABS(S64-'_key'!$A$618)&lt;=0.01,FALSE),"✓","✗"))</f>
        <v>0</v>
      </c>
      <c r="AC64" s="31">
        <f>IF(ISBLANK(T64),"",IF(IFERROR(EXACT(T64,'_key'!$A$619),FALSE),"✓","✗"))</f>
        <v>0</v>
      </c>
      <c r="AD64" s="31">
        <f>IF(ISBLANK(V64),"",IF(IFERROR(ABS(V64-'_key'!$A$620)&lt;=0.005,FALSE),"✓","✗"))</f>
        <v>0</v>
      </c>
    </row>
    <row r="65" spans="1:30">
      <c r="A65" s="17" t="s">
        <v>168</v>
      </c>
      <c r="B65" s="28"/>
      <c r="C65" s="28"/>
      <c r="D65" s="28"/>
      <c r="E65" s="29"/>
      <c r="F65" s="30"/>
      <c r="G65" s="30"/>
      <c r="H65" s="37"/>
      <c r="I65" s="30"/>
      <c r="J65" s="30"/>
      <c r="K65" s="37"/>
      <c r="L65" s="28"/>
      <c r="M65" s="38"/>
      <c r="N65" s="30"/>
      <c r="O65" s="28"/>
      <c r="P65" s="28"/>
      <c r="Q65" s="28"/>
      <c r="R65" s="28"/>
      <c r="S65" s="43"/>
      <c r="T65" s="28"/>
      <c r="U65" s="28"/>
      <c r="V65" s="28"/>
      <c r="X65" s="31">
        <f>IF(ISBLANK(H65),"",IF(IFERROR(ABS(H65-'_key'!$A$621)&lt;=5e-05,FALSE),"✓","✗"))</f>
        <v>0</v>
      </c>
      <c r="Y65" s="31">
        <f>IF(ISBLANK(K65),"",IF(IFERROR(ABS(K65-'_key'!$A$622)&lt;=5e-05,FALSE),"✓","✗"))</f>
        <v>0</v>
      </c>
      <c r="Z65" s="31">
        <f>IF(ISBLANK(L65),"",IF(IFERROR(ABS(L65-'_key'!$A$623)&lt;=0.005,FALSE),"✓","✗"))</f>
        <v>0</v>
      </c>
      <c r="AA65" s="31">
        <f>IF(ISBLANK(M65),"",IF(IFERROR(EXACT(M65,'_key'!$A$624),FALSE),"✓","✗"))</f>
        <v>0</v>
      </c>
      <c r="AB65" s="31">
        <f>IF(ISBLANK(S65),"",IF(IFERROR(ABS(S65-'_key'!$A$625)&lt;=0.01,FALSE),"✓","✗"))</f>
        <v>0</v>
      </c>
      <c r="AC65" s="31">
        <f>IF(ISBLANK(T65),"",IF(IFERROR(EXACT(T65,'_key'!$A$626),FALSE),"✓","✗"))</f>
        <v>0</v>
      </c>
      <c r="AD65" s="31">
        <f>IF(ISBLANK(V65),"",IF(IFERROR(ABS(V65-'_key'!$A$627)&lt;=0.005,FALSE),"✓","✗"))</f>
        <v>0</v>
      </c>
    </row>
    <row r="66" spans="1:30">
      <c r="A66" s="17" t="s">
        <v>170</v>
      </c>
      <c r="B66" s="28"/>
      <c r="C66" s="28"/>
      <c r="D66" s="28"/>
      <c r="E66" s="29"/>
      <c r="F66" s="30"/>
      <c r="G66" s="30"/>
      <c r="H66" s="37"/>
      <c r="I66" s="30"/>
      <c r="J66" s="30"/>
      <c r="K66" s="37"/>
      <c r="L66" s="28"/>
      <c r="M66" s="38"/>
      <c r="N66" s="30"/>
      <c r="O66" s="28"/>
      <c r="P66" s="28"/>
      <c r="Q66" s="28"/>
      <c r="R66" s="28"/>
      <c r="S66" s="43"/>
      <c r="T66" s="28"/>
      <c r="U66" s="28"/>
      <c r="V66" s="28"/>
      <c r="X66" s="31">
        <f>IF(ISBLANK(H66),"",IF(IFERROR(ABS(H66-'_key'!$A$628)&lt;=5e-05,FALSE),"✓","✗"))</f>
        <v>0</v>
      </c>
      <c r="Y66" s="31">
        <f>IF(ISBLANK(K66),"",IF(IFERROR(ABS(K66-'_key'!$A$629)&lt;=5e-05,FALSE),"✓","✗"))</f>
        <v>0</v>
      </c>
      <c r="Z66" s="31">
        <f>IF(ISBLANK(L66),"",IF(IFERROR(ABS(L66-'_key'!$A$630)&lt;=0.005,FALSE),"✓","✗"))</f>
        <v>0</v>
      </c>
      <c r="AA66" s="31">
        <f>IF(ISBLANK(M66),"",IF(IFERROR(ABS(M66-'_key'!$A$631)&lt;=0.005,FALSE),"✓","✗"))</f>
        <v>0</v>
      </c>
      <c r="AB66" s="31">
        <f>IF(ISBLANK(S66),"",IF(IFERROR(ABS(S66-'_key'!$A$632)&lt;=0.01,FALSE),"✓","✗"))</f>
        <v>0</v>
      </c>
      <c r="AC66" s="31">
        <f>IF(ISBLANK(T66),"",IF(IFERROR(EXACT(T66,'_key'!$A$633),FALSE),"✓","✗"))</f>
        <v>0</v>
      </c>
      <c r="AD66" s="31">
        <f>IF(ISBLANK(V66),"",IF(IFERROR(ABS(V66-'_key'!$A$634)&lt;=0.005,FALSE),"✓","✗"))</f>
        <v>0</v>
      </c>
    </row>
    <row r="67" spans="1:30">
      <c r="A67" s="17" t="s">
        <v>172</v>
      </c>
      <c r="B67" s="28"/>
      <c r="C67" s="28"/>
      <c r="D67" s="28"/>
      <c r="E67" s="29"/>
      <c r="F67" s="30"/>
      <c r="G67" s="30"/>
      <c r="H67" s="37"/>
      <c r="I67" s="30"/>
      <c r="J67" s="30"/>
      <c r="K67" s="37"/>
      <c r="L67" s="28"/>
      <c r="M67" s="38"/>
      <c r="N67" s="30"/>
      <c r="O67" s="28"/>
      <c r="P67" s="28"/>
      <c r="Q67" s="28"/>
      <c r="R67" s="28"/>
      <c r="S67" s="43"/>
      <c r="T67" s="28"/>
      <c r="U67" s="28"/>
      <c r="V67" s="28"/>
      <c r="X67" s="31">
        <f>IF(ISBLANK(H67),"",IF(IFERROR(ABS(H67-'_key'!$A$635)&lt;=5e-05,FALSE),"✓","✗"))</f>
        <v>0</v>
      </c>
      <c r="Y67" s="31">
        <f>IF(ISBLANK(K67),"",IF(IFERROR(ABS(K67-'_key'!$A$636)&lt;=5e-05,FALSE),"✓","✗"))</f>
        <v>0</v>
      </c>
      <c r="Z67" s="31">
        <f>IF(ISBLANK(L67),"",IF(IFERROR(ABS(L67-'_key'!$A$637)&lt;=0.005,FALSE),"✓","✗"))</f>
        <v>0</v>
      </c>
      <c r="AA67" s="31">
        <f>IF(ISBLANK(M67),"",IF(IFERROR(EXACT(M67,'_key'!$A$638),FALSE),"✓","✗"))</f>
        <v>0</v>
      </c>
      <c r="AB67" s="31">
        <f>IF(ISBLANK(S67),"",IF(IFERROR(ABS(S67-'_key'!$A$639)&lt;=0.01,FALSE),"✓","✗"))</f>
        <v>0</v>
      </c>
      <c r="AC67" s="31">
        <f>IF(ISBLANK(T67),"",IF(IFERROR(EXACT(T67,'_key'!$A$640),FALSE),"✓","✗"))</f>
        <v>0</v>
      </c>
      <c r="AD67" s="31">
        <f>IF(ISBLANK(V67),"",IF(IFERROR(ABS(V67-'_key'!$A$641)&lt;=0.005,FALSE),"✓","✗"))</f>
        <v>0</v>
      </c>
    </row>
    <row r="68" spans="1:30">
      <c r="A68" s="17" t="s">
        <v>174</v>
      </c>
      <c r="B68" s="28"/>
      <c r="C68" s="28"/>
      <c r="D68" s="28"/>
      <c r="E68" s="29"/>
      <c r="F68" s="30"/>
      <c r="G68" s="30"/>
      <c r="H68" s="37"/>
      <c r="I68" s="30"/>
      <c r="J68" s="30"/>
      <c r="K68" s="37"/>
      <c r="L68" s="28"/>
      <c r="M68" s="38"/>
      <c r="N68" s="30"/>
      <c r="O68" s="28"/>
      <c r="P68" s="28"/>
      <c r="Q68" s="28"/>
      <c r="R68" s="28"/>
      <c r="S68" s="43"/>
      <c r="T68" s="28"/>
      <c r="U68" s="28"/>
      <c r="V68" s="28"/>
      <c r="X68" s="31">
        <f>IF(ISBLANK(H68),"",IF(IFERROR(ABS(H68-'_key'!$A$642)&lt;=5e-05,FALSE),"✓","✗"))</f>
        <v>0</v>
      </c>
      <c r="Y68" s="31">
        <f>IF(ISBLANK(K68),"",IF(IFERROR(ABS(K68-'_key'!$A$643)&lt;=5e-05,FALSE),"✓","✗"))</f>
        <v>0</v>
      </c>
      <c r="Z68" s="31">
        <f>IF(ISBLANK(L68),"",IF(IFERROR(ABS(L68-'_key'!$A$644)&lt;=0.005,FALSE),"✓","✗"))</f>
        <v>0</v>
      </c>
      <c r="AA68" s="31">
        <f>IF(ISBLANK(M68),"",IF(IFERROR(ABS(M68-'_key'!$A$645)&lt;=0.005,FALSE),"✓","✗"))</f>
        <v>0</v>
      </c>
      <c r="AB68" s="31">
        <f>IF(ISBLANK(S68),"",IF(IFERROR(ABS(S68-'_key'!$A$646)&lt;=0.01,FALSE),"✓","✗"))</f>
        <v>0</v>
      </c>
      <c r="AC68" s="31">
        <f>IF(ISBLANK(T68),"",IF(IFERROR(EXACT(T68,'_key'!$A$647),FALSE),"✓","✗"))</f>
        <v>0</v>
      </c>
      <c r="AD68" s="31">
        <f>IF(ISBLANK(V68),"",IF(IFERROR(ABS(V68-'_key'!$A$648)&lt;=0.005,FALSE),"✓","✗"))</f>
        <v>0</v>
      </c>
    </row>
    <row r="69" spans="1:30">
      <c r="A69" s="17" t="s">
        <v>176</v>
      </c>
      <c r="B69" s="28"/>
      <c r="C69" s="28"/>
      <c r="D69" s="28"/>
      <c r="E69" s="29"/>
      <c r="F69" s="30"/>
      <c r="G69" s="30"/>
      <c r="H69" s="37"/>
      <c r="I69" s="30"/>
      <c r="J69" s="30"/>
      <c r="K69" s="37"/>
      <c r="L69" s="28"/>
      <c r="M69" s="38"/>
      <c r="N69" s="30"/>
      <c r="O69" s="28"/>
      <c r="P69" s="28"/>
      <c r="Q69" s="28"/>
      <c r="R69" s="28"/>
      <c r="S69" s="43"/>
      <c r="T69" s="28"/>
      <c r="U69" s="28"/>
      <c r="V69" s="28"/>
      <c r="X69" s="31">
        <f>IF(ISBLANK(H69),"",IF(IFERROR(ABS(H69-'_key'!$A$649)&lt;=5e-05,FALSE),"✓","✗"))</f>
        <v>0</v>
      </c>
      <c r="Y69" s="31">
        <f>IF(ISBLANK(K69),"",IF(IFERROR(ABS(K69-'_key'!$A$650)&lt;=5e-05,FALSE),"✓","✗"))</f>
        <v>0</v>
      </c>
      <c r="Z69" s="31">
        <f>IF(ISBLANK(L69),"",IF(IFERROR(ABS(L69-'_key'!$A$651)&lt;=0.005,FALSE),"✓","✗"))</f>
        <v>0</v>
      </c>
      <c r="AA69" s="31">
        <f>IF(ISBLANK(M69),"",IF(IFERROR(ABS(M69-'_key'!$A$652)&lt;=0.005,FALSE),"✓","✗"))</f>
        <v>0</v>
      </c>
      <c r="AB69" s="31">
        <f>IF(ISBLANK(S69),"",IF(IFERROR(ABS(S69-'_key'!$A$653)&lt;=0.01,FALSE),"✓","✗"))</f>
        <v>0</v>
      </c>
      <c r="AC69" s="31">
        <f>IF(ISBLANK(T69),"",IF(IFERROR(EXACT(T69,'_key'!$A$654),FALSE),"✓","✗"))</f>
        <v>0</v>
      </c>
      <c r="AD69" s="31">
        <f>IF(ISBLANK(V69),"",IF(IFERROR(ABS(V69-'_key'!$A$655)&lt;=0.005,FALSE),"✓","✗"))</f>
        <v>0</v>
      </c>
    </row>
    <row r="70" spans="1:30">
      <c r="A70" s="17" t="s">
        <v>178</v>
      </c>
      <c r="B70" s="28"/>
      <c r="C70" s="28"/>
      <c r="D70" s="28"/>
      <c r="E70" s="29"/>
      <c r="F70" s="30"/>
      <c r="G70" s="30"/>
      <c r="H70" s="37"/>
      <c r="I70" s="30"/>
      <c r="J70" s="30"/>
      <c r="K70" s="37"/>
      <c r="L70" s="28"/>
      <c r="M70" s="38"/>
      <c r="N70" s="30"/>
      <c r="O70" s="28"/>
      <c r="P70" s="28"/>
      <c r="Q70" s="28"/>
      <c r="R70" s="28"/>
      <c r="S70" s="43"/>
      <c r="T70" s="28"/>
      <c r="U70" s="28"/>
      <c r="V70" s="28"/>
      <c r="X70" s="31">
        <f>IF(ISBLANK(H70),"",IF(IFERROR(ABS(H70-'_key'!$A$656)&lt;=5e-05,FALSE),"✓","✗"))</f>
        <v>0</v>
      </c>
      <c r="Y70" s="31">
        <f>IF(ISBLANK(K70),"",IF(IFERROR(ABS(K70-'_key'!$A$657)&lt;=5e-05,FALSE),"✓","✗"))</f>
        <v>0</v>
      </c>
      <c r="Z70" s="31">
        <f>IF(ISBLANK(L70),"",IF(IFERROR(ABS(L70-'_key'!$A$658)&lt;=0.005,FALSE),"✓","✗"))</f>
        <v>0</v>
      </c>
      <c r="AA70" s="31">
        <f>IF(ISBLANK(M70),"",IF(IFERROR(EXACT(M70,'_key'!$A$659),FALSE),"✓","✗"))</f>
        <v>0</v>
      </c>
      <c r="AB70" s="31">
        <f>IF(ISBLANK(S70),"",IF(IFERROR(ABS(S70-'_key'!$A$660)&lt;=0.01,FALSE),"✓","✗"))</f>
        <v>0</v>
      </c>
      <c r="AC70" s="31">
        <f>IF(ISBLANK(T70),"",IF(IFERROR(EXACT(T70,'_key'!$A$661),FALSE),"✓","✗"))</f>
        <v>0</v>
      </c>
      <c r="AD70" s="31">
        <f>IF(ISBLANK(V70),"",IF(IFERROR(ABS(V70-'_key'!$A$662)&lt;=0.005,FALSE),"✓","✗"))</f>
        <v>0</v>
      </c>
    </row>
    <row r="71" spans="1:30">
      <c r="A71" s="17" t="s">
        <v>180</v>
      </c>
      <c r="B71" s="28"/>
      <c r="C71" s="28"/>
      <c r="D71" s="28"/>
      <c r="E71" s="29"/>
      <c r="F71" s="30"/>
      <c r="G71" s="30"/>
      <c r="H71" s="37"/>
      <c r="I71" s="30"/>
      <c r="J71" s="30"/>
      <c r="K71" s="37"/>
      <c r="L71" s="28"/>
      <c r="M71" s="38"/>
      <c r="N71" s="30"/>
      <c r="O71" s="28"/>
      <c r="P71" s="28"/>
      <c r="Q71" s="28"/>
      <c r="R71" s="28"/>
      <c r="S71" s="43"/>
      <c r="T71" s="28"/>
      <c r="U71" s="28"/>
      <c r="V71" s="28"/>
      <c r="X71" s="31">
        <f>IF(ISBLANK(H71),"",IF(IFERROR(ABS(H71-'_key'!$A$663)&lt;=5e-05,FALSE),"✓","✗"))</f>
        <v>0</v>
      </c>
      <c r="Y71" s="31">
        <f>IF(ISBLANK(K71),"",IF(IFERROR(ABS(K71-'_key'!$A$664)&lt;=5e-05,FALSE),"✓","✗"))</f>
        <v>0</v>
      </c>
      <c r="Z71" s="31">
        <f>IF(ISBLANK(L71),"",IF(IFERROR(ABS(L71-'_key'!$A$665)&lt;=0.005,FALSE),"✓","✗"))</f>
        <v>0</v>
      </c>
      <c r="AA71" s="31">
        <f>IF(ISBLANK(M71),"",IF(IFERROR(EXACT(M71,'_key'!$A$666),FALSE),"✓","✗"))</f>
        <v>0</v>
      </c>
      <c r="AB71" s="31">
        <f>IF(ISBLANK(S71),"",IF(IFERROR(ABS(S71-'_key'!$A$667)&lt;=0.01,FALSE),"✓","✗"))</f>
        <v>0</v>
      </c>
      <c r="AC71" s="31">
        <f>IF(ISBLANK(T71),"",IF(IFERROR(EXACT(T71,'_key'!$A$668),FALSE),"✓","✗"))</f>
        <v>0</v>
      </c>
      <c r="AD71" s="31">
        <f>IF(ISBLANK(V71),"",IF(IFERROR(ABS(V71-'_key'!$A$669)&lt;=0.005,FALSE),"✓","✗"))</f>
        <v>0</v>
      </c>
    </row>
    <row r="72" spans="1:30">
      <c r="A72" s="17" t="s">
        <v>182</v>
      </c>
      <c r="B72" s="28"/>
      <c r="C72" s="28"/>
      <c r="D72" s="28"/>
      <c r="E72" s="29"/>
      <c r="F72" s="30"/>
      <c r="G72" s="30"/>
      <c r="H72" s="37"/>
      <c r="I72" s="30"/>
      <c r="J72" s="30"/>
      <c r="K72" s="37"/>
      <c r="L72" s="28"/>
      <c r="M72" s="38"/>
      <c r="N72" s="30"/>
      <c r="O72" s="28"/>
      <c r="P72" s="28"/>
      <c r="Q72" s="28"/>
      <c r="R72" s="28"/>
      <c r="S72" s="43"/>
      <c r="T72" s="28"/>
      <c r="U72" s="28"/>
      <c r="V72" s="28"/>
      <c r="X72" s="31">
        <f>IF(ISBLANK(H72),"",IF(IFERROR(ABS(H72-'_key'!$A$670)&lt;=5e-05,FALSE),"✓","✗"))</f>
        <v>0</v>
      </c>
      <c r="Y72" s="31">
        <f>IF(ISBLANK(K72),"",IF(IFERROR(ABS(K72-'_key'!$A$671)&lt;=5e-05,FALSE),"✓","✗"))</f>
        <v>0</v>
      </c>
      <c r="Z72" s="31">
        <f>IF(ISBLANK(L72),"",IF(IFERROR(ABS(L72-'_key'!$A$672)&lt;=0.005,FALSE),"✓","✗"))</f>
        <v>0</v>
      </c>
      <c r="AA72" s="31">
        <f>IF(ISBLANK(M72),"",IF(IFERROR(ABS(M72-'_key'!$A$673)&lt;=0.005,FALSE),"✓","✗"))</f>
        <v>0</v>
      </c>
      <c r="AB72" s="31">
        <f>IF(ISBLANK(S72),"",IF(IFERROR(ABS(S72-'_key'!$A$674)&lt;=0.01,FALSE),"✓","✗"))</f>
        <v>0</v>
      </c>
      <c r="AC72" s="31">
        <f>IF(ISBLANK(T72),"",IF(IFERROR(EXACT(T72,'_key'!$A$675),FALSE),"✓","✗"))</f>
        <v>0</v>
      </c>
      <c r="AD72" s="31">
        <f>IF(ISBLANK(V72),"",IF(IFERROR(ABS(V72-'_key'!$A$676)&lt;=0.005,FALSE),"✓","✗"))</f>
        <v>0</v>
      </c>
    </row>
    <row r="73" spans="1:30">
      <c r="A73" s="17" t="s">
        <v>184</v>
      </c>
      <c r="B73" s="28"/>
      <c r="C73" s="28"/>
      <c r="D73" s="28"/>
      <c r="E73" s="29"/>
      <c r="F73" s="30"/>
      <c r="G73" s="30"/>
      <c r="H73" s="37"/>
      <c r="I73" s="30"/>
      <c r="J73" s="30"/>
      <c r="K73" s="37"/>
      <c r="L73" s="28"/>
      <c r="M73" s="38"/>
      <c r="N73" s="30"/>
      <c r="O73" s="28"/>
      <c r="P73" s="28"/>
      <c r="Q73" s="28"/>
      <c r="R73" s="28"/>
      <c r="S73" s="43"/>
      <c r="T73" s="28"/>
      <c r="U73" s="28"/>
      <c r="V73" s="28"/>
      <c r="X73" s="31">
        <f>IF(ISBLANK(H73),"",IF(IFERROR(ABS(H73-'_key'!$A$677)&lt;=5e-05,FALSE),"✓","✗"))</f>
        <v>0</v>
      </c>
      <c r="Y73" s="31">
        <f>IF(ISBLANK(K73),"",IF(IFERROR(ABS(K73-'_key'!$A$678)&lt;=5e-05,FALSE),"✓","✗"))</f>
        <v>0</v>
      </c>
      <c r="Z73" s="31">
        <f>IF(ISBLANK(L73),"",IF(IFERROR(ABS(L73-'_key'!$A$679)&lt;=0.005,FALSE),"✓","✗"))</f>
        <v>0</v>
      </c>
      <c r="AA73" s="31">
        <f>IF(ISBLANK(M73),"",IF(IFERROR(ABS(M73-'_key'!$A$680)&lt;=0.005,FALSE),"✓","✗"))</f>
        <v>0</v>
      </c>
      <c r="AB73" s="31">
        <f>IF(ISBLANK(S73),"",IF(IFERROR(ABS(S73-'_key'!$A$681)&lt;=0.01,FALSE),"✓","✗"))</f>
        <v>0</v>
      </c>
      <c r="AC73" s="31">
        <f>IF(ISBLANK(T73),"",IF(IFERROR(EXACT(T73,'_key'!$A$682),FALSE),"✓","✗"))</f>
        <v>0</v>
      </c>
      <c r="AD73" s="31">
        <f>IF(ISBLANK(V73),"",IF(IFERROR(ABS(V73-'_key'!$A$683)&lt;=0.005,FALSE),"✓","✗"))</f>
        <v>0</v>
      </c>
    </row>
    <row r="74" spans="1:30">
      <c r="A74" s="17" t="s">
        <v>186</v>
      </c>
      <c r="B74" s="28"/>
      <c r="C74" s="28"/>
      <c r="D74" s="28"/>
      <c r="E74" s="29"/>
      <c r="F74" s="30"/>
      <c r="G74" s="30"/>
      <c r="H74" s="37"/>
      <c r="I74" s="30"/>
      <c r="J74" s="30"/>
      <c r="K74" s="37"/>
      <c r="L74" s="28"/>
      <c r="M74" s="38"/>
      <c r="N74" s="30"/>
      <c r="O74" s="28"/>
      <c r="P74" s="28"/>
      <c r="Q74" s="28"/>
      <c r="R74" s="28"/>
      <c r="S74" s="43"/>
      <c r="T74" s="28"/>
      <c r="U74" s="28"/>
      <c r="V74" s="28"/>
      <c r="X74" s="31">
        <f>IF(ISBLANK(H74),"",IF(IFERROR(ABS(H74-'_key'!$A$684)&lt;=5e-05,FALSE),"✓","✗"))</f>
        <v>0</v>
      </c>
      <c r="Y74" s="31">
        <f>IF(ISBLANK(K74),"",IF(IFERROR(ABS(K74-'_key'!$A$685)&lt;=5e-05,FALSE),"✓","✗"))</f>
        <v>0</v>
      </c>
      <c r="Z74" s="31">
        <f>IF(ISBLANK(L74),"",IF(IFERROR(ABS(L74-'_key'!$A$686)&lt;=0.005,FALSE),"✓","✗"))</f>
        <v>0</v>
      </c>
      <c r="AA74" s="31">
        <f>IF(ISBLANK(M74),"",IF(IFERROR(ABS(M74-'_key'!$A$687)&lt;=0.005,FALSE),"✓","✗"))</f>
        <v>0</v>
      </c>
      <c r="AB74" s="31">
        <f>IF(ISBLANK(S74),"",IF(IFERROR(ABS(S74-'_key'!$A$688)&lt;=0.01,FALSE),"✓","✗"))</f>
        <v>0</v>
      </c>
      <c r="AC74" s="31">
        <f>IF(ISBLANK(T74),"",IF(IFERROR(EXACT(T74,'_key'!$A$689),FALSE),"✓","✗"))</f>
        <v>0</v>
      </c>
      <c r="AD74" s="31">
        <f>IF(ISBLANK(V74),"",IF(IFERROR(ABS(V74-'_key'!$A$690)&lt;=0.005,FALSE),"✓","✗"))</f>
        <v>0</v>
      </c>
    </row>
    <row r="75" spans="1:30">
      <c r="A75" s="17" t="s">
        <v>188</v>
      </c>
      <c r="B75" s="28"/>
      <c r="C75" s="28"/>
      <c r="D75" s="28"/>
      <c r="E75" s="29"/>
      <c r="F75" s="30"/>
      <c r="G75" s="30"/>
      <c r="H75" s="37"/>
      <c r="I75" s="30"/>
      <c r="J75" s="30"/>
      <c r="K75" s="37"/>
      <c r="L75" s="28"/>
      <c r="M75" s="38"/>
      <c r="N75" s="30"/>
      <c r="O75" s="28"/>
      <c r="P75" s="28"/>
      <c r="Q75" s="28"/>
      <c r="R75" s="28"/>
      <c r="S75" s="43"/>
      <c r="T75" s="28"/>
      <c r="U75" s="28"/>
      <c r="V75" s="28"/>
      <c r="X75" s="31">
        <f>IF(ISBLANK(H75),"",IF(IFERROR(ABS(H75-'_key'!$A$691)&lt;=5e-05,FALSE),"✓","✗"))</f>
        <v>0</v>
      </c>
      <c r="Y75" s="31">
        <f>IF(ISBLANK(K75),"",IF(IFERROR(ABS(K75-'_key'!$A$692)&lt;=5e-05,FALSE),"✓","✗"))</f>
        <v>0</v>
      </c>
      <c r="Z75" s="31">
        <f>IF(ISBLANK(L75),"",IF(IFERROR(ABS(L75-'_key'!$A$693)&lt;=0.005,FALSE),"✓","✗"))</f>
        <v>0</v>
      </c>
      <c r="AA75" s="31">
        <f>IF(ISBLANK(M75),"",IF(IFERROR(ABS(M75-'_key'!$A$694)&lt;=0.005,FALSE),"✓","✗"))</f>
        <v>0</v>
      </c>
      <c r="AB75" s="31">
        <f>IF(ISBLANK(S75),"",IF(IFERROR(ABS(S75-'_key'!$A$695)&lt;=0.01,FALSE),"✓","✗"))</f>
        <v>0</v>
      </c>
      <c r="AC75" s="31">
        <f>IF(ISBLANK(T75),"",IF(IFERROR(EXACT(T75,'_key'!$A$696),FALSE),"✓","✗"))</f>
        <v>0</v>
      </c>
      <c r="AD75" s="31">
        <f>IF(ISBLANK(V75),"",IF(IFERROR(ABS(V75-'_key'!$A$697)&lt;=0.005,FALSE),"✓","✗"))</f>
        <v>0</v>
      </c>
    </row>
    <row r="76" spans="1:30">
      <c r="A76" s="17" t="s">
        <v>190</v>
      </c>
      <c r="B76" s="28"/>
      <c r="C76" s="28"/>
      <c r="D76" s="28"/>
      <c r="E76" s="29"/>
      <c r="F76" s="30"/>
      <c r="G76" s="30"/>
      <c r="H76" s="37"/>
      <c r="I76" s="30"/>
      <c r="J76" s="30"/>
      <c r="K76" s="37"/>
      <c r="L76" s="28"/>
      <c r="M76" s="38"/>
      <c r="N76" s="30"/>
      <c r="O76" s="28"/>
      <c r="P76" s="28"/>
      <c r="Q76" s="28"/>
      <c r="R76" s="28"/>
      <c r="S76" s="43"/>
      <c r="T76" s="28"/>
      <c r="U76" s="28"/>
      <c r="V76" s="28"/>
      <c r="X76" s="31">
        <f>IF(ISBLANK(H76),"",IF(IFERROR(ABS(H76-'_key'!$A$698)&lt;=5e-05,FALSE),"✓","✗"))</f>
        <v>0</v>
      </c>
      <c r="Y76" s="31">
        <f>IF(ISBLANK(K76),"",IF(IFERROR(ABS(K76-'_key'!$A$699)&lt;=5e-05,FALSE),"✓","✗"))</f>
        <v>0</v>
      </c>
      <c r="Z76" s="31">
        <f>IF(ISBLANK(L76),"",IF(IFERROR(ABS(L76-'_key'!$A$700)&lt;=0.005,FALSE),"✓","✗"))</f>
        <v>0</v>
      </c>
      <c r="AA76" s="31">
        <f>IF(ISBLANK(M76),"",IF(IFERROR(ABS(M76-'_key'!$A$701)&lt;=0.005,FALSE),"✓","✗"))</f>
        <v>0</v>
      </c>
      <c r="AB76" s="31">
        <f>IF(ISBLANK(S76),"",IF(IFERROR(ABS(S76-'_key'!$A$702)&lt;=0.01,FALSE),"✓","✗"))</f>
        <v>0</v>
      </c>
      <c r="AC76" s="31">
        <f>IF(ISBLANK(T76),"",IF(IFERROR(EXACT(T76,'_key'!$A$703),FALSE),"✓","✗"))</f>
        <v>0</v>
      </c>
      <c r="AD76" s="31">
        <f>IF(ISBLANK(V76),"",IF(IFERROR(ABS(V76-'_key'!$A$704)&lt;=0.005,FALSE),"✓","✗"))</f>
        <v>0</v>
      </c>
    </row>
    <row r="77" spans="1:30">
      <c r="A77" s="17" t="s">
        <v>192</v>
      </c>
      <c r="B77" s="28"/>
      <c r="C77" s="28"/>
      <c r="D77" s="28"/>
      <c r="E77" s="29"/>
      <c r="F77" s="30"/>
      <c r="G77" s="30"/>
      <c r="H77" s="37"/>
      <c r="I77" s="30"/>
      <c r="J77" s="30"/>
      <c r="K77" s="37"/>
      <c r="L77" s="28"/>
      <c r="M77" s="38"/>
      <c r="N77" s="30"/>
      <c r="O77" s="28"/>
      <c r="P77" s="28"/>
      <c r="Q77" s="28"/>
      <c r="R77" s="28"/>
      <c r="S77" s="43"/>
      <c r="T77" s="28"/>
      <c r="U77" s="28"/>
      <c r="V77" s="28"/>
      <c r="X77" s="31">
        <f>IF(ISBLANK(H77),"",IF(IFERROR(ABS(H77-'_key'!$A$705)&lt;=5e-05,FALSE),"✓","✗"))</f>
        <v>0</v>
      </c>
      <c r="Y77" s="31">
        <f>IF(ISBLANK(K77),"",IF(IFERROR(ABS(K77-'_key'!$A$706)&lt;=5e-05,FALSE),"✓","✗"))</f>
        <v>0</v>
      </c>
      <c r="Z77" s="31">
        <f>IF(ISBLANK(L77),"",IF(IFERROR(ABS(L77-'_key'!$A$707)&lt;=0.005,FALSE),"✓","✗"))</f>
        <v>0</v>
      </c>
      <c r="AA77" s="31">
        <f>IF(ISBLANK(M77),"",IF(IFERROR(EXACT(M77,'_key'!$A$708),FALSE),"✓","✗"))</f>
        <v>0</v>
      </c>
      <c r="AB77" s="31">
        <f>IF(ISBLANK(S77),"",IF(IFERROR(ABS(S77-'_key'!$A$709)&lt;=0.01,FALSE),"✓","✗"))</f>
        <v>0</v>
      </c>
      <c r="AC77" s="31">
        <f>IF(ISBLANK(T77),"",IF(IFERROR(EXACT(T77,'_key'!$A$710),FALSE),"✓","✗"))</f>
        <v>0</v>
      </c>
      <c r="AD77" s="31">
        <f>IF(ISBLANK(V77),"",IF(IFERROR(ABS(V77-'_key'!$A$711)&lt;=0.005,FALSE),"✓","✗"))</f>
        <v>0</v>
      </c>
    </row>
    <row r="78" spans="1:30">
      <c r="A78" s="17" t="s">
        <v>198</v>
      </c>
      <c r="B78" s="28"/>
      <c r="C78" s="28"/>
      <c r="D78" s="28"/>
      <c r="E78" s="29"/>
      <c r="F78" s="30"/>
      <c r="G78" s="30"/>
      <c r="H78" s="37"/>
      <c r="I78" s="30"/>
      <c r="J78" s="30"/>
      <c r="K78" s="37"/>
      <c r="L78" s="28"/>
      <c r="M78" s="38"/>
      <c r="N78" s="30"/>
      <c r="O78" s="28"/>
      <c r="P78" s="28"/>
      <c r="Q78" s="28"/>
      <c r="R78" s="28"/>
      <c r="S78" s="43"/>
      <c r="T78" s="28"/>
      <c r="U78" s="28"/>
      <c r="V78" s="28"/>
      <c r="X78" s="31">
        <f>IF(ISBLANK(H78),"",IF(IFERROR(ABS(H78-'_key'!$A$712)&lt;=5e-05,FALSE),"✓","✗"))</f>
        <v>0</v>
      </c>
      <c r="Y78" s="31">
        <f>IF(ISBLANK(K78),"",IF(IFERROR(ABS(K78-'_key'!$A$713)&lt;=5e-05,FALSE),"✓","✗"))</f>
        <v>0</v>
      </c>
      <c r="Z78" s="31">
        <f>IF(ISBLANK(L78),"",IF(IFERROR(ABS(L78-'_key'!$A$714)&lt;=0.005,FALSE),"✓","✗"))</f>
        <v>0</v>
      </c>
      <c r="AA78" s="31">
        <f>IF(ISBLANK(M78),"",IF(IFERROR(ABS(M78-'_key'!$A$715)&lt;=0.005,FALSE),"✓","✗"))</f>
        <v>0</v>
      </c>
      <c r="AB78" s="31">
        <f>IF(ISBLANK(S78),"",IF(IFERROR(ABS(S78-'_key'!$A$716)&lt;=0.01,FALSE),"✓","✗"))</f>
        <v>0</v>
      </c>
      <c r="AC78" s="31">
        <f>IF(ISBLANK(T78),"",IF(IFERROR(EXACT(T78,'_key'!$A$717),FALSE),"✓","✗"))</f>
        <v>0</v>
      </c>
      <c r="AD78" s="31">
        <f>IF(ISBLANK(V78),"",IF(IFERROR(ABS(V78-'_key'!$A$718)&lt;=0.005,FALSE),"✓","✗"))</f>
        <v>0</v>
      </c>
    </row>
    <row r="79" spans="1:30">
      <c r="A79" s="17" t="s">
        <v>202</v>
      </c>
      <c r="B79" s="28"/>
      <c r="C79" s="28"/>
      <c r="D79" s="28"/>
      <c r="E79" s="29"/>
      <c r="F79" s="30"/>
      <c r="G79" s="30"/>
      <c r="H79" s="37"/>
      <c r="I79" s="30"/>
      <c r="J79" s="30"/>
      <c r="K79" s="37"/>
      <c r="L79" s="28"/>
      <c r="M79" s="38"/>
      <c r="N79" s="30"/>
      <c r="O79" s="28"/>
      <c r="P79" s="28"/>
      <c r="Q79" s="28"/>
      <c r="R79" s="28"/>
      <c r="S79" s="43"/>
      <c r="T79" s="28"/>
      <c r="U79" s="28"/>
      <c r="V79" s="28"/>
      <c r="X79" s="31">
        <f>IF(ISBLANK(H79),"",IF(IFERROR(ABS(H79-'_key'!$A$719)&lt;=5e-05,FALSE),"✓","✗"))</f>
        <v>0</v>
      </c>
      <c r="Y79" s="31">
        <f>IF(ISBLANK(K79),"",IF(IFERROR(ABS(K79-'_key'!$A$720)&lt;=5e-05,FALSE),"✓","✗"))</f>
        <v>0</v>
      </c>
      <c r="Z79" s="31">
        <f>IF(ISBLANK(L79),"",IF(IFERROR(ABS(L79-'_key'!$A$721)&lt;=0.005,FALSE),"✓","✗"))</f>
        <v>0</v>
      </c>
      <c r="AA79" s="31">
        <f>IF(ISBLANK(M79),"",IF(IFERROR(ABS(M79-'_key'!$A$722)&lt;=0.005,FALSE),"✓","✗"))</f>
        <v>0</v>
      </c>
      <c r="AB79" s="31">
        <f>IF(ISBLANK(S79),"",IF(IFERROR(ABS(S79-'_key'!$A$723)&lt;=0.01,FALSE),"✓","✗"))</f>
        <v>0</v>
      </c>
      <c r="AC79" s="31">
        <f>IF(ISBLANK(T79),"",IF(IFERROR(EXACT(T79,'_key'!$A$724),FALSE),"✓","✗"))</f>
        <v>0</v>
      </c>
      <c r="AD79" s="31">
        <f>IF(ISBLANK(V79),"",IF(IFERROR(ABS(V79-'_key'!$A$725)&lt;=0.005,FALSE),"✓","✗"))</f>
        <v>0</v>
      </c>
    </row>
    <row r="80" spans="1:30">
      <c r="A80" s="17" t="s">
        <v>204</v>
      </c>
      <c r="B80" s="28"/>
      <c r="C80" s="28"/>
      <c r="D80" s="28"/>
      <c r="E80" s="29"/>
      <c r="F80" s="30"/>
      <c r="G80" s="30"/>
      <c r="H80" s="37"/>
      <c r="I80" s="30"/>
      <c r="J80" s="30"/>
      <c r="K80" s="37"/>
      <c r="L80" s="28"/>
      <c r="M80" s="38"/>
      <c r="N80" s="30"/>
      <c r="O80" s="28"/>
      <c r="P80" s="28"/>
      <c r="Q80" s="28"/>
      <c r="R80" s="28"/>
      <c r="S80" s="43"/>
      <c r="T80" s="28"/>
      <c r="U80" s="28"/>
      <c r="V80" s="28"/>
      <c r="X80" s="31">
        <f>IF(ISBLANK(H80),"",IF(IFERROR(ABS(H80-'_key'!$A$726)&lt;=5e-05,FALSE),"✓","✗"))</f>
        <v>0</v>
      </c>
      <c r="Y80" s="31">
        <f>IF(ISBLANK(K80),"",IF(IFERROR(ABS(K80-'_key'!$A$727)&lt;=5e-05,FALSE),"✓","✗"))</f>
        <v>0</v>
      </c>
      <c r="Z80" s="31">
        <f>IF(ISBLANK(L80),"",IF(IFERROR(ABS(L80-'_key'!$A$728)&lt;=0.005,FALSE),"✓","✗"))</f>
        <v>0</v>
      </c>
      <c r="AA80" s="31">
        <f>IF(ISBLANK(M80),"",IF(IFERROR(ABS(M80-'_key'!$A$729)&lt;=0.005,FALSE),"✓","✗"))</f>
        <v>0</v>
      </c>
      <c r="AB80" s="31">
        <f>IF(ISBLANK(S80),"",IF(IFERROR(ABS(S80-'_key'!$A$730)&lt;=0.01,FALSE),"✓","✗"))</f>
        <v>0</v>
      </c>
      <c r="AC80" s="31">
        <f>IF(ISBLANK(T80),"",IF(IFERROR(EXACT(T80,'_key'!$A$731),FALSE),"✓","✗"))</f>
        <v>0</v>
      </c>
      <c r="AD80" s="31">
        <f>IF(ISBLANK(V80),"",IF(IFERROR(ABS(V80-'_key'!$A$732)&lt;=0.005,FALSE),"✓","✗"))</f>
        <v>0</v>
      </c>
    </row>
    <row r="81" spans="1:30">
      <c r="A81" s="17" t="s">
        <v>206</v>
      </c>
      <c r="B81" s="28"/>
      <c r="C81" s="28"/>
      <c r="D81" s="28"/>
      <c r="E81" s="29"/>
      <c r="F81" s="30"/>
      <c r="G81" s="30"/>
      <c r="H81" s="37"/>
      <c r="I81" s="30"/>
      <c r="J81" s="30"/>
      <c r="K81" s="37"/>
      <c r="L81" s="28"/>
      <c r="M81" s="38"/>
      <c r="N81" s="30"/>
      <c r="O81" s="28"/>
      <c r="P81" s="28"/>
      <c r="Q81" s="28"/>
      <c r="R81" s="28"/>
      <c r="S81" s="43"/>
      <c r="T81" s="28"/>
      <c r="U81" s="28"/>
      <c r="V81" s="28"/>
      <c r="X81" s="31">
        <f>IF(ISBLANK(H81),"",IF(IFERROR(ABS(H81-'_key'!$A$733)&lt;=5e-05,FALSE),"✓","✗"))</f>
        <v>0</v>
      </c>
      <c r="Y81" s="31">
        <f>IF(ISBLANK(K81),"",IF(IFERROR(ABS(K81-'_key'!$A$734)&lt;=5e-05,FALSE),"✓","✗"))</f>
        <v>0</v>
      </c>
      <c r="Z81" s="31">
        <f>IF(ISBLANK(L81),"",IF(IFERROR(ABS(L81-'_key'!$A$735)&lt;=0.005,FALSE),"✓","✗"))</f>
        <v>0</v>
      </c>
      <c r="AA81" s="31">
        <f>IF(ISBLANK(M81),"",IF(IFERROR(ABS(M81-'_key'!$A$736)&lt;=0.005,FALSE),"✓","✗"))</f>
        <v>0</v>
      </c>
      <c r="AB81" s="31">
        <f>IF(ISBLANK(S81),"",IF(IFERROR(ABS(S81-'_key'!$A$737)&lt;=0.01,FALSE),"✓","✗"))</f>
        <v>0</v>
      </c>
      <c r="AC81" s="31">
        <f>IF(ISBLANK(T81),"",IF(IFERROR(EXACT(T81,'_key'!$A$738),FALSE),"✓","✗"))</f>
        <v>0</v>
      </c>
      <c r="AD81" s="31">
        <f>IF(ISBLANK(V81),"",IF(IFERROR(ABS(V81-'_key'!$A$739)&lt;=0.005,FALSE),"✓","✗"))</f>
        <v>0</v>
      </c>
    </row>
    <row r="82" spans="1:30">
      <c r="A82" s="17" t="s">
        <v>208</v>
      </c>
      <c r="B82" s="28"/>
      <c r="C82" s="28"/>
      <c r="D82" s="28"/>
      <c r="E82" s="29"/>
      <c r="F82" s="30"/>
      <c r="G82" s="30"/>
      <c r="H82" s="37"/>
      <c r="I82" s="30"/>
      <c r="J82" s="30"/>
      <c r="K82" s="37"/>
      <c r="L82" s="28"/>
      <c r="M82" s="38"/>
      <c r="N82" s="30"/>
      <c r="O82" s="28"/>
      <c r="P82" s="28"/>
      <c r="Q82" s="28"/>
      <c r="R82" s="28"/>
      <c r="S82" s="43"/>
      <c r="T82" s="28"/>
      <c r="U82" s="28"/>
      <c r="V82" s="28"/>
      <c r="X82" s="31">
        <f>IF(ISBLANK(H82),"",IF(IFERROR(ABS(H82-'_key'!$A$740)&lt;=5e-05,FALSE),"✓","✗"))</f>
        <v>0</v>
      </c>
      <c r="Y82" s="31">
        <f>IF(ISBLANK(K82),"",IF(IFERROR(ABS(K82-'_key'!$A$741)&lt;=5e-05,FALSE),"✓","✗"))</f>
        <v>0</v>
      </c>
      <c r="Z82" s="31">
        <f>IF(ISBLANK(L82),"",IF(IFERROR(ABS(L82-'_key'!$A$742)&lt;=0.005,FALSE),"✓","✗"))</f>
        <v>0</v>
      </c>
      <c r="AA82" s="31">
        <f>IF(ISBLANK(M82),"",IF(IFERROR(ABS(M82-'_key'!$A$743)&lt;=0.005,FALSE),"✓","✗"))</f>
        <v>0</v>
      </c>
      <c r="AB82" s="31">
        <f>IF(ISBLANK(S82),"",IF(IFERROR(ABS(S82-'_key'!$A$744)&lt;=0.01,FALSE),"✓","✗"))</f>
        <v>0</v>
      </c>
      <c r="AC82" s="31">
        <f>IF(ISBLANK(T82),"",IF(IFERROR(EXACT(T82,'_key'!$A$745),FALSE),"✓","✗"))</f>
        <v>0</v>
      </c>
      <c r="AD82" s="31">
        <f>IF(ISBLANK(V82),"",IF(IFERROR(ABS(V82-'_key'!$A$746)&lt;=0.005,FALSE),"✓","✗"))</f>
        <v>0</v>
      </c>
    </row>
    <row r="83" spans="1:30">
      <c r="A83" s="17" t="s">
        <v>212</v>
      </c>
      <c r="B83" s="28"/>
      <c r="C83" s="28"/>
      <c r="D83" s="28"/>
      <c r="E83" s="29"/>
      <c r="F83" s="30"/>
      <c r="G83" s="30"/>
      <c r="H83" s="37"/>
      <c r="I83" s="30"/>
      <c r="J83" s="30"/>
      <c r="K83" s="37"/>
      <c r="L83" s="28"/>
      <c r="M83" s="38"/>
      <c r="N83" s="30"/>
      <c r="O83" s="28"/>
      <c r="P83" s="28"/>
      <c r="Q83" s="28"/>
      <c r="R83" s="28"/>
      <c r="S83" s="43"/>
      <c r="T83" s="28"/>
      <c r="U83" s="28"/>
      <c r="V83" s="28"/>
      <c r="X83" s="31">
        <f>IF(ISBLANK(H83),"",IF(IFERROR(ABS(H83-'_key'!$A$747)&lt;=5e-05,FALSE),"✓","✗"))</f>
        <v>0</v>
      </c>
      <c r="Y83" s="31">
        <f>IF(ISBLANK(K83),"",IF(IFERROR(ABS(K83-'_key'!$A$748)&lt;=5e-05,FALSE),"✓","✗"))</f>
        <v>0</v>
      </c>
      <c r="Z83" s="31">
        <f>IF(ISBLANK(L83),"",IF(IFERROR(ABS(L83-'_key'!$A$749)&lt;=0.005,FALSE),"✓","✗"))</f>
        <v>0</v>
      </c>
      <c r="AA83" s="31">
        <f>IF(ISBLANK(M83),"",IF(IFERROR(ABS(M83-'_key'!$A$750)&lt;=0.005,FALSE),"✓","✗"))</f>
        <v>0</v>
      </c>
      <c r="AB83" s="31">
        <f>IF(ISBLANK(S83),"",IF(IFERROR(ABS(S83-'_key'!$A$751)&lt;=0.01,FALSE),"✓","✗"))</f>
        <v>0</v>
      </c>
      <c r="AC83" s="31">
        <f>IF(ISBLANK(T83),"",IF(IFERROR(EXACT(T83,'_key'!$A$752),FALSE),"✓","✗"))</f>
        <v>0</v>
      </c>
      <c r="AD83" s="31">
        <f>IF(ISBLANK(V83),"",IF(IFERROR(ABS(V83-'_key'!$A$753)&lt;=0.005,FALSE),"✓","✗"))</f>
        <v>0</v>
      </c>
    </row>
    <row r="84" spans="1:30">
      <c r="A84" s="17" t="s">
        <v>214</v>
      </c>
      <c r="B84" s="28"/>
      <c r="C84" s="28"/>
      <c r="D84" s="28"/>
      <c r="E84" s="29"/>
      <c r="F84" s="30"/>
      <c r="G84" s="30"/>
      <c r="H84" s="37"/>
      <c r="I84" s="30"/>
      <c r="J84" s="30"/>
      <c r="K84" s="37"/>
      <c r="L84" s="28"/>
      <c r="M84" s="38"/>
      <c r="N84" s="30"/>
      <c r="O84" s="28"/>
      <c r="P84" s="28"/>
      <c r="Q84" s="28"/>
      <c r="R84" s="28"/>
      <c r="S84" s="43"/>
      <c r="T84" s="28"/>
      <c r="U84" s="28"/>
      <c r="V84" s="28"/>
      <c r="X84" s="31">
        <f>IF(ISBLANK(H84),"",IF(IFERROR(ABS(H84-'_key'!$A$754)&lt;=5e-05,FALSE),"✓","✗"))</f>
        <v>0</v>
      </c>
      <c r="Y84" s="31">
        <f>IF(ISBLANK(K84),"",IF(IFERROR(ABS(K84-'_key'!$A$755)&lt;=5e-05,FALSE),"✓","✗"))</f>
        <v>0</v>
      </c>
      <c r="Z84" s="31">
        <f>IF(ISBLANK(L84),"",IF(IFERROR(ABS(L84-'_key'!$A$756)&lt;=0.005,FALSE),"✓","✗"))</f>
        <v>0</v>
      </c>
      <c r="AA84" s="31">
        <f>IF(ISBLANK(M84),"",IF(IFERROR(EXACT(M84,'_key'!$A$757),FALSE),"✓","✗"))</f>
        <v>0</v>
      </c>
      <c r="AB84" s="31">
        <f>IF(ISBLANK(S84),"",IF(IFERROR(ABS(S84-'_key'!$A$758)&lt;=0.01,FALSE),"✓","✗"))</f>
        <v>0</v>
      </c>
      <c r="AC84" s="31">
        <f>IF(ISBLANK(T84),"",IF(IFERROR(EXACT(T84,'_key'!$A$759),FALSE),"✓","✗"))</f>
        <v>0</v>
      </c>
      <c r="AD84" s="31">
        <f>IF(ISBLANK(V84),"",IF(IFERROR(ABS(V84-'_key'!$A$760)&lt;=0.005,FALSE),"✓","✗"))</f>
        <v>0</v>
      </c>
    </row>
    <row r="85" spans="1:30">
      <c r="A85" s="17" t="s">
        <v>216</v>
      </c>
      <c r="B85" s="28"/>
      <c r="C85" s="28"/>
      <c r="D85" s="28"/>
      <c r="E85" s="29"/>
      <c r="F85" s="30"/>
      <c r="G85" s="30"/>
      <c r="H85" s="37"/>
      <c r="I85" s="30"/>
      <c r="J85" s="30"/>
      <c r="K85" s="37"/>
      <c r="L85" s="28"/>
      <c r="M85" s="38"/>
      <c r="N85" s="30"/>
      <c r="O85" s="28"/>
      <c r="P85" s="28"/>
      <c r="Q85" s="28"/>
      <c r="R85" s="28"/>
      <c r="S85" s="43"/>
      <c r="T85" s="28"/>
      <c r="U85" s="28"/>
      <c r="V85" s="28"/>
      <c r="X85" s="31">
        <f>IF(ISBLANK(H85),"",IF(IFERROR(ABS(H85-'_key'!$A$761)&lt;=5e-05,FALSE),"✓","✗"))</f>
        <v>0</v>
      </c>
      <c r="Y85" s="31">
        <f>IF(ISBLANK(K85),"",IF(IFERROR(ABS(K85-'_key'!$A$762)&lt;=5e-05,FALSE),"✓","✗"))</f>
        <v>0</v>
      </c>
      <c r="Z85" s="31">
        <f>IF(ISBLANK(L85),"",IF(IFERROR(ABS(L85-'_key'!$A$763)&lt;=0.005,FALSE),"✓","✗"))</f>
        <v>0</v>
      </c>
      <c r="AA85" s="31">
        <f>IF(ISBLANK(M85),"",IF(IFERROR(EXACT(M85,'_key'!$A$764),FALSE),"✓","✗"))</f>
        <v>0</v>
      </c>
      <c r="AB85" s="31">
        <f>IF(ISBLANK(S85),"",IF(IFERROR(ABS(S85-'_key'!$A$765)&lt;=0.01,FALSE),"✓","✗"))</f>
        <v>0</v>
      </c>
      <c r="AC85" s="31">
        <f>IF(ISBLANK(T85),"",IF(IFERROR(EXACT(T85,'_key'!$A$766),FALSE),"✓","✗"))</f>
        <v>0</v>
      </c>
      <c r="AD85" s="31">
        <f>IF(ISBLANK(V85),"",IF(IFERROR(ABS(V85-'_key'!$A$767)&lt;=0.005,FALSE),"✓","✗"))</f>
        <v>0</v>
      </c>
    </row>
    <row r="86" spans="1:30">
      <c r="A86" s="17" t="s">
        <v>218</v>
      </c>
      <c r="B86" s="28"/>
      <c r="C86" s="28"/>
      <c r="D86" s="28"/>
      <c r="E86" s="29"/>
      <c r="F86" s="30"/>
      <c r="G86" s="30"/>
      <c r="H86" s="37"/>
      <c r="I86" s="30"/>
      <c r="J86" s="30"/>
      <c r="K86" s="37"/>
      <c r="L86" s="28"/>
      <c r="M86" s="38"/>
      <c r="N86" s="30"/>
      <c r="O86" s="28"/>
      <c r="P86" s="28"/>
      <c r="Q86" s="28"/>
      <c r="R86" s="28"/>
      <c r="S86" s="43"/>
      <c r="T86" s="28"/>
      <c r="U86" s="28"/>
      <c r="V86" s="28"/>
      <c r="X86" s="31">
        <f>IF(ISBLANK(H86),"",IF(IFERROR(ABS(H86-'_key'!$A$768)&lt;=5e-05,FALSE),"✓","✗"))</f>
        <v>0</v>
      </c>
      <c r="Y86" s="31">
        <f>IF(ISBLANK(K86),"",IF(IFERROR(ABS(K86-'_key'!$A$769)&lt;=5e-05,FALSE),"✓","✗"))</f>
        <v>0</v>
      </c>
      <c r="Z86" s="31">
        <f>IF(ISBLANK(L86),"",IF(IFERROR(ABS(L86-'_key'!$A$770)&lt;=0.005,FALSE),"✓","✗"))</f>
        <v>0</v>
      </c>
      <c r="AA86" s="31">
        <f>IF(ISBLANK(M86),"",IF(IFERROR(EXACT(M86,'_key'!$A$771),FALSE),"✓","✗"))</f>
        <v>0</v>
      </c>
      <c r="AB86" s="31">
        <f>IF(ISBLANK(S86),"",IF(IFERROR(ABS(S86-'_key'!$A$772)&lt;=0.01,FALSE),"✓","✗"))</f>
        <v>0</v>
      </c>
      <c r="AC86" s="31">
        <f>IF(ISBLANK(T86),"",IF(IFERROR(EXACT(T86,'_key'!$A$773),FALSE),"✓","✗"))</f>
        <v>0</v>
      </c>
      <c r="AD86" s="31">
        <f>IF(ISBLANK(V86),"",IF(IFERROR(ABS(V86-'_key'!$A$774)&lt;=0.005,FALSE),"✓","✗"))</f>
        <v>0</v>
      </c>
    </row>
    <row r="87" spans="1:30">
      <c r="A87" s="17" t="s">
        <v>220</v>
      </c>
      <c r="B87" s="28"/>
      <c r="C87" s="28"/>
      <c r="D87" s="28"/>
      <c r="E87" s="29"/>
      <c r="F87" s="30"/>
      <c r="G87" s="30"/>
      <c r="H87" s="37"/>
      <c r="I87" s="30"/>
      <c r="J87" s="30"/>
      <c r="K87" s="37"/>
      <c r="L87" s="28"/>
      <c r="M87" s="38"/>
      <c r="N87" s="30"/>
      <c r="O87" s="28"/>
      <c r="P87" s="28"/>
      <c r="Q87" s="28"/>
      <c r="R87" s="28"/>
      <c r="S87" s="43"/>
      <c r="T87" s="28"/>
      <c r="U87" s="28"/>
      <c r="V87" s="28"/>
      <c r="X87" s="31">
        <f>IF(ISBLANK(H87),"",IF(IFERROR(ABS(H87-'_key'!$A$775)&lt;=5e-05,FALSE),"✓","✗"))</f>
        <v>0</v>
      </c>
      <c r="Y87" s="31">
        <f>IF(ISBLANK(K87),"",IF(IFERROR(ABS(K87-'_key'!$A$776)&lt;=5e-05,FALSE),"✓","✗"))</f>
        <v>0</v>
      </c>
      <c r="Z87" s="31">
        <f>IF(ISBLANK(L87),"",IF(IFERROR(ABS(L87-'_key'!$A$777)&lt;=0.005,FALSE),"✓","✗"))</f>
        <v>0</v>
      </c>
      <c r="AA87" s="31">
        <f>IF(ISBLANK(M87),"",IF(IFERROR(EXACT(M87,'_key'!$A$778),FALSE),"✓","✗"))</f>
        <v>0</v>
      </c>
      <c r="AB87" s="31">
        <f>IF(ISBLANK(S87),"",IF(IFERROR(ABS(S87-'_key'!$A$779)&lt;=0.01,FALSE),"✓","✗"))</f>
        <v>0</v>
      </c>
      <c r="AC87" s="31">
        <f>IF(ISBLANK(T87),"",IF(IFERROR(EXACT(T87,'_key'!$A$780),FALSE),"✓","✗"))</f>
        <v>0</v>
      </c>
      <c r="AD87" s="31">
        <f>IF(ISBLANK(V87),"",IF(IFERROR(ABS(V87-'_key'!$A$781)&lt;=0.005,FALSE),"✓","✗"))</f>
        <v>0</v>
      </c>
    </row>
    <row r="88" spans="1:30">
      <c r="A88" s="17" t="s">
        <v>222</v>
      </c>
      <c r="B88" s="28"/>
      <c r="C88" s="28"/>
      <c r="D88" s="28"/>
      <c r="E88" s="29"/>
      <c r="F88" s="30"/>
      <c r="G88" s="30"/>
      <c r="H88" s="37"/>
      <c r="I88" s="30"/>
      <c r="J88" s="30"/>
      <c r="K88" s="37"/>
      <c r="L88" s="28"/>
      <c r="M88" s="38"/>
      <c r="N88" s="30"/>
      <c r="O88" s="28"/>
      <c r="P88" s="28"/>
      <c r="Q88" s="28"/>
      <c r="R88" s="28"/>
      <c r="S88" s="43"/>
      <c r="T88" s="28"/>
      <c r="U88" s="28"/>
      <c r="V88" s="28"/>
      <c r="X88" s="31">
        <f>IF(ISBLANK(H88),"",IF(IFERROR(ABS(H88-'_key'!$A$782)&lt;=5e-05,FALSE),"✓","✗"))</f>
        <v>0</v>
      </c>
      <c r="Y88" s="31">
        <f>IF(ISBLANK(K88),"",IF(IFERROR(ABS(K88-'_key'!$A$783)&lt;=5e-05,FALSE),"✓","✗"))</f>
        <v>0</v>
      </c>
      <c r="Z88" s="31">
        <f>IF(ISBLANK(L88),"",IF(IFERROR(ABS(L88-'_key'!$A$784)&lt;=0.005,FALSE),"✓","✗"))</f>
        <v>0</v>
      </c>
      <c r="AA88" s="31">
        <f>IF(ISBLANK(M88),"",IF(IFERROR(ABS(M88-'_key'!$A$785)&lt;=0.005,FALSE),"✓","✗"))</f>
        <v>0</v>
      </c>
      <c r="AB88" s="31">
        <f>IF(ISBLANK(S88),"",IF(IFERROR(ABS(S88-'_key'!$A$786)&lt;=0.01,FALSE),"✓","✗"))</f>
        <v>0</v>
      </c>
      <c r="AC88" s="31">
        <f>IF(ISBLANK(T88),"",IF(IFERROR(EXACT(T88,'_key'!$A$787),FALSE),"✓","✗"))</f>
        <v>0</v>
      </c>
      <c r="AD88" s="31">
        <f>IF(ISBLANK(V88),"",IF(IFERROR(ABS(V88-'_key'!$A$788)&lt;=0.005,FALSE),"✓","✗"))</f>
        <v>0</v>
      </c>
    </row>
    <row r="89" spans="1:30">
      <c r="A89" s="17" t="s">
        <v>224</v>
      </c>
      <c r="B89" s="28"/>
      <c r="C89" s="28"/>
      <c r="D89" s="28"/>
      <c r="E89" s="29"/>
      <c r="F89" s="30"/>
      <c r="G89" s="30"/>
      <c r="H89" s="37"/>
      <c r="I89" s="30"/>
      <c r="J89" s="30"/>
      <c r="K89" s="37"/>
      <c r="L89" s="28"/>
      <c r="M89" s="38"/>
      <c r="N89" s="30"/>
      <c r="O89" s="28"/>
      <c r="P89" s="28"/>
      <c r="Q89" s="28"/>
      <c r="R89" s="28"/>
      <c r="S89" s="43"/>
      <c r="T89" s="28"/>
      <c r="U89" s="28"/>
      <c r="V89" s="28"/>
      <c r="X89" s="31">
        <f>IF(ISBLANK(H89),"",IF(IFERROR(ABS(H89-'_key'!$A$789)&lt;=5e-05,FALSE),"✓","✗"))</f>
        <v>0</v>
      </c>
      <c r="Y89" s="31">
        <f>IF(ISBLANK(K89),"",IF(IFERROR(ABS(K89-'_key'!$A$790)&lt;=5e-05,FALSE),"✓","✗"))</f>
        <v>0</v>
      </c>
      <c r="Z89" s="31">
        <f>IF(ISBLANK(L89),"",IF(IFERROR(ABS(L89-'_key'!$A$791)&lt;=0.005,FALSE),"✓","✗"))</f>
        <v>0</v>
      </c>
      <c r="AA89" s="31">
        <f>IF(ISBLANK(M89),"",IF(IFERROR(ABS(M89-'_key'!$A$792)&lt;=0.005,FALSE),"✓","✗"))</f>
        <v>0</v>
      </c>
      <c r="AB89" s="31">
        <f>IF(ISBLANK(S89),"",IF(IFERROR(ABS(S89-'_key'!$A$793)&lt;=0.01,FALSE),"✓","✗"))</f>
        <v>0</v>
      </c>
      <c r="AC89" s="31">
        <f>IF(ISBLANK(T89),"",IF(IFERROR(EXACT(T89,'_key'!$A$794),FALSE),"✓","✗"))</f>
        <v>0</v>
      </c>
      <c r="AD89" s="31">
        <f>IF(ISBLANK(V89),"",IF(IFERROR(ABS(V89-'_key'!$A$795)&lt;=0.005,FALSE),"✓","✗"))</f>
        <v>0</v>
      </c>
    </row>
    <row r="90" spans="1:30">
      <c r="A90" s="17" t="s">
        <v>228</v>
      </c>
      <c r="B90" s="28"/>
      <c r="C90" s="28"/>
      <c r="D90" s="28"/>
      <c r="E90" s="29"/>
      <c r="F90" s="30"/>
      <c r="G90" s="30"/>
      <c r="H90" s="37"/>
      <c r="I90" s="30"/>
      <c r="J90" s="30"/>
      <c r="K90" s="37"/>
      <c r="L90" s="28"/>
      <c r="M90" s="38"/>
      <c r="N90" s="30"/>
      <c r="O90" s="28"/>
      <c r="P90" s="28"/>
      <c r="Q90" s="28"/>
      <c r="R90" s="28"/>
      <c r="S90" s="43"/>
      <c r="T90" s="28"/>
      <c r="U90" s="28"/>
      <c r="V90" s="28"/>
      <c r="X90" s="31">
        <f>IF(ISBLANK(H90),"",IF(IFERROR(ABS(H90-'_key'!$A$796)&lt;=5e-05,FALSE),"✓","✗"))</f>
        <v>0</v>
      </c>
      <c r="Y90" s="31">
        <f>IF(ISBLANK(K90),"",IF(IFERROR(ABS(K90-'_key'!$A$797)&lt;=5e-05,FALSE),"✓","✗"))</f>
        <v>0</v>
      </c>
      <c r="Z90" s="31">
        <f>IF(ISBLANK(L90),"",IF(IFERROR(ABS(L90-'_key'!$A$798)&lt;=0.005,FALSE),"✓","✗"))</f>
        <v>0</v>
      </c>
      <c r="AA90" s="31">
        <f>IF(ISBLANK(M90),"",IF(IFERROR(EXACT(M90,'_key'!$A$799),FALSE),"✓","✗"))</f>
        <v>0</v>
      </c>
      <c r="AB90" s="31">
        <f>IF(ISBLANK(S90),"",IF(IFERROR(ABS(S90-'_key'!$A$800)&lt;=0.01,FALSE),"✓","✗"))</f>
        <v>0</v>
      </c>
      <c r="AC90" s="31">
        <f>IF(ISBLANK(T90),"",IF(IFERROR(EXACT(T90,'_key'!$A$801),FALSE),"✓","✗"))</f>
        <v>0</v>
      </c>
      <c r="AD90" s="31">
        <f>IF(ISBLANK(V90),"",IF(IFERROR(ABS(V90-'_key'!$A$802)&lt;=0.005,FALSE),"✓","✗"))</f>
        <v>0</v>
      </c>
    </row>
    <row r="91" spans="1:30">
      <c r="A91" s="17" t="s">
        <v>230</v>
      </c>
      <c r="B91" s="28"/>
      <c r="C91" s="28"/>
      <c r="D91" s="28"/>
      <c r="E91" s="29"/>
      <c r="F91" s="30"/>
      <c r="G91" s="30"/>
      <c r="H91" s="37"/>
      <c r="I91" s="30"/>
      <c r="J91" s="30"/>
      <c r="K91" s="37"/>
      <c r="L91" s="28"/>
      <c r="M91" s="38"/>
      <c r="N91" s="30"/>
      <c r="O91" s="28"/>
      <c r="P91" s="28"/>
      <c r="Q91" s="28"/>
      <c r="R91" s="28"/>
      <c r="S91" s="43"/>
      <c r="T91" s="28"/>
      <c r="U91" s="28"/>
      <c r="V91" s="28"/>
      <c r="X91" s="31">
        <f>IF(ISBLANK(H91),"",IF(IFERROR(ABS(H91-'_key'!$A$803)&lt;=5e-05,FALSE),"✓","✗"))</f>
        <v>0</v>
      </c>
      <c r="Y91" s="31">
        <f>IF(ISBLANK(K91),"",IF(IFERROR(ABS(K91-'_key'!$A$804)&lt;=5e-05,FALSE),"✓","✗"))</f>
        <v>0</v>
      </c>
      <c r="Z91" s="31">
        <f>IF(ISBLANK(L91),"",IF(IFERROR(ABS(L91-'_key'!$A$805)&lt;=0.005,FALSE),"✓","✗"))</f>
        <v>0</v>
      </c>
      <c r="AA91" s="31">
        <f>IF(ISBLANK(M91),"",IF(IFERROR(ABS(M91-'_key'!$A$806)&lt;=0.005,FALSE),"✓","✗"))</f>
        <v>0</v>
      </c>
      <c r="AB91" s="31">
        <f>IF(ISBLANK(S91),"",IF(IFERROR(ABS(S91-'_key'!$A$807)&lt;=0.01,FALSE),"✓","✗"))</f>
        <v>0</v>
      </c>
      <c r="AC91" s="31">
        <f>IF(ISBLANK(T91),"",IF(IFERROR(EXACT(T91,'_key'!$A$808),FALSE),"✓","✗"))</f>
        <v>0</v>
      </c>
      <c r="AD91" s="31">
        <f>IF(ISBLANK(V91),"",IF(IFERROR(ABS(V91-'_key'!$A$809)&lt;=0.005,FALSE),"✓","✗"))</f>
        <v>0</v>
      </c>
    </row>
    <row r="92" spans="1:30">
      <c r="A92" s="17" t="s">
        <v>232</v>
      </c>
      <c r="B92" s="28"/>
      <c r="C92" s="28"/>
      <c r="D92" s="28"/>
      <c r="E92" s="29"/>
      <c r="F92" s="30"/>
      <c r="G92" s="30"/>
      <c r="H92" s="37"/>
      <c r="I92" s="30"/>
      <c r="J92" s="30"/>
      <c r="K92" s="37"/>
      <c r="L92" s="28"/>
      <c r="M92" s="38"/>
      <c r="N92" s="30"/>
      <c r="O92" s="28"/>
      <c r="P92" s="28"/>
      <c r="Q92" s="28"/>
      <c r="R92" s="28"/>
      <c r="S92" s="43"/>
      <c r="T92" s="28"/>
      <c r="U92" s="28"/>
      <c r="V92" s="28"/>
      <c r="X92" s="31">
        <f>IF(ISBLANK(H92),"",IF(IFERROR(ABS(H92-'_key'!$A$810)&lt;=5e-05,FALSE),"✓","✗"))</f>
        <v>0</v>
      </c>
      <c r="Y92" s="31">
        <f>IF(ISBLANK(K92),"",IF(IFERROR(ABS(K92-'_key'!$A$811)&lt;=5e-05,FALSE),"✓","✗"))</f>
        <v>0</v>
      </c>
      <c r="Z92" s="31">
        <f>IF(ISBLANK(L92),"",IF(IFERROR(ABS(L92-'_key'!$A$812)&lt;=0.005,FALSE),"✓","✗"))</f>
        <v>0</v>
      </c>
      <c r="AA92" s="31">
        <f>IF(ISBLANK(M92),"",IF(IFERROR(EXACT(M92,'_key'!$A$813),FALSE),"✓","✗"))</f>
        <v>0</v>
      </c>
      <c r="AB92" s="31">
        <f>IF(ISBLANK(S92),"",IF(IFERROR(ABS(S92-'_key'!$A$814)&lt;=0.01,FALSE),"✓","✗"))</f>
        <v>0</v>
      </c>
      <c r="AC92" s="31">
        <f>IF(ISBLANK(T92),"",IF(IFERROR(EXACT(T92,'_key'!$A$815),FALSE),"✓","✗"))</f>
        <v>0</v>
      </c>
      <c r="AD92" s="31">
        <f>IF(ISBLANK(V92),"",IF(IFERROR(ABS(V92-'_key'!$A$816)&lt;=0.005,FALSE),"✓","✗"))</f>
        <v>0</v>
      </c>
    </row>
    <row r="93" spans="1:30">
      <c r="A93" s="17" t="s">
        <v>234</v>
      </c>
      <c r="B93" s="28"/>
      <c r="C93" s="28"/>
      <c r="D93" s="28"/>
      <c r="E93" s="29"/>
      <c r="F93" s="30"/>
      <c r="G93" s="30"/>
      <c r="H93" s="37"/>
      <c r="I93" s="30"/>
      <c r="J93" s="30"/>
      <c r="K93" s="37"/>
      <c r="L93" s="28"/>
      <c r="M93" s="38"/>
      <c r="N93" s="30"/>
      <c r="O93" s="28"/>
      <c r="P93" s="28"/>
      <c r="Q93" s="28"/>
      <c r="R93" s="28"/>
      <c r="S93" s="43"/>
      <c r="T93" s="28"/>
      <c r="U93" s="28"/>
      <c r="V93" s="28"/>
      <c r="X93" s="31">
        <f>IF(ISBLANK(H93),"",IF(IFERROR(ABS(H93-'_key'!$A$817)&lt;=5e-05,FALSE),"✓","✗"))</f>
        <v>0</v>
      </c>
      <c r="Y93" s="31">
        <f>IF(ISBLANK(K93),"",IF(IFERROR(ABS(K93-'_key'!$A$818)&lt;=5e-05,FALSE),"✓","✗"))</f>
        <v>0</v>
      </c>
      <c r="Z93" s="31">
        <f>IF(ISBLANK(L93),"",IF(IFERROR(ABS(L93-'_key'!$A$819)&lt;=0.005,FALSE),"✓","✗"))</f>
        <v>0</v>
      </c>
      <c r="AA93" s="31">
        <f>IF(ISBLANK(M93),"",IF(IFERROR(ABS(M93-'_key'!$A$820)&lt;=0.005,FALSE),"✓","✗"))</f>
        <v>0</v>
      </c>
      <c r="AB93" s="31">
        <f>IF(ISBLANK(S93),"",IF(IFERROR(ABS(S93-'_key'!$A$821)&lt;=0.01,FALSE),"✓","✗"))</f>
        <v>0</v>
      </c>
      <c r="AC93" s="31">
        <f>IF(ISBLANK(T93),"",IF(IFERROR(EXACT(T93,'_key'!$A$822),FALSE),"✓","✗"))</f>
        <v>0</v>
      </c>
      <c r="AD93" s="31">
        <f>IF(ISBLANK(V93),"",IF(IFERROR(ABS(V93-'_key'!$A$823)&lt;=0.005,FALSE),"✓","✗"))</f>
        <v>0</v>
      </c>
    </row>
    <row r="94" spans="1:30">
      <c r="A94" s="17" t="s">
        <v>236</v>
      </c>
      <c r="B94" s="28"/>
      <c r="C94" s="28"/>
      <c r="D94" s="28"/>
      <c r="E94" s="29"/>
      <c r="F94" s="30"/>
      <c r="G94" s="30"/>
      <c r="H94" s="37"/>
      <c r="I94" s="30"/>
      <c r="J94" s="30"/>
      <c r="K94" s="37"/>
      <c r="L94" s="28"/>
      <c r="M94" s="38"/>
      <c r="N94" s="30"/>
      <c r="O94" s="28"/>
      <c r="P94" s="28"/>
      <c r="Q94" s="28"/>
      <c r="R94" s="28"/>
      <c r="S94" s="43"/>
      <c r="T94" s="28"/>
      <c r="U94" s="28"/>
      <c r="V94" s="28"/>
      <c r="X94" s="31">
        <f>IF(ISBLANK(H94),"",IF(IFERROR(ABS(H94-'_key'!$A$824)&lt;=5e-05,FALSE),"✓","✗"))</f>
        <v>0</v>
      </c>
      <c r="Y94" s="31">
        <f>IF(ISBLANK(K94),"",IF(IFERROR(ABS(K94-'_key'!$A$825)&lt;=5e-05,FALSE),"✓","✗"))</f>
        <v>0</v>
      </c>
      <c r="Z94" s="31">
        <f>IF(ISBLANK(L94),"",IF(IFERROR(ABS(L94-'_key'!$A$826)&lt;=0.005,FALSE),"✓","✗"))</f>
        <v>0</v>
      </c>
      <c r="AA94" s="31">
        <f>IF(ISBLANK(M94),"",IF(IFERROR(ABS(M94-'_key'!$A$827)&lt;=0.005,FALSE),"✓","✗"))</f>
        <v>0</v>
      </c>
      <c r="AB94" s="31">
        <f>IF(ISBLANK(S94),"",IF(IFERROR(ABS(S94-'_key'!$A$828)&lt;=0.01,FALSE),"✓","✗"))</f>
        <v>0</v>
      </c>
      <c r="AC94" s="31">
        <f>IF(ISBLANK(T94),"",IF(IFERROR(EXACT(T94,'_key'!$A$829),FALSE),"✓","✗"))</f>
        <v>0</v>
      </c>
      <c r="AD94" s="31">
        <f>IF(ISBLANK(V94),"",IF(IFERROR(ABS(V94-'_key'!$A$830)&lt;=0.005,FALSE),"✓","✗"))</f>
        <v>0</v>
      </c>
    </row>
    <row r="95" spans="1:30">
      <c r="A95" s="17" t="s">
        <v>238</v>
      </c>
      <c r="B95" s="28"/>
      <c r="C95" s="28"/>
      <c r="D95" s="28"/>
      <c r="E95" s="29"/>
      <c r="F95" s="30"/>
      <c r="G95" s="30"/>
      <c r="H95" s="37"/>
      <c r="I95" s="30"/>
      <c r="J95" s="30"/>
      <c r="K95" s="37"/>
      <c r="L95" s="28"/>
      <c r="M95" s="38"/>
      <c r="N95" s="30"/>
      <c r="O95" s="28"/>
      <c r="P95" s="28"/>
      <c r="Q95" s="28"/>
      <c r="R95" s="28"/>
      <c r="S95" s="43"/>
      <c r="T95" s="28"/>
      <c r="U95" s="28"/>
      <c r="V95" s="28"/>
      <c r="X95" s="31">
        <f>IF(ISBLANK(H95),"",IF(IFERROR(ABS(H95-'_key'!$A$831)&lt;=5e-05,FALSE),"✓","✗"))</f>
        <v>0</v>
      </c>
      <c r="Y95" s="31">
        <f>IF(ISBLANK(K95),"",IF(IFERROR(ABS(K95-'_key'!$A$832)&lt;=5e-05,FALSE),"✓","✗"))</f>
        <v>0</v>
      </c>
      <c r="Z95" s="31">
        <f>IF(ISBLANK(L95),"",IF(IFERROR(ABS(L95-'_key'!$A$833)&lt;=0.005,FALSE),"✓","✗"))</f>
        <v>0</v>
      </c>
      <c r="AA95" s="31">
        <f>IF(ISBLANK(M95),"",IF(IFERROR(ABS(M95-'_key'!$A$834)&lt;=0.005,FALSE),"✓","✗"))</f>
        <v>0</v>
      </c>
      <c r="AB95" s="31">
        <f>IF(ISBLANK(S95),"",IF(IFERROR(ABS(S95-'_key'!$A$835)&lt;=0.01,FALSE),"✓","✗"))</f>
        <v>0</v>
      </c>
      <c r="AC95" s="31">
        <f>IF(ISBLANK(T95),"",IF(IFERROR(EXACT(T95,'_key'!$A$836),FALSE),"✓","✗"))</f>
        <v>0</v>
      </c>
      <c r="AD95" s="31">
        <f>IF(ISBLANK(V95),"",IF(IFERROR(ABS(V95-'_key'!$A$837)&lt;=0.005,FALSE),"✓","✗"))</f>
        <v>0</v>
      </c>
    </row>
    <row r="96" spans="1:30">
      <c r="A96" s="17" t="s">
        <v>240</v>
      </c>
      <c r="B96" s="28"/>
      <c r="C96" s="28"/>
      <c r="D96" s="28"/>
      <c r="E96" s="29"/>
      <c r="F96" s="30"/>
      <c r="G96" s="30"/>
      <c r="H96" s="37"/>
      <c r="I96" s="30"/>
      <c r="J96" s="30"/>
      <c r="K96" s="37"/>
      <c r="L96" s="28"/>
      <c r="M96" s="38"/>
      <c r="N96" s="30"/>
      <c r="O96" s="28"/>
      <c r="P96" s="28"/>
      <c r="Q96" s="28"/>
      <c r="R96" s="28"/>
      <c r="S96" s="43"/>
      <c r="T96" s="28"/>
      <c r="U96" s="28"/>
      <c r="V96" s="28"/>
      <c r="X96" s="31">
        <f>IF(ISBLANK(H96),"",IF(IFERROR(ABS(H96-'_key'!$A$838)&lt;=5e-05,FALSE),"✓","✗"))</f>
        <v>0</v>
      </c>
      <c r="Y96" s="31">
        <f>IF(ISBLANK(K96),"",IF(IFERROR(ABS(K96-'_key'!$A$839)&lt;=5e-05,FALSE),"✓","✗"))</f>
        <v>0</v>
      </c>
      <c r="Z96" s="31">
        <f>IF(ISBLANK(L96),"",IF(IFERROR(ABS(L96-'_key'!$A$840)&lt;=0.005,FALSE),"✓","✗"))</f>
        <v>0</v>
      </c>
      <c r="AA96" s="31">
        <f>IF(ISBLANK(M96),"",IF(IFERROR(ABS(M96-'_key'!$A$841)&lt;=0.005,FALSE),"✓","✗"))</f>
        <v>0</v>
      </c>
      <c r="AB96" s="31">
        <f>IF(ISBLANK(S96),"",IF(IFERROR(ABS(S96-'_key'!$A$842)&lt;=0.01,FALSE),"✓","✗"))</f>
        <v>0</v>
      </c>
      <c r="AC96" s="31">
        <f>IF(ISBLANK(T96),"",IF(IFERROR(EXACT(T96,'_key'!$A$843),FALSE),"✓","✗"))</f>
        <v>0</v>
      </c>
      <c r="AD96" s="31">
        <f>IF(ISBLANK(V96),"",IF(IFERROR(ABS(V96-'_key'!$A$844)&lt;=0.005,FALSE),"✓","✗"))</f>
        <v>0</v>
      </c>
    </row>
    <row r="97" spans="1:30">
      <c r="A97" s="17" t="s">
        <v>242</v>
      </c>
      <c r="B97" s="28"/>
      <c r="C97" s="28"/>
      <c r="D97" s="28"/>
      <c r="E97" s="29"/>
      <c r="F97" s="30"/>
      <c r="G97" s="30"/>
      <c r="H97" s="37"/>
      <c r="I97" s="30"/>
      <c r="J97" s="30"/>
      <c r="K97" s="37"/>
      <c r="L97" s="28"/>
      <c r="M97" s="38"/>
      <c r="N97" s="30"/>
      <c r="O97" s="28"/>
      <c r="P97" s="28"/>
      <c r="Q97" s="28"/>
      <c r="R97" s="28"/>
      <c r="S97" s="43"/>
      <c r="T97" s="28"/>
      <c r="U97" s="28"/>
      <c r="V97" s="28"/>
      <c r="X97" s="31">
        <f>IF(ISBLANK(H97),"",IF(IFERROR(ABS(H97-'_key'!$A$845)&lt;=5e-05,FALSE),"✓","✗"))</f>
        <v>0</v>
      </c>
      <c r="Y97" s="31">
        <f>IF(ISBLANK(K97),"",IF(IFERROR(ABS(K97-'_key'!$A$846)&lt;=5e-05,FALSE),"✓","✗"))</f>
        <v>0</v>
      </c>
      <c r="Z97" s="31">
        <f>IF(ISBLANK(L97),"",IF(IFERROR(ABS(L97-'_key'!$A$847)&lt;=0.005,FALSE),"✓","✗"))</f>
        <v>0</v>
      </c>
      <c r="AA97" s="31">
        <f>IF(ISBLANK(M97),"",IF(IFERROR(ABS(M97-'_key'!$A$848)&lt;=0.005,FALSE),"✓","✗"))</f>
        <v>0</v>
      </c>
      <c r="AB97" s="31">
        <f>IF(ISBLANK(S97),"",IF(IFERROR(ABS(S97-'_key'!$A$849)&lt;=0.01,FALSE),"✓","✗"))</f>
        <v>0</v>
      </c>
      <c r="AC97" s="31">
        <f>IF(ISBLANK(T97),"",IF(IFERROR(EXACT(T97,'_key'!$A$850),FALSE),"✓","✗"))</f>
        <v>0</v>
      </c>
      <c r="AD97" s="31">
        <f>IF(ISBLANK(V97),"",IF(IFERROR(ABS(V97-'_key'!$A$851)&lt;=0.005,FALSE),"✓","✗"))</f>
        <v>0</v>
      </c>
    </row>
    <row r="98" spans="1:30">
      <c r="A98" s="17" t="s">
        <v>244</v>
      </c>
      <c r="B98" s="28"/>
      <c r="C98" s="28"/>
      <c r="D98" s="28"/>
      <c r="E98" s="29"/>
      <c r="F98" s="30"/>
      <c r="G98" s="30"/>
      <c r="H98" s="37"/>
      <c r="I98" s="30"/>
      <c r="J98" s="30"/>
      <c r="K98" s="37"/>
      <c r="L98" s="28"/>
      <c r="M98" s="38"/>
      <c r="N98" s="30"/>
      <c r="O98" s="28"/>
      <c r="P98" s="28"/>
      <c r="Q98" s="28"/>
      <c r="R98" s="28"/>
      <c r="S98" s="43"/>
      <c r="T98" s="28"/>
      <c r="U98" s="28"/>
      <c r="V98" s="28"/>
      <c r="X98" s="31">
        <f>IF(ISBLANK(H98),"",IF(IFERROR(ABS(H98-'_key'!$A$852)&lt;=5e-05,FALSE),"✓","✗"))</f>
        <v>0</v>
      </c>
      <c r="Y98" s="31">
        <f>IF(ISBLANK(K98),"",IF(IFERROR(ABS(K98-'_key'!$A$853)&lt;=5e-05,FALSE),"✓","✗"))</f>
        <v>0</v>
      </c>
      <c r="Z98" s="31">
        <f>IF(ISBLANK(L98),"",IF(IFERROR(ABS(L98-'_key'!$A$854)&lt;=0.005,FALSE),"✓","✗"))</f>
        <v>0</v>
      </c>
      <c r="AA98" s="31">
        <f>IF(ISBLANK(M98),"",IF(IFERROR(EXACT(M98,'_key'!$A$855),FALSE),"✓","✗"))</f>
        <v>0</v>
      </c>
      <c r="AB98" s="31">
        <f>IF(ISBLANK(S98),"",IF(IFERROR(ABS(S98-'_key'!$A$856)&lt;=0.01,FALSE),"✓","✗"))</f>
        <v>0</v>
      </c>
      <c r="AC98" s="31">
        <f>IF(ISBLANK(T98),"",IF(IFERROR(EXACT(T98,'_key'!$A$857),FALSE),"✓","✗"))</f>
        <v>0</v>
      </c>
      <c r="AD98" s="31">
        <f>IF(ISBLANK(V98),"",IF(IFERROR(ABS(V98-'_key'!$A$858)&lt;=0.005,FALSE),"✓","✗"))</f>
        <v>0</v>
      </c>
    </row>
    <row r="99" spans="1:30">
      <c r="A99" s="17" t="s">
        <v>246</v>
      </c>
      <c r="B99" s="28"/>
      <c r="C99" s="28"/>
      <c r="D99" s="28"/>
      <c r="E99" s="29"/>
      <c r="F99" s="30"/>
      <c r="G99" s="30"/>
      <c r="H99" s="37"/>
      <c r="I99" s="30"/>
      <c r="J99" s="30"/>
      <c r="K99" s="37"/>
      <c r="L99" s="28"/>
      <c r="M99" s="38"/>
      <c r="N99" s="30"/>
      <c r="O99" s="28"/>
      <c r="P99" s="28"/>
      <c r="Q99" s="28"/>
      <c r="R99" s="28"/>
      <c r="S99" s="43"/>
      <c r="T99" s="28"/>
      <c r="U99" s="28"/>
      <c r="V99" s="28"/>
      <c r="X99" s="31">
        <f>IF(ISBLANK(H99),"",IF(IFERROR(ABS(H99-'_key'!$A$859)&lt;=5e-05,FALSE),"✓","✗"))</f>
        <v>0</v>
      </c>
      <c r="Y99" s="31">
        <f>IF(ISBLANK(K99),"",IF(IFERROR(ABS(K99-'_key'!$A$860)&lt;=5e-05,FALSE),"✓","✗"))</f>
        <v>0</v>
      </c>
      <c r="Z99" s="31">
        <f>IF(ISBLANK(L99),"",IF(IFERROR(ABS(L99-'_key'!$A$861)&lt;=0.005,FALSE),"✓","✗"))</f>
        <v>0</v>
      </c>
      <c r="AA99" s="31">
        <f>IF(ISBLANK(M99),"",IF(IFERROR(EXACT(M99,'_key'!$A$862),FALSE),"✓","✗"))</f>
        <v>0</v>
      </c>
      <c r="AB99" s="31">
        <f>IF(ISBLANK(S99),"",IF(IFERROR(ABS(S99-'_key'!$A$863)&lt;=0.01,FALSE),"✓","✗"))</f>
        <v>0</v>
      </c>
      <c r="AC99" s="31">
        <f>IF(ISBLANK(T99),"",IF(IFERROR(EXACT(T99,'_key'!$A$864),FALSE),"✓","✗"))</f>
        <v>0</v>
      </c>
      <c r="AD99" s="31">
        <f>IF(ISBLANK(V99),"",IF(IFERROR(ABS(V99-'_key'!$A$865)&lt;=0.005,FALSE),"✓","✗"))</f>
        <v>0</v>
      </c>
    </row>
    <row r="100" spans="1:30">
      <c r="A100" s="17" t="s">
        <v>248</v>
      </c>
      <c r="B100" s="28"/>
      <c r="C100" s="28"/>
      <c r="D100" s="28"/>
      <c r="E100" s="29"/>
      <c r="F100" s="30"/>
      <c r="G100" s="30"/>
      <c r="H100" s="37"/>
      <c r="I100" s="30"/>
      <c r="J100" s="30"/>
      <c r="K100" s="37"/>
      <c r="L100" s="28"/>
      <c r="M100" s="38"/>
      <c r="N100" s="30"/>
      <c r="O100" s="28"/>
      <c r="P100" s="28"/>
      <c r="Q100" s="28"/>
      <c r="R100" s="28"/>
      <c r="S100" s="43"/>
      <c r="T100" s="28"/>
      <c r="U100" s="28"/>
      <c r="V100" s="28"/>
      <c r="X100" s="31">
        <f>IF(ISBLANK(H100),"",IF(IFERROR(ABS(H100-'_key'!$A$866)&lt;=5e-05,FALSE),"✓","✗"))</f>
        <v>0</v>
      </c>
      <c r="Y100" s="31">
        <f>IF(ISBLANK(K100),"",IF(IFERROR(ABS(K100-'_key'!$A$867)&lt;=5e-05,FALSE),"✓","✗"))</f>
        <v>0</v>
      </c>
      <c r="Z100" s="31">
        <f>IF(ISBLANK(L100),"",IF(IFERROR(ABS(L100-'_key'!$A$868)&lt;=0.005,FALSE),"✓","✗"))</f>
        <v>0</v>
      </c>
      <c r="AA100" s="31">
        <f>IF(ISBLANK(M100),"",IF(IFERROR(EXACT(M100,'_key'!$A$869),FALSE),"✓","✗"))</f>
        <v>0</v>
      </c>
      <c r="AB100" s="31">
        <f>IF(ISBLANK(S100),"",IF(IFERROR(ABS(S100-'_key'!$A$870)&lt;=0.01,FALSE),"✓","✗"))</f>
        <v>0</v>
      </c>
      <c r="AC100" s="31">
        <f>IF(ISBLANK(T100),"",IF(IFERROR(EXACT(T100,'_key'!$A$871),FALSE),"✓","✗"))</f>
        <v>0</v>
      </c>
      <c r="AD100" s="31">
        <f>IF(ISBLANK(V100),"",IF(IFERROR(ABS(V100-'_key'!$A$872)&lt;=0.005,FALSE),"✓","✗"))</f>
        <v>0</v>
      </c>
    </row>
    <row r="101" spans="1:30">
      <c r="A101" s="17" t="s">
        <v>250</v>
      </c>
      <c r="B101" s="28"/>
      <c r="C101" s="28"/>
      <c r="D101" s="28"/>
      <c r="E101" s="29"/>
      <c r="F101" s="30"/>
      <c r="G101" s="30"/>
      <c r="H101" s="37"/>
      <c r="I101" s="30"/>
      <c r="J101" s="30"/>
      <c r="K101" s="37"/>
      <c r="L101" s="28"/>
      <c r="M101" s="38"/>
      <c r="N101" s="30"/>
      <c r="O101" s="28"/>
      <c r="P101" s="28"/>
      <c r="Q101" s="28"/>
      <c r="R101" s="28"/>
      <c r="S101" s="43"/>
      <c r="T101" s="28"/>
      <c r="U101" s="28"/>
      <c r="V101" s="28"/>
      <c r="X101" s="31">
        <f>IF(ISBLANK(H101),"",IF(IFERROR(ABS(H101-'_key'!$A$873)&lt;=5e-05,FALSE),"✓","✗"))</f>
        <v>0</v>
      </c>
      <c r="Y101" s="31">
        <f>IF(ISBLANK(K101),"",IF(IFERROR(ABS(K101-'_key'!$A$874)&lt;=5e-05,FALSE),"✓","✗"))</f>
        <v>0</v>
      </c>
      <c r="Z101" s="31">
        <f>IF(ISBLANK(L101),"",IF(IFERROR(ABS(L101-'_key'!$A$875)&lt;=0.005,FALSE),"✓","✗"))</f>
        <v>0</v>
      </c>
      <c r="AA101" s="31">
        <f>IF(ISBLANK(M101),"",IF(IFERROR(ABS(M101-'_key'!$A$876)&lt;=0.005,FALSE),"✓","✗"))</f>
        <v>0</v>
      </c>
      <c r="AB101" s="31">
        <f>IF(ISBLANK(S101),"",IF(IFERROR(ABS(S101-'_key'!$A$877)&lt;=0.01,FALSE),"✓","✗"))</f>
        <v>0</v>
      </c>
      <c r="AC101" s="31">
        <f>IF(ISBLANK(T101),"",IF(IFERROR(EXACT(T101,'_key'!$A$878),FALSE),"✓","✗"))</f>
        <v>0</v>
      </c>
      <c r="AD101" s="31">
        <f>IF(ISBLANK(V101),"",IF(IFERROR(ABS(V101-'_key'!$A$879)&lt;=0.005,FALSE),"✓","✗"))</f>
        <v>0</v>
      </c>
    </row>
    <row r="102" spans="1:30">
      <c r="A102" s="17" t="s">
        <v>252</v>
      </c>
      <c r="B102" s="28"/>
      <c r="C102" s="28"/>
      <c r="D102" s="28"/>
      <c r="E102" s="29"/>
      <c r="F102" s="30"/>
      <c r="G102" s="30"/>
      <c r="H102" s="37"/>
      <c r="I102" s="30"/>
      <c r="J102" s="30"/>
      <c r="K102" s="37"/>
      <c r="L102" s="28"/>
      <c r="M102" s="38"/>
      <c r="N102" s="30"/>
      <c r="O102" s="28"/>
      <c r="P102" s="28"/>
      <c r="Q102" s="28"/>
      <c r="R102" s="28"/>
      <c r="S102" s="43"/>
      <c r="T102" s="28"/>
      <c r="U102" s="28"/>
      <c r="V102" s="28"/>
      <c r="X102" s="31">
        <f>IF(ISBLANK(H102),"",IF(IFERROR(ABS(H102-'_key'!$A$880)&lt;=5e-05,FALSE),"✓","✗"))</f>
        <v>0</v>
      </c>
      <c r="Y102" s="31">
        <f>IF(ISBLANK(K102),"",IF(IFERROR(ABS(K102-'_key'!$A$881)&lt;=5e-05,FALSE),"✓","✗"))</f>
        <v>0</v>
      </c>
      <c r="Z102" s="31">
        <f>IF(ISBLANK(L102),"",IF(IFERROR(ABS(L102-'_key'!$A$882)&lt;=0.005,FALSE),"✓","✗"))</f>
        <v>0</v>
      </c>
      <c r="AA102" s="31">
        <f>IF(ISBLANK(M102),"",IF(IFERROR(EXACT(M102,'_key'!$A$883),FALSE),"✓","✗"))</f>
        <v>0</v>
      </c>
      <c r="AB102" s="31">
        <f>IF(ISBLANK(S102),"",IF(IFERROR(ABS(S102-'_key'!$A$884)&lt;=0.01,FALSE),"✓","✗"))</f>
        <v>0</v>
      </c>
      <c r="AC102" s="31">
        <f>IF(ISBLANK(T102),"",IF(IFERROR(EXACT(T102,'_key'!$A$885),FALSE),"✓","✗"))</f>
        <v>0</v>
      </c>
      <c r="AD102" s="31">
        <f>IF(ISBLANK(V102),"",IF(IFERROR(ABS(V102-'_key'!$A$886)&lt;=0.005,FALSE),"✓","✗"))</f>
        <v>0</v>
      </c>
    </row>
    <row r="103" spans="1:30">
      <c r="A103" s="17" t="s">
        <v>254</v>
      </c>
      <c r="B103" s="28"/>
      <c r="C103" s="28"/>
      <c r="D103" s="28"/>
      <c r="E103" s="29"/>
      <c r="F103" s="30"/>
      <c r="G103" s="30"/>
      <c r="H103" s="37"/>
      <c r="I103" s="30"/>
      <c r="J103" s="30"/>
      <c r="K103" s="37"/>
      <c r="L103" s="28"/>
      <c r="M103" s="38"/>
      <c r="N103" s="30"/>
      <c r="O103" s="28"/>
      <c r="P103" s="28"/>
      <c r="Q103" s="28"/>
      <c r="R103" s="28"/>
      <c r="S103" s="43"/>
      <c r="T103" s="28"/>
      <c r="U103" s="28"/>
      <c r="V103" s="28"/>
      <c r="X103" s="31">
        <f>IF(ISBLANK(H103),"",IF(IFERROR(ABS(H103-'_key'!$A$887)&lt;=5e-05,FALSE),"✓","✗"))</f>
        <v>0</v>
      </c>
      <c r="Y103" s="31">
        <f>IF(ISBLANK(K103),"",IF(IFERROR(ABS(K103-'_key'!$A$888)&lt;=5e-05,FALSE),"✓","✗"))</f>
        <v>0</v>
      </c>
      <c r="Z103" s="31">
        <f>IF(ISBLANK(L103),"",IF(IFERROR(ABS(L103-'_key'!$A$889)&lt;=0.005,FALSE),"✓","✗"))</f>
        <v>0</v>
      </c>
      <c r="AA103" s="31">
        <f>IF(ISBLANK(M103),"",IF(IFERROR(EXACT(M103,'_key'!$A$890),FALSE),"✓","✗"))</f>
        <v>0</v>
      </c>
      <c r="AB103" s="31">
        <f>IF(ISBLANK(S103),"",IF(IFERROR(ABS(S103-'_key'!$A$891)&lt;=0.01,FALSE),"✓","✗"))</f>
        <v>0</v>
      </c>
      <c r="AC103" s="31">
        <f>IF(ISBLANK(T103),"",IF(IFERROR(EXACT(T103,'_key'!$A$892),FALSE),"✓","✗"))</f>
        <v>0</v>
      </c>
      <c r="AD103" s="31">
        <f>IF(ISBLANK(V103),"",IF(IFERROR(ABS(V103-'_key'!$A$893)&lt;=0.005,FALSE),"✓","✗"))</f>
        <v>0</v>
      </c>
    </row>
    <row r="104" spans="1:30">
      <c r="A104" s="17" t="s">
        <v>256</v>
      </c>
      <c r="B104" s="28"/>
      <c r="C104" s="28"/>
      <c r="D104" s="28"/>
      <c r="E104" s="29"/>
      <c r="F104" s="30"/>
      <c r="G104" s="30"/>
      <c r="H104" s="37"/>
      <c r="I104" s="30"/>
      <c r="J104" s="30"/>
      <c r="K104" s="37"/>
      <c r="L104" s="28"/>
      <c r="M104" s="38"/>
      <c r="N104" s="30"/>
      <c r="O104" s="28"/>
      <c r="P104" s="28"/>
      <c r="Q104" s="28"/>
      <c r="R104" s="28"/>
      <c r="S104" s="43"/>
      <c r="T104" s="28"/>
      <c r="U104" s="28"/>
      <c r="V104" s="28"/>
      <c r="X104" s="31">
        <f>IF(ISBLANK(H104),"",IF(IFERROR(ABS(H104-'_key'!$A$894)&lt;=5e-05,FALSE),"✓","✗"))</f>
        <v>0</v>
      </c>
      <c r="Y104" s="31">
        <f>IF(ISBLANK(K104),"",IF(IFERROR(ABS(K104-'_key'!$A$895)&lt;=5e-05,FALSE),"✓","✗"))</f>
        <v>0</v>
      </c>
      <c r="Z104" s="31">
        <f>IF(ISBLANK(L104),"",IF(IFERROR(ABS(L104-'_key'!$A$896)&lt;=0.005,FALSE),"✓","✗"))</f>
        <v>0</v>
      </c>
      <c r="AA104" s="31">
        <f>IF(ISBLANK(M104),"",IF(IFERROR(ABS(M104-'_key'!$A$897)&lt;=0.005,FALSE),"✓","✗"))</f>
        <v>0</v>
      </c>
      <c r="AB104" s="31">
        <f>IF(ISBLANK(S104),"",IF(IFERROR(ABS(S104-'_key'!$A$898)&lt;=0.01,FALSE),"✓","✗"))</f>
        <v>0</v>
      </c>
      <c r="AC104" s="31">
        <f>IF(ISBLANK(T104),"",IF(IFERROR(EXACT(T104,'_key'!$A$899),FALSE),"✓","✗"))</f>
        <v>0</v>
      </c>
      <c r="AD104" s="31">
        <f>IF(ISBLANK(V104),"",IF(IFERROR(ABS(V104-'_key'!$A$900)&lt;=0.005,FALSE),"✓","✗"))</f>
        <v>0</v>
      </c>
    </row>
    <row r="105" spans="1:30">
      <c r="A105" s="17" t="s">
        <v>258</v>
      </c>
      <c r="B105" s="28"/>
      <c r="C105" s="28"/>
      <c r="D105" s="28"/>
      <c r="E105" s="29"/>
      <c r="F105" s="30"/>
      <c r="G105" s="30"/>
      <c r="H105" s="37"/>
      <c r="I105" s="30"/>
      <c r="J105" s="30"/>
      <c r="K105" s="37"/>
      <c r="L105" s="28"/>
      <c r="M105" s="38"/>
      <c r="N105" s="30"/>
      <c r="O105" s="28"/>
      <c r="P105" s="28"/>
      <c r="Q105" s="28"/>
      <c r="R105" s="28"/>
      <c r="S105" s="43"/>
      <c r="T105" s="28"/>
      <c r="U105" s="28"/>
      <c r="V105" s="28"/>
      <c r="X105" s="31">
        <f>IF(ISBLANK(H105),"",IF(IFERROR(ABS(H105-'_key'!$A$901)&lt;=5e-05,FALSE),"✓","✗"))</f>
        <v>0</v>
      </c>
      <c r="Y105" s="31">
        <f>IF(ISBLANK(K105),"",IF(IFERROR(ABS(K105-'_key'!$A$902)&lt;=5e-05,FALSE),"✓","✗"))</f>
        <v>0</v>
      </c>
      <c r="Z105" s="31">
        <f>IF(ISBLANK(L105),"",IF(IFERROR(ABS(L105-'_key'!$A$903)&lt;=0.005,FALSE),"✓","✗"))</f>
        <v>0</v>
      </c>
      <c r="AA105" s="31">
        <f>IF(ISBLANK(M105),"",IF(IFERROR(EXACT(M105,'_key'!$A$904),FALSE),"✓","✗"))</f>
        <v>0</v>
      </c>
      <c r="AB105" s="31">
        <f>IF(ISBLANK(S105),"",IF(IFERROR(ABS(S105-'_key'!$A$905)&lt;=0.01,FALSE),"✓","✗"))</f>
        <v>0</v>
      </c>
      <c r="AC105" s="31">
        <f>IF(ISBLANK(T105),"",IF(IFERROR(EXACT(T105,'_key'!$A$906),FALSE),"✓","✗"))</f>
        <v>0</v>
      </c>
      <c r="AD105" s="31">
        <f>IF(ISBLANK(V105),"",IF(IFERROR(ABS(V105-'_key'!$A$907)&lt;=0.005,FALSE),"✓","✗"))</f>
        <v>0</v>
      </c>
    </row>
    <row r="106" spans="1:30">
      <c r="A106" s="17" t="s">
        <v>260</v>
      </c>
      <c r="B106" s="28"/>
      <c r="C106" s="28"/>
      <c r="D106" s="28"/>
      <c r="E106" s="29"/>
      <c r="F106" s="30"/>
      <c r="G106" s="30"/>
      <c r="H106" s="37"/>
      <c r="I106" s="30"/>
      <c r="J106" s="30"/>
      <c r="K106" s="37"/>
      <c r="L106" s="28"/>
      <c r="M106" s="38"/>
      <c r="N106" s="30"/>
      <c r="O106" s="28"/>
      <c r="P106" s="28"/>
      <c r="Q106" s="28"/>
      <c r="R106" s="28"/>
      <c r="S106" s="43"/>
      <c r="T106" s="28"/>
      <c r="U106" s="28"/>
      <c r="V106" s="28"/>
      <c r="X106" s="31">
        <f>IF(ISBLANK(H106),"",IF(IFERROR(ABS(H106-'_key'!$A$908)&lt;=5e-05,FALSE),"✓","✗"))</f>
        <v>0</v>
      </c>
      <c r="Y106" s="31">
        <f>IF(ISBLANK(K106),"",IF(IFERROR(ABS(K106-'_key'!$A$909)&lt;=5e-05,FALSE),"✓","✗"))</f>
        <v>0</v>
      </c>
      <c r="Z106" s="31">
        <f>IF(ISBLANK(L106),"",IF(IFERROR(ABS(L106-'_key'!$A$910)&lt;=0.005,FALSE),"✓","✗"))</f>
        <v>0</v>
      </c>
      <c r="AA106" s="31">
        <f>IF(ISBLANK(M106),"",IF(IFERROR(ABS(M106-'_key'!$A$911)&lt;=0.005,FALSE),"✓","✗"))</f>
        <v>0</v>
      </c>
      <c r="AB106" s="31">
        <f>IF(ISBLANK(S106),"",IF(IFERROR(ABS(S106-'_key'!$A$912)&lt;=0.01,FALSE),"✓","✗"))</f>
        <v>0</v>
      </c>
      <c r="AC106" s="31">
        <f>IF(ISBLANK(T106),"",IF(IFERROR(EXACT(T106,'_key'!$A$913),FALSE),"✓","✗"))</f>
        <v>0</v>
      </c>
      <c r="AD106" s="31">
        <f>IF(ISBLANK(V106),"",IF(IFERROR(ABS(V106-'_key'!$A$914)&lt;=0.005,FALSE),"✓","✗"))</f>
        <v>0</v>
      </c>
    </row>
    <row r="107" spans="1:30">
      <c r="A107" s="17" t="s">
        <v>262</v>
      </c>
      <c r="B107" s="28"/>
      <c r="C107" s="28"/>
      <c r="D107" s="28"/>
      <c r="E107" s="29"/>
      <c r="F107" s="30"/>
      <c r="G107" s="30"/>
      <c r="H107" s="37"/>
      <c r="I107" s="30"/>
      <c r="J107" s="30"/>
      <c r="K107" s="37"/>
      <c r="L107" s="28"/>
      <c r="M107" s="38"/>
      <c r="N107" s="30"/>
      <c r="O107" s="28"/>
      <c r="P107" s="28"/>
      <c r="Q107" s="28"/>
      <c r="R107" s="28"/>
      <c r="S107" s="43"/>
      <c r="T107" s="28"/>
      <c r="U107" s="28"/>
      <c r="V107" s="28"/>
      <c r="X107" s="31">
        <f>IF(ISBLANK(H107),"",IF(IFERROR(ABS(H107-'_key'!$A$915)&lt;=5e-05,FALSE),"✓","✗"))</f>
        <v>0</v>
      </c>
      <c r="Y107" s="31">
        <f>IF(ISBLANK(K107),"",IF(IFERROR(ABS(K107-'_key'!$A$916)&lt;=5e-05,FALSE),"✓","✗"))</f>
        <v>0</v>
      </c>
      <c r="Z107" s="31">
        <f>IF(ISBLANK(L107),"",IF(IFERROR(ABS(L107-'_key'!$A$917)&lt;=0.005,FALSE),"✓","✗"))</f>
        <v>0</v>
      </c>
      <c r="AA107" s="31">
        <f>IF(ISBLANK(M107),"",IF(IFERROR(ABS(M107-'_key'!$A$918)&lt;=0.005,FALSE),"✓","✗"))</f>
        <v>0</v>
      </c>
      <c r="AB107" s="31">
        <f>IF(ISBLANK(S107),"",IF(IFERROR(ABS(S107-'_key'!$A$919)&lt;=0.01,FALSE),"✓","✗"))</f>
        <v>0</v>
      </c>
      <c r="AC107" s="31">
        <f>IF(ISBLANK(T107),"",IF(IFERROR(EXACT(T107,'_key'!$A$920),FALSE),"✓","✗"))</f>
        <v>0</v>
      </c>
      <c r="AD107" s="31">
        <f>IF(ISBLANK(V107),"",IF(IFERROR(ABS(V107-'_key'!$A$921)&lt;=0.005,FALSE),"✓","✗"))</f>
        <v>0</v>
      </c>
    </row>
    <row r="108" spans="1:30">
      <c r="A108" s="17" t="s">
        <v>264</v>
      </c>
      <c r="B108" s="28"/>
      <c r="C108" s="28"/>
      <c r="D108" s="28"/>
      <c r="E108" s="29"/>
      <c r="F108" s="30"/>
      <c r="G108" s="30"/>
      <c r="H108" s="37"/>
      <c r="I108" s="30"/>
      <c r="J108" s="30"/>
      <c r="K108" s="37"/>
      <c r="L108" s="28"/>
      <c r="M108" s="38"/>
      <c r="N108" s="30"/>
      <c r="O108" s="28"/>
      <c r="P108" s="28"/>
      <c r="Q108" s="28"/>
      <c r="R108" s="28"/>
      <c r="S108" s="43"/>
      <c r="T108" s="28"/>
      <c r="U108" s="28"/>
      <c r="V108" s="28"/>
      <c r="X108" s="31">
        <f>IF(ISBLANK(H108),"",IF(IFERROR(ABS(H108-'_key'!$A$922)&lt;=5e-05,FALSE),"✓","✗"))</f>
        <v>0</v>
      </c>
      <c r="Y108" s="31">
        <f>IF(ISBLANK(K108),"",IF(IFERROR(ABS(K108-'_key'!$A$923)&lt;=5e-05,FALSE),"✓","✗"))</f>
        <v>0</v>
      </c>
      <c r="Z108" s="31">
        <f>IF(ISBLANK(L108),"",IF(IFERROR(ABS(L108-'_key'!$A$924)&lt;=0.005,FALSE),"✓","✗"))</f>
        <v>0</v>
      </c>
      <c r="AA108" s="31">
        <f>IF(ISBLANK(M108),"",IF(IFERROR(EXACT(M108,'_key'!$A$925),FALSE),"✓","✗"))</f>
        <v>0</v>
      </c>
      <c r="AB108" s="31">
        <f>IF(ISBLANK(S108),"",IF(IFERROR(ABS(S108-'_key'!$A$926)&lt;=0.01,FALSE),"✓","✗"))</f>
        <v>0</v>
      </c>
      <c r="AC108" s="31">
        <f>IF(ISBLANK(T108),"",IF(IFERROR(EXACT(T108,'_key'!$A$927),FALSE),"✓","✗"))</f>
        <v>0</v>
      </c>
      <c r="AD108" s="31">
        <f>IF(ISBLANK(V108),"",IF(IFERROR(ABS(V108-'_key'!$A$928)&lt;=0.005,FALSE),"✓","✗"))</f>
        <v>0</v>
      </c>
    </row>
    <row r="109" spans="1:30">
      <c r="A109" s="17" t="s">
        <v>266</v>
      </c>
      <c r="B109" s="28"/>
      <c r="C109" s="28"/>
      <c r="D109" s="28"/>
      <c r="E109" s="29"/>
      <c r="F109" s="30"/>
      <c r="G109" s="30"/>
      <c r="H109" s="37"/>
      <c r="I109" s="30"/>
      <c r="J109" s="30"/>
      <c r="K109" s="37"/>
      <c r="L109" s="28"/>
      <c r="M109" s="38"/>
      <c r="N109" s="30"/>
      <c r="O109" s="28"/>
      <c r="P109" s="28"/>
      <c r="Q109" s="28"/>
      <c r="R109" s="28"/>
      <c r="S109" s="43"/>
      <c r="T109" s="28"/>
      <c r="U109" s="28"/>
      <c r="V109" s="28"/>
      <c r="X109" s="31">
        <f>IF(ISBLANK(H109),"",IF(IFERROR(ABS(H109-'_key'!$A$929)&lt;=5e-05,FALSE),"✓","✗"))</f>
        <v>0</v>
      </c>
      <c r="Y109" s="31">
        <f>IF(ISBLANK(K109),"",IF(IFERROR(ABS(K109-'_key'!$A$930)&lt;=5e-05,FALSE),"✓","✗"))</f>
        <v>0</v>
      </c>
      <c r="Z109" s="31">
        <f>IF(ISBLANK(L109),"",IF(IFERROR(ABS(L109-'_key'!$A$931)&lt;=0.005,FALSE),"✓","✗"))</f>
        <v>0</v>
      </c>
      <c r="AA109" s="31">
        <f>IF(ISBLANK(M109),"",IF(IFERROR(ABS(M109-'_key'!$A$932)&lt;=0.005,FALSE),"✓","✗"))</f>
        <v>0</v>
      </c>
      <c r="AB109" s="31">
        <f>IF(ISBLANK(S109),"",IF(IFERROR(ABS(S109-'_key'!$A$933)&lt;=0.01,FALSE),"✓","✗"))</f>
        <v>0</v>
      </c>
      <c r="AC109" s="31">
        <f>IF(ISBLANK(T109),"",IF(IFERROR(EXACT(T109,'_key'!$A$934),FALSE),"✓","✗"))</f>
        <v>0</v>
      </c>
      <c r="AD109" s="31">
        <f>IF(ISBLANK(V109),"",IF(IFERROR(ABS(V109-'_key'!$A$935)&lt;=0.005,FALSE),"✓","✗"))</f>
        <v>0</v>
      </c>
    </row>
    <row r="110" spans="1:30">
      <c r="A110" s="17" t="s">
        <v>270</v>
      </c>
      <c r="B110" s="28"/>
      <c r="C110" s="28"/>
      <c r="D110" s="28"/>
      <c r="E110" s="29"/>
      <c r="F110" s="30"/>
      <c r="G110" s="30"/>
      <c r="H110" s="37"/>
      <c r="I110" s="30"/>
      <c r="J110" s="30"/>
      <c r="K110" s="37"/>
      <c r="L110" s="28"/>
      <c r="M110" s="38"/>
      <c r="N110" s="30"/>
      <c r="O110" s="28"/>
      <c r="P110" s="28"/>
      <c r="Q110" s="28"/>
      <c r="R110" s="28"/>
      <c r="S110" s="43"/>
      <c r="T110" s="28"/>
      <c r="U110" s="28"/>
      <c r="V110" s="28"/>
      <c r="X110" s="31">
        <f>IF(ISBLANK(H110),"",IF(IFERROR(ABS(H110-'_key'!$A$936)&lt;=5e-05,FALSE),"✓","✗"))</f>
        <v>0</v>
      </c>
      <c r="Y110" s="31">
        <f>IF(ISBLANK(K110),"",IF(IFERROR(ABS(K110-'_key'!$A$937)&lt;=5e-05,FALSE),"✓","✗"))</f>
        <v>0</v>
      </c>
      <c r="Z110" s="31">
        <f>IF(ISBLANK(L110),"",IF(IFERROR(ABS(L110-'_key'!$A$938)&lt;=0.005,FALSE),"✓","✗"))</f>
        <v>0</v>
      </c>
      <c r="AA110" s="31">
        <f>IF(ISBLANK(M110),"",IF(IFERROR(EXACT(M110,'_key'!$A$939),FALSE),"✓","✗"))</f>
        <v>0</v>
      </c>
      <c r="AB110" s="31">
        <f>IF(ISBLANK(S110),"",IF(IFERROR(ABS(S110-'_key'!$A$940)&lt;=0.01,FALSE),"✓","✗"))</f>
        <v>0</v>
      </c>
      <c r="AC110" s="31">
        <f>IF(ISBLANK(T110),"",IF(IFERROR(EXACT(T110,'_key'!$A$941),FALSE),"✓","✗"))</f>
        <v>0</v>
      </c>
      <c r="AD110" s="31">
        <f>IF(ISBLANK(V110),"",IF(IFERROR(ABS(V110-'_key'!$A$942)&lt;=0.005,FALSE),"✓","✗"))</f>
        <v>0</v>
      </c>
    </row>
    <row r="111" spans="1:30">
      <c r="A111" s="17" t="s">
        <v>272</v>
      </c>
      <c r="B111" s="28"/>
      <c r="C111" s="28"/>
      <c r="D111" s="28"/>
      <c r="E111" s="29"/>
      <c r="F111" s="30"/>
      <c r="G111" s="30"/>
      <c r="H111" s="37"/>
      <c r="I111" s="30"/>
      <c r="J111" s="30"/>
      <c r="K111" s="37"/>
      <c r="L111" s="28"/>
      <c r="M111" s="38"/>
      <c r="N111" s="30"/>
      <c r="O111" s="28"/>
      <c r="P111" s="28"/>
      <c r="Q111" s="28"/>
      <c r="R111" s="28"/>
      <c r="S111" s="43"/>
      <c r="T111" s="28"/>
      <c r="U111" s="28"/>
      <c r="V111" s="28"/>
      <c r="X111" s="31">
        <f>IF(ISBLANK(H111),"",IF(IFERROR(ABS(H111-'_key'!$A$943)&lt;=5e-05,FALSE),"✓","✗"))</f>
        <v>0</v>
      </c>
      <c r="Y111" s="31">
        <f>IF(ISBLANK(K111),"",IF(IFERROR(ABS(K111-'_key'!$A$944)&lt;=5e-05,FALSE),"✓","✗"))</f>
        <v>0</v>
      </c>
      <c r="Z111" s="31">
        <f>IF(ISBLANK(L111),"",IF(IFERROR(ABS(L111-'_key'!$A$945)&lt;=0.005,FALSE),"✓","✗"))</f>
        <v>0</v>
      </c>
      <c r="AA111" s="31">
        <f>IF(ISBLANK(M111),"",IF(IFERROR(EXACT(M111,'_key'!$A$946),FALSE),"✓","✗"))</f>
        <v>0</v>
      </c>
      <c r="AB111" s="31">
        <f>IF(ISBLANK(S111),"",IF(IFERROR(ABS(S111-'_key'!$A$947)&lt;=0.01,FALSE),"✓","✗"))</f>
        <v>0</v>
      </c>
      <c r="AC111" s="31">
        <f>IF(ISBLANK(T111),"",IF(IFERROR(EXACT(T111,'_key'!$A$948),FALSE),"✓","✗"))</f>
        <v>0</v>
      </c>
      <c r="AD111" s="31">
        <f>IF(ISBLANK(V111),"",IF(IFERROR(ABS(V111-'_key'!$A$949)&lt;=0.005,FALSE),"✓","✗"))</f>
        <v>0</v>
      </c>
    </row>
    <row r="112" spans="1:30">
      <c r="A112" s="17" t="s">
        <v>274</v>
      </c>
      <c r="B112" s="28"/>
      <c r="C112" s="28"/>
      <c r="D112" s="28"/>
      <c r="E112" s="29"/>
      <c r="F112" s="30"/>
      <c r="G112" s="30"/>
      <c r="H112" s="37"/>
      <c r="I112" s="30"/>
      <c r="J112" s="30"/>
      <c r="K112" s="37"/>
      <c r="L112" s="28"/>
      <c r="M112" s="38"/>
      <c r="N112" s="30"/>
      <c r="O112" s="28"/>
      <c r="P112" s="28"/>
      <c r="Q112" s="28"/>
      <c r="R112" s="28"/>
      <c r="S112" s="43"/>
      <c r="T112" s="28"/>
      <c r="U112" s="28"/>
      <c r="V112" s="28"/>
      <c r="X112" s="31">
        <f>IF(ISBLANK(H112),"",IF(IFERROR(ABS(H112-'_key'!$A$950)&lt;=5e-05,FALSE),"✓","✗"))</f>
        <v>0</v>
      </c>
      <c r="Y112" s="31">
        <f>IF(ISBLANK(K112),"",IF(IFERROR(ABS(K112-'_key'!$A$951)&lt;=5e-05,FALSE),"✓","✗"))</f>
        <v>0</v>
      </c>
      <c r="Z112" s="31">
        <f>IF(ISBLANK(L112),"",IF(IFERROR(ABS(L112-'_key'!$A$952)&lt;=0.005,FALSE),"✓","✗"))</f>
        <v>0</v>
      </c>
      <c r="AA112" s="31">
        <f>IF(ISBLANK(M112),"",IF(IFERROR(ABS(M112-'_key'!$A$953)&lt;=0.005,FALSE),"✓","✗"))</f>
        <v>0</v>
      </c>
      <c r="AB112" s="31">
        <f>IF(ISBLANK(S112),"",IF(IFERROR(ABS(S112-'_key'!$A$954)&lt;=0.01,FALSE),"✓","✗"))</f>
        <v>0</v>
      </c>
      <c r="AC112" s="31">
        <f>IF(ISBLANK(T112),"",IF(IFERROR(EXACT(T112,'_key'!$A$955),FALSE),"✓","✗"))</f>
        <v>0</v>
      </c>
      <c r="AD112" s="31">
        <f>IF(ISBLANK(V112),"",IF(IFERROR(ABS(V112-'_key'!$A$956)&lt;=0.005,FALSE),"✓","✗"))</f>
        <v>0</v>
      </c>
    </row>
    <row r="113" spans="1:30">
      <c r="A113" s="17" t="s">
        <v>276</v>
      </c>
      <c r="B113" s="28"/>
      <c r="C113" s="28"/>
      <c r="D113" s="28"/>
      <c r="E113" s="29"/>
      <c r="F113" s="30"/>
      <c r="G113" s="30"/>
      <c r="H113" s="37"/>
      <c r="I113" s="30"/>
      <c r="J113" s="30"/>
      <c r="K113" s="37"/>
      <c r="L113" s="28"/>
      <c r="M113" s="38"/>
      <c r="N113" s="30"/>
      <c r="O113" s="28"/>
      <c r="P113" s="28"/>
      <c r="Q113" s="28"/>
      <c r="R113" s="28"/>
      <c r="S113" s="43"/>
      <c r="T113" s="28"/>
      <c r="U113" s="28"/>
      <c r="V113" s="28"/>
      <c r="X113" s="31">
        <f>IF(ISBLANK(H113),"",IF(IFERROR(ABS(H113-'_key'!$A$957)&lt;=5e-05,FALSE),"✓","✗"))</f>
        <v>0</v>
      </c>
      <c r="Y113" s="31">
        <f>IF(ISBLANK(K113),"",IF(IFERROR(ABS(K113-'_key'!$A$958)&lt;=5e-05,FALSE),"✓","✗"))</f>
        <v>0</v>
      </c>
      <c r="Z113" s="31">
        <f>IF(ISBLANK(L113),"",IF(IFERROR(ABS(L113-'_key'!$A$959)&lt;=0.005,FALSE),"✓","✗"))</f>
        <v>0</v>
      </c>
      <c r="AA113" s="31">
        <f>IF(ISBLANK(M113),"",IF(IFERROR(EXACT(M113,'_key'!$A$960),FALSE),"✓","✗"))</f>
        <v>0</v>
      </c>
      <c r="AB113" s="31">
        <f>IF(ISBLANK(S113),"",IF(IFERROR(ABS(S113-'_key'!$A$961)&lt;=0.01,FALSE),"✓","✗"))</f>
        <v>0</v>
      </c>
      <c r="AC113" s="31">
        <f>IF(ISBLANK(T113),"",IF(IFERROR(EXACT(T113,'_key'!$A$962),FALSE),"✓","✗"))</f>
        <v>0</v>
      </c>
      <c r="AD113" s="31">
        <f>IF(ISBLANK(V113),"",IF(IFERROR(ABS(V113-'_key'!$A$963)&lt;=0.005,FALSE),"✓","✗"))</f>
        <v>0</v>
      </c>
    </row>
    <row r="114" spans="1:30">
      <c r="A114" s="17" t="s">
        <v>278</v>
      </c>
      <c r="B114" s="28"/>
      <c r="C114" s="28"/>
      <c r="D114" s="28"/>
      <c r="E114" s="29"/>
      <c r="F114" s="30"/>
      <c r="G114" s="30"/>
      <c r="H114" s="37"/>
      <c r="I114" s="30"/>
      <c r="J114" s="30"/>
      <c r="K114" s="37"/>
      <c r="L114" s="28"/>
      <c r="M114" s="38"/>
      <c r="N114" s="30"/>
      <c r="O114" s="28"/>
      <c r="P114" s="28"/>
      <c r="Q114" s="28"/>
      <c r="R114" s="28"/>
      <c r="S114" s="43"/>
      <c r="T114" s="28"/>
      <c r="U114" s="28"/>
      <c r="V114" s="28"/>
      <c r="X114" s="31">
        <f>IF(ISBLANK(H114),"",IF(IFERROR(ABS(H114-'_key'!$A$964)&lt;=5e-05,FALSE),"✓","✗"))</f>
        <v>0</v>
      </c>
      <c r="Y114" s="31">
        <f>IF(ISBLANK(K114),"",IF(IFERROR(ABS(K114-'_key'!$A$965)&lt;=5e-05,FALSE),"✓","✗"))</f>
        <v>0</v>
      </c>
      <c r="Z114" s="31">
        <f>IF(ISBLANK(L114),"",IF(IFERROR(ABS(L114-'_key'!$A$966)&lt;=0.005,FALSE),"✓","✗"))</f>
        <v>0</v>
      </c>
      <c r="AA114" s="31">
        <f>IF(ISBLANK(M114),"",IF(IFERROR(ABS(M114-'_key'!$A$967)&lt;=0.005,FALSE),"✓","✗"))</f>
        <v>0</v>
      </c>
      <c r="AB114" s="31">
        <f>IF(ISBLANK(S114),"",IF(IFERROR(ABS(S114-'_key'!$A$968)&lt;=0.01,FALSE),"✓","✗"))</f>
        <v>0</v>
      </c>
      <c r="AC114" s="31">
        <f>IF(ISBLANK(T114),"",IF(IFERROR(EXACT(T114,'_key'!$A$969),FALSE),"✓","✗"))</f>
        <v>0</v>
      </c>
      <c r="AD114" s="31">
        <f>IF(ISBLANK(V114),"",IF(IFERROR(ABS(V114-'_key'!$A$970)&lt;=0.005,FALSE),"✓","✗"))</f>
        <v>0</v>
      </c>
    </row>
    <row r="115" spans="1:30">
      <c r="A115" s="17" t="s">
        <v>280</v>
      </c>
      <c r="B115" s="28"/>
      <c r="C115" s="28"/>
      <c r="D115" s="28"/>
      <c r="E115" s="29"/>
      <c r="F115" s="30"/>
      <c r="G115" s="30"/>
      <c r="H115" s="37"/>
      <c r="I115" s="30"/>
      <c r="J115" s="30"/>
      <c r="K115" s="37"/>
      <c r="L115" s="28"/>
      <c r="M115" s="38"/>
      <c r="N115" s="30"/>
      <c r="O115" s="28"/>
      <c r="P115" s="28"/>
      <c r="Q115" s="28"/>
      <c r="R115" s="28"/>
      <c r="S115" s="43"/>
      <c r="T115" s="28"/>
      <c r="U115" s="28"/>
      <c r="V115" s="28"/>
      <c r="X115" s="31">
        <f>IF(ISBLANK(H115),"",IF(IFERROR(ABS(H115-'_key'!$A$971)&lt;=5e-05,FALSE),"✓","✗"))</f>
        <v>0</v>
      </c>
      <c r="Y115" s="31">
        <f>IF(ISBLANK(K115),"",IF(IFERROR(ABS(K115-'_key'!$A$972)&lt;=5e-05,FALSE),"✓","✗"))</f>
        <v>0</v>
      </c>
      <c r="Z115" s="31">
        <f>IF(ISBLANK(L115),"",IF(IFERROR(ABS(L115-'_key'!$A$973)&lt;=0.005,FALSE),"✓","✗"))</f>
        <v>0</v>
      </c>
      <c r="AA115" s="31">
        <f>IF(ISBLANK(M115),"",IF(IFERROR(ABS(M115-'_key'!$A$974)&lt;=0.005,FALSE),"✓","✗"))</f>
        <v>0</v>
      </c>
      <c r="AB115" s="31">
        <f>IF(ISBLANK(S115),"",IF(IFERROR(ABS(S115-'_key'!$A$975)&lt;=0.01,FALSE),"✓","✗"))</f>
        <v>0</v>
      </c>
      <c r="AC115" s="31">
        <f>IF(ISBLANK(T115),"",IF(IFERROR(EXACT(T115,'_key'!$A$976),FALSE),"✓","✗"))</f>
        <v>0</v>
      </c>
      <c r="AD115" s="31">
        <f>IF(ISBLANK(V115),"",IF(IFERROR(ABS(V115-'_key'!$A$977)&lt;=0.005,FALSE),"✓","✗"))</f>
        <v>0</v>
      </c>
    </row>
    <row r="116" spans="1:30">
      <c r="A116" s="17" t="s">
        <v>282</v>
      </c>
      <c r="B116" s="28"/>
      <c r="C116" s="28"/>
      <c r="D116" s="28"/>
      <c r="E116" s="29"/>
      <c r="F116" s="30"/>
      <c r="G116" s="30"/>
      <c r="H116" s="37"/>
      <c r="I116" s="30"/>
      <c r="J116" s="30"/>
      <c r="K116" s="37"/>
      <c r="L116" s="28"/>
      <c r="M116" s="38"/>
      <c r="N116" s="30"/>
      <c r="O116" s="28"/>
      <c r="P116" s="28"/>
      <c r="Q116" s="28"/>
      <c r="R116" s="28"/>
      <c r="S116" s="43"/>
      <c r="T116" s="28"/>
      <c r="U116" s="28"/>
      <c r="V116" s="28"/>
      <c r="X116" s="31">
        <f>IF(ISBLANK(H116),"",IF(IFERROR(ABS(H116-'_key'!$A$978)&lt;=5e-05,FALSE),"✓","✗"))</f>
        <v>0</v>
      </c>
      <c r="Y116" s="31">
        <f>IF(ISBLANK(K116),"",IF(IFERROR(ABS(K116-'_key'!$A$979)&lt;=5e-05,FALSE),"✓","✗"))</f>
        <v>0</v>
      </c>
      <c r="Z116" s="31">
        <f>IF(ISBLANK(L116),"",IF(IFERROR(ABS(L116-'_key'!$A$980)&lt;=0.005,FALSE),"✓","✗"))</f>
        <v>0</v>
      </c>
      <c r="AA116" s="31">
        <f>IF(ISBLANK(M116),"",IF(IFERROR(ABS(M116-'_key'!$A$981)&lt;=0.005,FALSE),"✓","✗"))</f>
        <v>0</v>
      </c>
      <c r="AB116" s="31">
        <f>IF(ISBLANK(S116),"",IF(IFERROR(ABS(S116-'_key'!$A$982)&lt;=0.01,FALSE),"✓","✗"))</f>
        <v>0</v>
      </c>
      <c r="AC116" s="31">
        <f>IF(ISBLANK(T116),"",IF(IFERROR(EXACT(T116,'_key'!$A$983),FALSE),"✓","✗"))</f>
        <v>0</v>
      </c>
      <c r="AD116" s="31">
        <f>IF(ISBLANK(V116),"",IF(IFERROR(ABS(V116-'_key'!$A$984)&lt;=0.005,FALSE),"✓","✗"))</f>
        <v>0</v>
      </c>
    </row>
    <row r="117" spans="1:30">
      <c r="A117" s="17" t="s">
        <v>284</v>
      </c>
      <c r="B117" s="28"/>
      <c r="C117" s="28"/>
      <c r="D117" s="28"/>
      <c r="E117" s="29"/>
      <c r="F117" s="30"/>
      <c r="G117" s="30"/>
      <c r="H117" s="37"/>
      <c r="I117" s="30"/>
      <c r="J117" s="30"/>
      <c r="K117" s="37"/>
      <c r="L117" s="28"/>
      <c r="M117" s="38"/>
      <c r="N117" s="30"/>
      <c r="O117" s="28"/>
      <c r="P117" s="28"/>
      <c r="Q117" s="28"/>
      <c r="R117" s="28"/>
      <c r="S117" s="43"/>
      <c r="T117" s="28"/>
      <c r="U117" s="28"/>
      <c r="V117" s="28"/>
      <c r="X117" s="31">
        <f>IF(ISBLANK(H117),"",IF(IFERROR(ABS(H117-'_key'!$A$985)&lt;=5e-05,FALSE),"✓","✗"))</f>
        <v>0</v>
      </c>
      <c r="Y117" s="31">
        <f>IF(ISBLANK(K117),"",IF(IFERROR(ABS(K117-'_key'!$A$986)&lt;=5e-05,FALSE),"✓","✗"))</f>
        <v>0</v>
      </c>
      <c r="Z117" s="31">
        <f>IF(ISBLANK(L117),"",IF(IFERROR(ABS(L117-'_key'!$A$987)&lt;=0.005,FALSE),"✓","✗"))</f>
        <v>0</v>
      </c>
      <c r="AA117" s="31">
        <f>IF(ISBLANK(M117),"",IF(IFERROR(EXACT(M117,'_key'!$A$988),FALSE),"✓","✗"))</f>
        <v>0</v>
      </c>
      <c r="AB117" s="31">
        <f>IF(ISBLANK(S117),"",IF(IFERROR(ABS(S117-'_key'!$A$989)&lt;=0.01,FALSE),"✓","✗"))</f>
        <v>0</v>
      </c>
      <c r="AC117" s="31">
        <f>IF(ISBLANK(T117),"",IF(IFERROR(EXACT(T117,'_key'!$A$990),FALSE),"✓","✗"))</f>
        <v>0</v>
      </c>
      <c r="AD117" s="31">
        <f>IF(ISBLANK(V117),"",IF(IFERROR(ABS(V117-'_key'!$A$991)&lt;=0.005,FALSE),"✓","✗"))</f>
        <v>0</v>
      </c>
    </row>
    <row r="118" spans="1:30">
      <c r="A118" s="17" t="s">
        <v>286</v>
      </c>
      <c r="B118" s="28"/>
      <c r="C118" s="28"/>
      <c r="D118" s="28"/>
      <c r="E118" s="29"/>
      <c r="F118" s="30"/>
      <c r="G118" s="30"/>
      <c r="H118" s="37"/>
      <c r="I118" s="30"/>
      <c r="J118" s="30"/>
      <c r="K118" s="37"/>
      <c r="L118" s="28"/>
      <c r="M118" s="38"/>
      <c r="N118" s="30"/>
      <c r="O118" s="28"/>
      <c r="P118" s="28"/>
      <c r="Q118" s="28"/>
      <c r="R118" s="28"/>
      <c r="S118" s="43"/>
      <c r="T118" s="28"/>
      <c r="U118" s="28"/>
      <c r="V118" s="28"/>
      <c r="X118" s="31">
        <f>IF(ISBLANK(H118),"",IF(IFERROR(ABS(H118-'_key'!$A$992)&lt;=5e-05,FALSE),"✓","✗"))</f>
        <v>0</v>
      </c>
      <c r="Y118" s="31">
        <f>IF(ISBLANK(K118),"",IF(IFERROR(ABS(K118-'_key'!$A$993)&lt;=5e-05,FALSE),"✓","✗"))</f>
        <v>0</v>
      </c>
      <c r="Z118" s="31">
        <f>IF(ISBLANK(L118),"",IF(IFERROR(ABS(L118-'_key'!$A$994)&lt;=0.005,FALSE),"✓","✗"))</f>
        <v>0</v>
      </c>
      <c r="AA118" s="31">
        <f>IF(ISBLANK(M118),"",IF(IFERROR(EXACT(M118,'_key'!$A$995),FALSE),"✓","✗"))</f>
        <v>0</v>
      </c>
      <c r="AB118" s="31">
        <f>IF(ISBLANK(S118),"",IF(IFERROR(ABS(S118-'_key'!$A$996)&lt;=0.01,FALSE),"✓","✗"))</f>
        <v>0</v>
      </c>
      <c r="AC118" s="31">
        <f>IF(ISBLANK(T118),"",IF(IFERROR(EXACT(T118,'_key'!$A$997),FALSE),"✓","✗"))</f>
        <v>0</v>
      </c>
      <c r="AD118" s="31">
        <f>IF(ISBLANK(V118),"",IF(IFERROR(ABS(V118-'_key'!$A$998)&lt;=0.005,FALSE),"✓","✗"))</f>
        <v>0</v>
      </c>
    </row>
    <row r="119" spans="1:30">
      <c r="A119" s="17" t="s">
        <v>288</v>
      </c>
      <c r="B119" s="28"/>
      <c r="C119" s="28"/>
      <c r="D119" s="28"/>
      <c r="E119" s="29"/>
      <c r="F119" s="30"/>
      <c r="G119" s="30"/>
      <c r="H119" s="37"/>
      <c r="I119" s="30"/>
      <c r="J119" s="30"/>
      <c r="K119" s="37"/>
      <c r="L119" s="28"/>
      <c r="M119" s="38"/>
      <c r="N119" s="30"/>
      <c r="O119" s="28"/>
      <c r="P119" s="28"/>
      <c r="Q119" s="28"/>
      <c r="R119" s="28"/>
      <c r="S119" s="43"/>
      <c r="T119" s="28"/>
      <c r="U119" s="28"/>
      <c r="V119" s="28"/>
      <c r="X119" s="31">
        <f>IF(ISBLANK(H119),"",IF(IFERROR(ABS(H119-'_key'!$A$999)&lt;=5e-05,FALSE),"✓","✗"))</f>
        <v>0</v>
      </c>
      <c r="Y119" s="31">
        <f>IF(ISBLANK(K119),"",IF(IFERROR(ABS(K119-'_key'!$A$1000)&lt;=5e-05,FALSE),"✓","✗"))</f>
        <v>0</v>
      </c>
      <c r="Z119" s="31">
        <f>IF(ISBLANK(L119),"",IF(IFERROR(ABS(L119-'_key'!$A$1001)&lt;=0.005,FALSE),"✓","✗"))</f>
        <v>0</v>
      </c>
      <c r="AA119" s="31">
        <f>IF(ISBLANK(M119),"",IF(IFERROR(ABS(M119-'_key'!$A$1002)&lt;=0.005,FALSE),"✓","✗"))</f>
        <v>0</v>
      </c>
      <c r="AB119" s="31">
        <f>IF(ISBLANK(S119),"",IF(IFERROR(ABS(S119-'_key'!$A$1003)&lt;=0.01,FALSE),"✓","✗"))</f>
        <v>0</v>
      </c>
      <c r="AC119" s="31">
        <f>IF(ISBLANK(T119),"",IF(IFERROR(EXACT(T119,'_key'!$A$1004),FALSE),"✓","✗"))</f>
        <v>0</v>
      </c>
      <c r="AD119" s="31">
        <f>IF(ISBLANK(V119),"",IF(IFERROR(ABS(V119-'_key'!$A$1005)&lt;=0.005,FALSE),"✓","✗"))</f>
        <v>0</v>
      </c>
    </row>
    <row r="120" spans="1:30">
      <c r="A120" s="17" t="s">
        <v>290</v>
      </c>
      <c r="B120" s="28"/>
      <c r="C120" s="28"/>
      <c r="D120" s="28"/>
      <c r="E120" s="29"/>
      <c r="F120" s="30"/>
      <c r="G120" s="30"/>
      <c r="H120" s="37"/>
      <c r="I120" s="30"/>
      <c r="J120" s="30"/>
      <c r="K120" s="37"/>
      <c r="L120" s="28"/>
      <c r="M120" s="38"/>
      <c r="N120" s="30"/>
      <c r="O120" s="28"/>
      <c r="P120" s="28"/>
      <c r="Q120" s="28"/>
      <c r="R120" s="28"/>
      <c r="S120" s="43"/>
      <c r="T120" s="28"/>
      <c r="U120" s="28"/>
      <c r="V120" s="28"/>
      <c r="X120" s="31">
        <f>IF(ISBLANK(H120),"",IF(IFERROR(ABS(H120-'_key'!$A$1006)&lt;=5e-05,FALSE),"✓","✗"))</f>
        <v>0</v>
      </c>
      <c r="Y120" s="31">
        <f>IF(ISBLANK(K120),"",IF(IFERROR(ABS(K120-'_key'!$A$1007)&lt;=5e-05,FALSE),"✓","✗"))</f>
        <v>0</v>
      </c>
      <c r="Z120" s="31">
        <f>IF(ISBLANK(L120),"",IF(IFERROR(ABS(L120-'_key'!$A$1008)&lt;=0.005,FALSE),"✓","✗"))</f>
        <v>0</v>
      </c>
      <c r="AA120" s="31">
        <f>IF(ISBLANK(M120),"",IF(IFERROR(ABS(M120-'_key'!$A$1009)&lt;=0.005,FALSE),"✓","✗"))</f>
        <v>0</v>
      </c>
      <c r="AB120" s="31">
        <f>IF(ISBLANK(S120),"",IF(IFERROR(ABS(S120-'_key'!$A$1010)&lt;=0.01,FALSE),"✓","✗"))</f>
        <v>0</v>
      </c>
      <c r="AC120" s="31">
        <f>IF(ISBLANK(T120),"",IF(IFERROR(EXACT(T120,'_key'!$A$1011),FALSE),"✓","✗"))</f>
        <v>0</v>
      </c>
      <c r="AD120" s="31">
        <f>IF(ISBLANK(V120),"",IF(IFERROR(ABS(V120-'_key'!$A$1012)&lt;=0.005,FALSE),"✓","✗"))</f>
        <v>0</v>
      </c>
    </row>
    <row r="121" spans="1:30">
      <c r="A121" s="17" t="s">
        <v>292</v>
      </c>
      <c r="B121" s="28"/>
      <c r="C121" s="28"/>
      <c r="D121" s="28"/>
      <c r="E121" s="29"/>
      <c r="F121" s="30"/>
      <c r="G121" s="30"/>
      <c r="H121" s="37"/>
      <c r="I121" s="30"/>
      <c r="J121" s="30"/>
      <c r="K121" s="37"/>
      <c r="L121" s="28"/>
      <c r="M121" s="38"/>
      <c r="N121" s="30"/>
      <c r="O121" s="28"/>
      <c r="P121" s="28"/>
      <c r="Q121" s="28"/>
      <c r="R121" s="28"/>
      <c r="S121" s="43"/>
      <c r="T121" s="28"/>
      <c r="U121" s="28"/>
      <c r="V121" s="28"/>
      <c r="X121" s="31">
        <f>IF(ISBLANK(H121),"",IF(IFERROR(ABS(H121-'_key'!$A$1013)&lt;=5e-05,FALSE),"✓","✗"))</f>
        <v>0</v>
      </c>
      <c r="Y121" s="31">
        <f>IF(ISBLANK(K121),"",IF(IFERROR(ABS(K121-'_key'!$A$1014)&lt;=5e-05,FALSE),"✓","✗"))</f>
        <v>0</v>
      </c>
      <c r="Z121" s="31">
        <f>IF(ISBLANK(L121),"",IF(IFERROR(ABS(L121-'_key'!$A$1015)&lt;=0.005,FALSE),"✓","✗"))</f>
        <v>0</v>
      </c>
      <c r="AA121" s="31">
        <f>IF(ISBLANK(M121),"",IF(IFERROR(ABS(M121-'_key'!$A$1016)&lt;=0.005,FALSE),"✓","✗"))</f>
        <v>0</v>
      </c>
      <c r="AB121" s="31">
        <f>IF(ISBLANK(S121),"",IF(IFERROR(ABS(S121-'_key'!$A$1017)&lt;=0.01,FALSE),"✓","✗"))</f>
        <v>0</v>
      </c>
      <c r="AC121" s="31">
        <f>IF(ISBLANK(T121),"",IF(IFERROR(EXACT(T121,'_key'!$A$1018),FALSE),"✓","✗"))</f>
        <v>0</v>
      </c>
      <c r="AD121" s="31">
        <f>IF(ISBLANK(V121),"",IF(IFERROR(ABS(V121-'_key'!$A$1019)&lt;=0.005,FALSE),"✓","✗"))</f>
        <v>0</v>
      </c>
    </row>
    <row r="122" spans="1:30">
      <c r="A122" s="17" t="s">
        <v>294</v>
      </c>
      <c r="B122" s="28"/>
      <c r="C122" s="28"/>
      <c r="D122" s="28"/>
      <c r="E122" s="29"/>
      <c r="F122" s="30"/>
      <c r="G122" s="30"/>
      <c r="H122" s="37"/>
      <c r="I122" s="30"/>
      <c r="J122" s="30"/>
      <c r="K122" s="37"/>
      <c r="L122" s="28"/>
      <c r="M122" s="38"/>
      <c r="N122" s="30"/>
      <c r="O122" s="28"/>
      <c r="P122" s="28"/>
      <c r="Q122" s="28"/>
      <c r="R122" s="28"/>
      <c r="S122" s="43"/>
      <c r="T122" s="28"/>
      <c r="U122" s="28"/>
      <c r="V122" s="28"/>
      <c r="X122" s="31">
        <f>IF(ISBLANK(H122),"",IF(IFERROR(ABS(H122-'_key'!$A$1020)&lt;=5e-05,FALSE),"✓","✗"))</f>
        <v>0</v>
      </c>
      <c r="Y122" s="31">
        <f>IF(ISBLANK(K122),"",IF(IFERROR(ABS(K122-'_key'!$A$1021)&lt;=5e-05,FALSE),"✓","✗"))</f>
        <v>0</v>
      </c>
      <c r="Z122" s="31">
        <f>IF(ISBLANK(L122),"",IF(IFERROR(ABS(L122-'_key'!$A$1022)&lt;=0.005,FALSE),"✓","✗"))</f>
        <v>0</v>
      </c>
      <c r="AA122" s="31">
        <f>IF(ISBLANK(M122),"",IF(IFERROR(EXACT(M122,'_key'!$A$1023),FALSE),"✓","✗"))</f>
        <v>0</v>
      </c>
      <c r="AB122" s="31">
        <f>IF(ISBLANK(S122),"",IF(IFERROR(ABS(S122-'_key'!$A$1024)&lt;=0.01,FALSE),"✓","✗"))</f>
        <v>0</v>
      </c>
      <c r="AC122" s="31">
        <f>IF(ISBLANK(T122),"",IF(IFERROR(EXACT(T122,'_key'!$A$1025),FALSE),"✓","✗"))</f>
        <v>0</v>
      </c>
      <c r="AD122" s="31">
        <f>IF(ISBLANK(V122),"",IF(IFERROR(ABS(V122-'_key'!$A$1026)&lt;=0.005,FALSE),"✓","✗"))</f>
        <v>0</v>
      </c>
    </row>
    <row r="123" spans="1:30">
      <c r="A123" s="17" t="s">
        <v>296</v>
      </c>
      <c r="B123" s="28"/>
      <c r="C123" s="28"/>
      <c r="D123" s="28"/>
      <c r="E123" s="29"/>
      <c r="F123" s="30"/>
      <c r="G123" s="30"/>
      <c r="H123" s="37"/>
      <c r="I123" s="30"/>
      <c r="J123" s="30"/>
      <c r="K123" s="37"/>
      <c r="L123" s="28"/>
      <c r="M123" s="38"/>
      <c r="N123" s="30"/>
      <c r="O123" s="28"/>
      <c r="P123" s="28"/>
      <c r="Q123" s="28"/>
      <c r="R123" s="28"/>
      <c r="S123" s="43"/>
      <c r="T123" s="28"/>
      <c r="U123" s="28"/>
      <c r="V123" s="28"/>
      <c r="X123" s="31">
        <f>IF(ISBLANK(H123),"",IF(IFERROR(ABS(H123-'_key'!$A$1027)&lt;=5e-05,FALSE),"✓","✗"))</f>
        <v>0</v>
      </c>
      <c r="Y123" s="31">
        <f>IF(ISBLANK(K123),"",IF(IFERROR(ABS(K123-'_key'!$A$1028)&lt;=5e-05,FALSE),"✓","✗"))</f>
        <v>0</v>
      </c>
      <c r="Z123" s="31">
        <f>IF(ISBLANK(L123),"",IF(IFERROR(ABS(L123-'_key'!$A$1029)&lt;=0.005,FALSE),"✓","✗"))</f>
        <v>0</v>
      </c>
      <c r="AA123" s="31">
        <f>IF(ISBLANK(M123),"",IF(IFERROR(EXACT(M123,'_key'!$A$1030),FALSE),"✓","✗"))</f>
        <v>0</v>
      </c>
      <c r="AB123" s="31">
        <f>IF(ISBLANK(S123),"",IF(IFERROR(ABS(S123-'_key'!$A$1031)&lt;=0.01,FALSE),"✓","✗"))</f>
        <v>0</v>
      </c>
      <c r="AC123" s="31">
        <f>IF(ISBLANK(T123),"",IF(IFERROR(EXACT(T123,'_key'!$A$1032),FALSE),"✓","✗"))</f>
        <v>0</v>
      </c>
      <c r="AD123" s="31">
        <f>IF(ISBLANK(V123),"",IF(IFERROR(ABS(V123-'_key'!$A$1033)&lt;=0.005,FALSE),"✓","✗"))</f>
        <v>0</v>
      </c>
    </row>
    <row r="124" spans="1:30">
      <c r="A124" s="17" t="s">
        <v>298</v>
      </c>
      <c r="B124" s="28"/>
      <c r="C124" s="28"/>
      <c r="D124" s="28"/>
      <c r="E124" s="29"/>
      <c r="F124" s="30"/>
      <c r="G124" s="30"/>
      <c r="H124" s="37"/>
      <c r="I124" s="30"/>
      <c r="J124" s="30"/>
      <c r="K124" s="37"/>
      <c r="L124" s="28"/>
      <c r="M124" s="38"/>
      <c r="N124" s="30"/>
      <c r="O124" s="28"/>
      <c r="P124" s="28"/>
      <c r="Q124" s="28"/>
      <c r="R124" s="28"/>
      <c r="S124" s="43"/>
      <c r="T124" s="28"/>
      <c r="U124" s="28"/>
      <c r="V124" s="28"/>
      <c r="X124" s="31">
        <f>IF(ISBLANK(H124),"",IF(IFERROR(ABS(H124-'_key'!$A$1034)&lt;=5e-05,FALSE),"✓","✗"))</f>
        <v>0</v>
      </c>
      <c r="Y124" s="31">
        <f>IF(ISBLANK(K124),"",IF(IFERROR(ABS(K124-'_key'!$A$1035)&lt;=5e-05,FALSE),"✓","✗"))</f>
        <v>0</v>
      </c>
      <c r="Z124" s="31">
        <f>IF(ISBLANK(L124),"",IF(IFERROR(ABS(L124-'_key'!$A$1036)&lt;=0.005,FALSE),"✓","✗"))</f>
        <v>0</v>
      </c>
      <c r="AA124" s="31">
        <f>IF(ISBLANK(M124),"",IF(IFERROR(ABS(M124-'_key'!$A$1037)&lt;=0.005,FALSE),"✓","✗"))</f>
        <v>0</v>
      </c>
      <c r="AB124" s="31">
        <f>IF(ISBLANK(S124),"",IF(IFERROR(ABS(S124-'_key'!$A$1038)&lt;=0.01,FALSE),"✓","✗"))</f>
        <v>0</v>
      </c>
      <c r="AC124" s="31">
        <f>IF(ISBLANK(T124),"",IF(IFERROR(EXACT(T124,'_key'!$A$1039),FALSE),"✓","✗"))</f>
        <v>0</v>
      </c>
      <c r="AD124" s="31">
        <f>IF(ISBLANK(V124),"",IF(IFERROR(ABS(V124-'_key'!$A$1040)&lt;=0.005,FALSE),"✓","✗"))</f>
        <v>0</v>
      </c>
    </row>
    <row r="125" spans="1:30">
      <c r="A125" s="17" t="s">
        <v>300</v>
      </c>
      <c r="B125" s="28"/>
      <c r="C125" s="28"/>
      <c r="D125" s="28"/>
      <c r="E125" s="29"/>
      <c r="F125" s="30"/>
      <c r="G125" s="30"/>
      <c r="H125" s="37"/>
      <c r="I125" s="30"/>
      <c r="J125" s="30"/>
      <c r="K125" s="37"/>
      <c r="L125" s="28"/>
      <c r="M125" s="38"/>
      <c r="N125" s="30"/>
      <c r="O125" s="28"/>
      <c r="P125" s="28"/>
      <c r="Q125" s="28"/>
      <c r="R125" s="28"/>
      <c r="S125" s="43"/>
      <c r="T125" s="28"/>
      <c r="U125" s="28"/>
      <c r="V125" s="28"/>
      <c r="X125" s="31">
        <f>IF(ISBLANK(H125),"",IF(IFERROR(ABS(H125-'_key'!$A$1041)&lt;=5e-05,FALSE),"✓","✗"))</f>
        <v>0</v>
      </c>
      <c r="Y125" s="31">
        <f>IF(ISBLANK(K125),"",IF(IFERROR(ABS(K125-'_key'!$A$1042)&lt;=5e-05,FALSE),"✓","✗"))</f>
        <v>0</v>
      </c>
      <c r="Z125" s="31">
        <f>IF(ISBLANK(L125),"",IF(IFERROR(ABS(L125-'_key'!$A$1043)&lt;=0.005,FALSE),"✓","✗"))</f>
        <v>0</v>
      </c>
      <c r="AA125" s="31">
        <f>IF(ISBLANK(M125),"",IF(IFERROR(ABS(M125-'_key'!$A$1044)&lt;=0.005,FALSE),"✓","✗"))</f>
        <v>0</v>
      </c>
      <c r="AB125" s="31">
        <f>IF(ISBLANK(S125),"",IF(IFERROR(ABS(S125-'_key'!$A$1045)&lt;=0.01,FALSE),"✓","✗"))</f>
        <v>0</v>
      </c>
      <c r="AC125" s="31">
        <f>IF(ISBLANK(T125),"",IF(IFERROR(EXACT(T125,'_key'!$A$1046),FALSE),"✓","✗"))</f>
        <v>0</v>
      </c>
      <c r="AD125" s="31">
        <f>IF(ISBLANK(V125),"",IF(IFERROR(ABS(V125-'_key'!$A$1047)&lt;=0.005,FALSE),"✓","✗"))</f>
        <v>0</v>
      </c>
    </row>
    <row r="126" spans="1:30">
      <c r="A126" s="17" t="s">
        <v>302</v>
      </c>
      <c r="B126" s="28"/>
      <c r="C126" s="28"/>
      <c r="D126" s="28"/>
      <c r="E126" s="29"/>
      <c r="F126" s="30"/>
      <c r="G126" s="30"/>
      <c r="H126" s="37"/>
      <c r="I126" s="30"/>
      <c r="J126" s="30"/>
      <c r="K126" s="37"/>
      <c r="L126" s="28"/>
      <c r="M126" s="38"/>
      <c r="N126" s="30"/>
      <c r="O126" s="28"/>
      <c r="P126" s="28"/>
      <c r="Q126" s="28"/>
      <c r="R126" s="28"/>
      <c r="S126" s="43"/>
      <c r="T126" s="28"/>
      <c r="U126" s="28"/>
      <c r="V126" s="28"/>
      <c r="X126" s="31">
        <f>IF(ISBLANK(H126),"",IF(IFERROR(ABS(H126-'_key'!$A$1048)&lt;=5e-05,FALSE),"✓","✗"))</f>
        <v>0</v>
      </c>
      <c r="Y126" s="31">
        <f>IF(ISBLANK(K126),"",IF(IFERROR(ABS(K126-'_key'!$A$1049)&lt;=5e-05,FALSE),"✓","✗"))</f>
        <v>0</v>
      </c>
      <c r="Z126" s="31">
        <f>IF(ISBLANK(L126),"",IF(IFERROR(ABS(L126-'_key'!$A$1050)&lt;=0.005,FALSE),"✓","✗"))</f>
        <v>0</v>
      </c>
      <c r="AA126" s="31">
        <f>IF(ISBLANK(M126),"",IF(IFERROR(EXACT(M126,'_key'!$A$1051),FALSE),"✓","✗"))</f>
        <v>0</v>
      </c>
      <c r="AB126" s="31">
        <f>IF(ISBLANK(S126),"",IF(IFERROR(ABS(S126-'_key'!$A$1052)&lt;=0.01,FALSE),"✓","✗"))</f>
        <v>0</v>
      </c>
      <c r="AC126" s="31">
        <f>IF(ISBLANK(T126),"",IF(IFERROR(EXACT(T126,'_key'!$A$1053),FALSE),"✓","✗"))</f>
        <v>0</v>
      </c>
      <c r="AD126" s="31">
        <f>IF(ISBLANK(V126),"",IF(IFERROR(ABS(V126-'_key'!$A$1054)&lt;=0.005,FALSE),"✓","✗"))</f>
        <v>0</v>
      </c>
    </row>
    <row r="127" spans="1:30">
      <c r="A127" s="17" t="s">
        <v>306</v>
      </c>
      <c r="B127" s="28"/>
      <c r="C127" s="28"/>
      <c r="D127" s="28"/>
      <c r="E127" s="29"/>
      <c r="F127" s="30"/>
      <c r="G127" s="30"/>
      <c r="H127" s="37"/>
      <c r="I127" s="30"/>
      <c r="J127" s="30"/>
      <c r="K127" s="37"/>
      <c r="L127" s="28"/>
      <c r="M127" s="38"/>
      <c r="N127" s="30"/>
      <c r="O127" s="28"/>
      <c r="P127" s="28"/>
      <c r="Q127" s="28"/>
      <c r="R127" s="28"/>
      <c r="S127" s="43"/>
      <c r="T127" s="28"/>
      <c r="U127" s="28"/>
      <c r="V127" s="28"/>
      <c r="X127" s="31">
        <f>IF(ISBLANK(H127),"",IF(IFERROR(ABS(H127-'_key'!$A$1055)&lt;=5e-05,FALSE),"✓","✗"))</f>
        <v>0</v>
      </c>
      <c r="Y127" s="31">
        <f>IF(ISBLANK(K127),"",IF(IFERROR(ABS(K127-'_key'!$A$1056)&lt;=5e-05,FALSE),"✓","✗"))</f>
        <v>0</v>
      </c>
      <c r="Z127" s="31">
        <f>IF(ISBLANK(L127),"",IF(IFERROR(ABS(L127-'_key'!$A$1057)&lt;=0.005,FALSE),"✓","✗"))</f>
        <v>0</v>
      </c>
      <c r="AA127" s="31">
        <f>IF(ISBLANK(M127),"",IF(IFERROR(EXACT(M127,'_key'!$A$1058),FALSE),"✓","✗"))</f>
        <v>0</v>
      </c>
      <c r="AB127" s="31">
        <f>IF(ISBLANK(S127),"",IF(IFERROR(ABS(S127-'_key'!$A$1059)&lt;=0.01,FALSE),"✓","✗"))</f>
        <v>0</v>
      </c>
      <c r="AC127" s="31">
        <f>IF(ISBLANK(T127),"",IF(IFERROR(EXACT(T127,'_key'!$A$1060),FALSE),"✓","✗"))</f>
        <v>0</v>
      </c>
      <c r="AD127" s="31">
        <f>IF(ISBLANK(V127),"",IF(IFERROR(ABS(V127-'_key'!$A$1061)&lt;=0.005,FALSE),"✓","✗"))</f>
        <v>0</v>
      </c>
    </row>
    <row r="128" spans="1:30">
      <c r="A128" s="17" t="s">
        <v>308</v>
      </c>
      <c r="B128" s="28"/>
      <c r="C128" s="28"/>
      <c r="D128" s="28"/>
      <c r="E128" s="29"/>
      <c r="F128" s="30"/>
      <c r="G128" s="30"/>
      <c r="H128" s="37"/>
      <c r="I128" s="30"/>
      <c r="J128" s="30"/>
      <c r="K128" s="37"/>
      <c r="L128" s="28"/>
      <c r="M128" s="38"/>
      <c r="N128" s="30"/>
      <c r="O128" s="28"/>
      <c r="P128" s="28"/>
      <c r="Q128" s="28"/>
      <c r="R128" s="28"/>
      <c r="S128" s="43"/>
      <c r="T128" s="28"/>
      <c r="U128" s="28"/>
      <c r="V128" s="28"/>
      <c r="X128" s="31">
        <f>IF(ISBLANK(H128),"",IF(IFERROR(ABS(H128-'_key'!$A$1062)&lt;=5e-05,FALSE),"✓","✗"))</f>
        <v>0</v>
      </c>
      <c r="Y128" s="31">
        <f>IF(ISBLANK(K128),"",IF(IFERROR(ABS(K128-'_key'!$A$1063)&lt;=5e-05,FALSE),"✓","✗"))</f>
        <v>0</v>
      </c>
      <c r="Z128" s="31">
        <f>IF(ISBLANK(L128),"",IF(IFERROR(ABS(L128-'_key'!$A$1064)&lt;=0.005,FALSE),"✓","✗"))</f>
        <v>0</v>
      </c>
      <c r="AA128" s="31">
        <f>IF(ISBLANK(M128),"",IF(IFERROR(EXACT(M128,'_key'!$A$1065),FALSE),"✓","✗"))</f>
        <v>0</v>
      </c>
      <c r="AB128" s="31">
        <f>IF(ISBLANK(S128),"",IF(IFERROR(ABS(S128-'_key'!$A$1066)&lt;=0.01,FALSE),"✓","✗"))</f>
        <v>0</v>
      </c>
      <c r="AC128" s="31">
        <f>IF(ISBLANK(T128),"",IF(IFERROR(EXACT(T128,'_key'!$A$1067),FALSE),"✓","✗"))</f>
        <v>0</v>
      </c>
      <c r="AD128" s="31">
        <f>IF(ISBLANK(V128),"",IF(IFERROR(ABS(V128-'_key'!$A$1068)&lt;=0.005,FALSE),"✓","✗"))</f>
        <v>0</v>
      </c>
    </row>
    <row r="129" spans="1:30">
      <c r="A129" s="17" t="s">
        <v>310</v>
      </c>
      <c r="B129" s="28"/>
      <c r="C129" s="28"/>
      <c r="D129" s="28"/>
      <c r="E129" s="29"/>
      <c r="F129" s="30"/>
      <c r="G129" s="30"/>
      <c r="H129" s="37"/>
      <c r="I129" s="30"/>
      <c r="J129" s="30"/>
      <c r="K129" s="37"/>
      <c r="L129" s="28"/>
      <c r="M129" s="38"/>
      <c r="N129" s="30"/>
      <c r="O129" s="28"/>
      <c r="P129" s="28"/>
      <c r="Q129" s="28"/>
      <c r="R129" s="28"/>
      <c r="S129" s="43"/>
      <c r="T129" s="28"/>
      <c r="U129" s="28"/>
      <c r="V129" s="28"/>
      <c r="X129" s="31">
        <f>IF(ISBLANK(H129),"",IF(IFERROR(ABS(H129-'_key'!$A$1069)&lt;=5e-05,FALSE),"✓","✗"))</f>
        <v>0</v>
      </c>
      <c r="Y129" s="31">
        <f>IF(ISBLANK(K129),"",IF(IFERROR(ABS(K129-'_key'!$A$1070)&lt;=5e-05,FALSE),"✓","✗"))</f>
        <v>0</v>
      </c>
      <c r="Z129" s="31">
        <f>IF(ISBLANK(L129),"",IF(IFERROR(ABS(L129-'_key'!$A$1071)&lt;=0.005,FALSE),"✓","✗"))</f>
        <v>0</v>
      </c>
      <c r="AA129" s="31">
        <f>IF(ISBLANK(M129),"",IF(IFERROR(EXACT(M129,'_key'!$A$1072),FALSE),"✓","✗"))</f>
        <v>0</v>
      </c>
      <c r="AB129" s="31">
        <f>IF(ISBLANK(S129),"",IF(IFERROR(ABS(S129-'_key'!$A$1073)&lt;=0.01,FALSE),"✓","✗"))</f>
        <v>0</v>
      </c>
      <c r="AC129" s="31">
        <f>IF(ISBLANK(T129),"",IF(IFERROR(EXACT(T129,'_key'!$A$1074),FALSE),"✓","✗"))</f>
        <v>0</v>
      </c>
      <c r="AD129" s="31">
        <f>IF(ISBLANK(V129),"",IF(IFERROR(ABS(V129-'_key'!$A$1075)&lt;=0.005,FALSE),"✓","✗"))</f>
        <v>0</v>
      </c>
    </row>
    <row r="130" spans="1:30">
      <c r="A130" s="17" t="s">
        <v>312</v>
      </c>
      <c r="B130" s="28"/>
      <c r="C130" s="28"/>
      <c r="D130" s="28"/>
      <c r="E130" s="29"/>
      <c r="F130" s="30"/>
      <c r="G130" s="30"/>
      <c r="H130" s="37"/>
      <c r="I130" s="30"/>
      <c r="J130" s="30"/>
      <c r="K130" s="37"/>
      <c r="L130" s="28"/>
      <c r="M130" s="38"/>
      <c r="N130" s="30"/>
      <c r="O130" s="28"/>
      <c r="P130" s="28"/>
      <c r="Q130" s="28"/>
      <c r="R130" s="28"/>
      <c r="S130" s="43"/>
      <c r="T130" s="28"/>
      <c r="U130" s="28"/>
      <c r="V130" s="28"/>
      <c r="X130" s="31">
        <f>IF(ISBLANK(H130),"",IF(IFERROR(ABS(H130-'_key'!$A$1076)&lt;=5e-05,FALSE),"✓","✗"))</f>
        <v>0</v>
      </c>
      <c r="Y130" s="31">
        <f>IF(ISBLANK(K130),"",IF(IFERROR(ABS(K130-'_key'!$A$1077)&lt;=5e-05,FALSE),"✓","✗"))</f>
        <v>0</v>
      </c>
      <c r="Z130" s="31">
        <f>IF(ISBLANK(L130),"",IF(IFERROR(ABS(L130-'_key'!$A$1078)&lt;=0.005,FALSE),"✓","✗"))</f>
        <v>0</v>
      </c>
      <c r="AA130" s="31">
        <f>IF(ISBLANK(M130),"",IF(IFERROR(EXACT(M130,'_key'!$A$1079),FALSE),"✓","✗"))</f>
        <v>0</v>
      </c>
      <c r="AB130" s="31">
        <f>IF(ISBLANK(S130),"",IF(IFERROR(ABS(S130-'_key'!$A$1080)&lt;=0.01,FALSE),"✓","✗"))</f>
        <v>0</v>
      </c>
      <c r="AC130" s="31">
        <f>IF(ISBLANK(T130),"",IF(IFERROR(EXACT(T130,'_key'!$A$1081),FALSE),"✓","✗"))</f>
        <v>0</v>
      </c>
      <c r="AD130" s="31">
        <f>IF(ISBLANK(V130),"",IF(IFERROR(ABS(V130-'_key'!$A$1082)&lt;=0.005,FALSE),"✓","✗"))</f>
        <v>0</v>
      </c>
    </row>
    <row r="131" spans="1:30">
      <c r="A131" s="17" t="s">
        <v>314</v>
      </c>
      <c r="B131" s="28"/>
      <c r="C131" s="28"/>
      <c r="D131" s="28"/>
      <c r="E131" s="29"/>
      <c r="F131" s="30"/>
      <c r="G131" s="30"/>
      <c r="H131" s="37"/>
      <c r="I131" s="30"/>
      <c r="J131" s="30"/>
      <c r="K131" s="37"/>
      <c r="L131" s="28"/>
      <c r="M131" s="38"/>
      <c r="N131" s="30"/>
      <c r="O131" s="28"/>
      <c r="P131" s="28"/>
      <c r="Q131" s="28"/>
      <c r="R131" s="28"/>
      <c r="S131" s="43"/>
      <c r="T131" s="28"/>
      <c r="U131" s="28"/>
      <c r="V131" s="28"/>
      <c r="X131" s="31">
        <f>IF(ISBLANK(H131),"",IF(IFERROR(ABS(H131-'_key'!$A$1083)&lt;=5e-05,FALSE),"✓","✗"))</f>
        <v>0</v>
      </c>
      <c r="Y131" s="31">
        <f>IF(ISBLANK(K131),"",IF(IFERROR(ABS(K131-'_key'!$A$1084)&lt;=5e-05,FALSE),"✓","✗"))</f>
        <v>0</v>
      </c>
      <c r="Z131" s="31">
        <f>IF(ISBLANK(L131),"",IF(IFERROR(ABS(L131-'_key'!$A$1085)&lt;=0.005,FALSE),"✓","✗"))</f>
        <v>0</v>
      </c>
      <c r="AA131" s="31">
        <f>IF(ISBLANK(M131),"",IF(IFERROR(EXACT(M131,'_key'!$A$1086),FALSE),"✓","✗"))</f>
        <v>0</v>
      </c>
      <c r="AB131" s="31">
        <f>IF(ISBLANK(S131),"",IF(IFERROR(ABS(S131-'_key'!$A$1087)&lt;=0.01,FALSE),"✓","✗"))</f>
        <v>0</v>
      </c>
      <c r="AC131" s="31">
        <f>IF(ISBLANK(T131),"",IF(IFERROR(EXACT(T131,'_key'!$A$1088),FALSE),"✓","✗"))</f>
        <v>0</v>
      </c>
      <c r="AD131" s="31">
        <f>IF(ISBLANK(V131),"",IF(IFERROR(ABS(V131-'_key'!$A$1089)&lt;=0.005,FALSE),"✓","✗"))</f>
        <v>0</v>
      </c>
    </row>
    <row r="132" spans="1:30">
      <c r="A132" s="17" t="s">
        <v>316</v>
      </c>
      <c r="B132" s="28"/>
      <c r="C132" s="28"/>
      <c r="D132" s="28"/>
      <c r="E132" s="29"/>
      <c r="F132" s="30"/>
      <c r="G132" s="30"/>
      <c r="H132" s="37"/>
      <c r="I132" s="30"/>
      <c r="J132" s="30"/>
      <c r="K132" s="37"/>
      <c r="L132" s="28"/>
      <c r="M132" s="38"/>
      <c r="N132" s="30"/>
      <c r="O132" s="28"/>
      <c r="P132" s="28"/>
      <c r="Q132" s="28"/>
      <c r="R132" s="28"/>
      <c r="S132" s="43"/>
      <c r="T132" s="28"/>
      <c r="U132" s="28"/>
      <c r="V132" s="28"/>
      <c r="X132" s="31">
        <f>IF(ISBLANK(H132),"",IF(IFERROR(ABS(H132-'_key'!$A$1090)&lt;=5e-05,FALSE),"✓","✗"))</f>
        <v>0</v>
      </c>
      <c r="Y132" s="31">
        <f>IF(ISBLANK(K132),"",IF(IFERROR(ABS(K132-'_key'!$A$1091)&lt;=5e-05,FALSE),"✓","✗"))</f>
        <v>0</v>
      </c>
      <c r="Z132" s="31">
        <f>IF(ISBLANK(L132),"",IF(IFERROR(ABS(L132-'_key'!$A$1092)&lt;=0.005,FALSE),"✓","✗"))</f>
        <v>0</v>
      </c>
      <c r="AA132" s="31">
        <f>IF(ISBLANK(M132),"",IF(IFERROR(EXACT(M132,'_key'!$A$1093),FALSE),"✓","✗"))</f>
        <v>0</v>
      </c>
      <c r="AB132" s="31">
        <f>IF(ISBLANK(S132),"",IF(IFERROR(ABS(S132-'_key'!$A$1094)&lt;=0.01,FALSE),"✓","✗"))</f>
        <v>0</v>
      </c>
      <c r="AC132" s="31">
        <f>IF(ISBLANK(T132),"",IF(IFERROR(EXACT(T132,'_key'!$A$1095),FALSE),"✓","✗"))</f>
        <v>0</v>
      </c>
      <c r="AD132" s="31">
        <f>IF(ISBLANK(V132),"",IF(IFERROR(ABS(V132-'_key'!$A$1096)&lt;=0.005,FALSE),"✓","✗"))</f>
        <v>0</v>
      </c>
    </row>
    <row r="133" spans="1:30">
      <c r="A133" s="17" t="s">
        <v>318</v>
      </c>
      <c r="B133" s="28"/>
      <c r="C133" s="28"/>
      <c r="D133" s="28"/>
      <c r="E133" s="29"/>
      <c r="F133" s="30"/>
      <c r="G133" s="30"/>
      <c r="H133" s="37"/>
      <c r="I133" s="30"/>
      <c r="J133" s="30"/>
      <c r="K133" s="37"/>
      <c r="L133" s="28"/>
      <c r="M133" s="38"/>
      <c r="N133" s="30"/>
      <c r="O133" s="28"/>
      <c r="P133" s="28"/>
      <c r="Q133" s="28"/>
      <c r="R133" s="28"/>
      <c r="S133" s="43"/>
      <c r="T133" s="28"/>
      <c r="U133" s="28"/>
      <c r="V133" s="28"/>
      <c r="X133" s="31">
        <f>IF(ISBLANK(H133),"",IF(IFERROR(ABS(H133-'_key'!$A$1097)&lt;=5e-05,FALSE),"✓","✗"))</f>
        <v>0</v>
      </c>
      <c r="Y133" s="31">
        <f>IF(ISBLANK(K133),"",IF(IFERROR(ABS(K133-'_key'!$A$1098)&lt;=5e-05,FALSE),"✓","✗"))</f>
        <v>0</v>
      </c>
      <c r="Z133" s="31">
        <f>IF(ISBLANK(L133),"",IF(IFERROR(ABS(L133-'_key'!$A$1099)&lt;=0.005,FALSE),"✓","✗"))</f>
        <v>0</v>
      </c>
      <c r="AA133" s="31">
        <f>IF(ISBLANK(M133),"",IF(IFERROR(ABS(M133-'_key'!$A$1100)&lt;=0.005,FALSE),"✓","✗"))</f>
        <v>0</v>
      </c>
      <c r="AB133" s="31">
        <f>IF(ISBLANK(S133),"",IF(IFERROR(ABS(S133-'_key'!$A$1101)&lt;=0.01,FALSE),"✓","✗"))</f>
        <v>0</v>
      </c>
      <c r="AC133" s="31">
        <f>IF(ISBLANK(T133),"",IF(IFERROR(EXACT(T133,'_key'!$A$1102),FALSE),"✓","✗"))</f>
        <v>0</v>
      </c>
      <c r="AD133" s="31">
        <f>IF(ISBLANK(V133),"",IF(IFERROR(ABS(V133-'_key'!$A$1103)&lt;=0.005,FALSE),"✓","✗"))</f>
        <v>0</v>
      </c>
    </row>
    <row r="134" spans="1:30">
      <c r="A134" s="17" t="s">
        <v>322</v>
      </c>
      <c r="B134" s="28"/>
      <c r="C134" s="28"/>
      <c r="D134" s="28"/>
      <c r="E134" s="29"/>
      <c r="F134" s="30"/>
      <c r="G134" s="30"/>
      <c r="H134" s="37"/>
      <c r="I134" s="30"/>
      <c r="J134" s="30"/>
      <c r="K134" s="37"/>
      <c r="L134" s="28"/>
      <c r="M134" s="38"/>
      <c r="N134" s="30"/>
      <c r="O134" s="28"/>
      <c r="P134" s="28"/>
      <c r="Q134" s="28"/>
      <c r="R134" s="28"/>
      <c r="S134" s="43"/>
      <c r="T134" s="28"/>
      <c r="U134" s="28"/>
      <c r="V134" s="28"/>
      <c r="X134" s="31">
        <f>IF(ISBLANK(H134),"",IF(IFERROR(ABS(H134-'_key'!$A$1104)&lt;=5e-05,FALSE),"✓","✗"))</f>
        <v>0</v>
      </c>
      <c r="Y134" s="31">
        <f>IF(ISBLANK(K134),"",IF(IFERROR(ABS(K134-'_key'!$A$1105)&lt;=5e-05,FALSE),"✓","✗"))</f>
        <v>0</v>
      </c>
      <c r="Z134" s="31">
        <f>IF(ISBLANK(L134),"",IF(IFERROR(ABS(L134-'_key'!$A$1106)&lt;=0.005,FALSE),"✓","✗"))</f>
        <v>0</v>
      </c>
      <c r="AA134" s="31">
        <f>IF(ISBLANK(M134),"",IF(IFERROR(ABS(M134-'_key'!$A$1107)&lt;=0.005,FALSE),"✓","✗"))</f>
        <v>0</v>
      </c>
      <c r="AB134" s="31">
        <f>IF(ISBLANK(S134),"",IF(IFERROR(ABS(S134-'_key'!$A$1108)&lt;=0.01,FALSE),"✓","✗"))</f>
        <v>0</v>
      </c>
      <c r="AC134" s="31">
        <f>IF(ISBLANK(T134),"",IF(IFERROR(EXACT(T134,'_key'!$A$1109),FALSE),"✓","✗"))</f>
        <v>0</v>
      </c>
      <c r="AD134" s="31">
        <f>IF(ISBLANK(V134),"",IF(IFERROR(ABS(V134-'_key'!$A$1110)&lt;=0.005,FALSE),"✓","✗"))</f>
        <v>0</v>
      </c>
    </row>
    <row r="135" spans="1:30">
      <c r="A135" s="17" t="s">
        <v>324</v>
      </c>
      <c r="B135" s="28"/>
      <c r="C135" s="28"/>
      <c r="D135" s="28"/>
      <c r="E135" s="29"/>
      <c r="F135" s="30"/>
      <c r="G135" s="30"/>
      <c r="H135" s="37"/>
      <c r="I135" s="30"/>
      <c r="J135" s="30"/>
      <c r="K135" s="37"/>
      <c r="L135" s="28"/>
      <c r="M135" s="38"/>
      <c r="N135" s="30"/>
      <c r="O135" s="28"/>
      <c r="P135" s="28"/>
      <c r="Q135" s="28"/>
      <c r="R135" s="28"/>
      <c r="S135" s="43"/>
      <c r="T135" s="28"/>
      <c r="U135" s="28"/>
      <c r="V135" s="28"/>
      <c r="X135" s="31">
        <f>IF(ISBLANK(H135),"",IF(IFERROR(ABS(H135-'_key'!$A$1111)&lt;=5e-05,FALSE),"✓","✗"))</f>
        <v>0</v>
      </c>
      <c r="Y135" s="31">
        <f>IF(ISBLANK(K135),"",IF(IFERROR(ABS(K135-'_key'!$A$1112)&lt;=5e-05,FALSE),"✓","✗"))</f>
        <v>0</v>
      </c>
      <c r="Z135" s="31">
        <f>IF(ISBLANK(L135),"",IF(IFERROR(ABS(L135-'_key'!$A$1113)&lt;=0.005,FALSE),"✓","✗"))</f>
        <v>0</v>
      </c>
      <c r="AA135" s="31">
        <f>IF(ISBLANK(M135),"",IF(IFERROR(ABS(M135-'_key'!$A$1114)&lt;=0.005,FALSE),"✓","✗"))</f>
        <v>0</v>
      </c>
      <c r="AB135" s="31">
        <f>IF(ISBLANK(S135),"",IF(IFERROR(ABS(S135-'_key'!$A$1115)&lt;=0.01,FALSE),"✓","✗"))</f>
        <v>0</v>
      </c>
      <c r="AC135" s="31">
        <f>IF(ISBLANK(T135),"",IF(IFERROR(EXACT(T135,'_key'!$A$1116),FALSE),"✓","✗"))</f>
        <v>0</v>
      </c>
      <c r="AD135" s="31">
        <f>IF(ISBLANK(V135),"",IF(IFERROR(ABS(V135-'_key'!$A$1117)&lt;=0.005,FALSE),"✓","✗"))</f>
        <v>0</v>
      </c>
    </row>
    <row r="136" spans="1:30">
      <c r="A136" s="17" t="s">
        <v>326</v>
      </c>
      <c r="B136" s="28"/>
      <c r="C136" s="28"/>
      <c r="D136" s="28"/>
      <c r="E136" s="29"/>
      <c r="F136" s="30"/>
      <c r="G136" s="30"/>
      <c r="H136" s="37"/>
      <c r="I136" s="30"/>
      <c r="J136" s="30"/>
      <c r="K136" s="37"/>
      <c r="L136" s="28"/>
      <c r="M136" s="38"/>
      <c r="N136" s="30"/>
      <c r="O136" s="28"/>
      <c r="P136" s="28"/>
      <c r="Q136" s="28"/>
      <c r="R136" s="28"/>
      <c r="S136" s="43"/>
      <c r="T136" s="28"/>
      <c r="U136" s="28"/>
      <c r="V136" s="28"/>
      <c r="X136" s="31">
        <f>IF(ISBLANK(H136),"",IF(IFERROR(ABS(H136-'_key'!$A$1118)&lt;=5e-05,FALSE),"✓","✗"))</f>
        <v>0</v>
      </c>
      <c r="Y136" s="31">
        <f>IF(ISBLANK(K136),"",IF(IFERROR(ABS(K136-'_key'!$A$1119)&lt;=5e-05,FALSE),"✓","✗"))</f>
        <v>0</v>
      </c>
      <c r="Z136" s="31">
        <f>IF(ISBLANK(L136),"",IF(IFERROR(ABS(L136-'_key'!$A$1120)&lt;=0.005,FALSE),"✓","✗"))</f>
        <v>0</v>
      </c>
      <c r="AA136" s="31">
        <f>IF(ISBLANK(M136),"",IF(IFERROR(ABS(M136-'_key'!$A$1121)&lt;=0.005,FALSE),"✓","✗"))</f>
        <v>0</v>
      </c>
      <c r="AB136" s="31">
        <f>IF(ISBLANK(S136),"",IF(IFERROR(ABS(S136-'_key'!$A$1122)&lt;=0.01,FALSE),"✓","✗"))</f>
        <v>0</v>
      </c>
      <c r="AC136" s="31">
        <f>IF(ISBLANK(T136),"",IF(IFERROR(EXACT(T136,'_key'!$A$1123),FALSE),"✓","✗"))</f>
        <v>0</v>
      </c>
      <c r="AD136" s="31">
        <f>IF(ISBLANK(V136),"",IF(IFERROR(ABS(V136-'_key'!$A$1124)&lt;=0.005,FALSE),"✓","✗"))</f>
        <v>0</v>
      </c>
    </row>
    <row r="137" spans="1:30">
      <c r="A137" s="17" t="s">
        <v>328</v>
      </c>
      <c r="B137" s="28"/>
      <c r="C137" s="28"/>
      <c r="D137" s="28"/>
      <c r="E137" s="29"/>
      <c r="F137" s="30"/>
      <c r="G137" s="30"/>
      <c r="H137" s="37"/>
      <c r="I137" s="30"/>
      <c r="J137" s="30"/>
      <c r="K137" s="37"/>
      <c r="L137" s="28"/>
      <c r="M137" s="38"/>
      <c r="N137" s="30"/>
      <c r="O137" s="28"/>
      <c r="P137" s="28"/>
      <c r="Q137" s="28"/>
      <c r="R137" s="28"/>
      <c r="S137" s="43"/>
      <c r="T137" s="28"/>
      <c r="U137" s="28"/>
      <c r="V137" s="28"/>
      <c r="X137" s="31">
        <f>IF(ISBLANK(H137),"",IF(IFERROR(ABS(H137-'_key'!$A$1125)&lt;=5e-05,FALSE),"✓","✗"))</f>
        <v>0</v>
      </c>
      <c r="Y137" s="31">
        <f>IF(ISBLANK(K137),"",IF(IFERROR(ABS(K137-'_key'!$A$1126)&lt;=5e-05,FALSE),"✓","✗"))</f>
        <v>0</v>
      </c>
      <c r="Z137" s="31">
        <f>IF(ISBLANK(L137),"",IF(IFERROR(ABS(L137-'_key'!$A$1127)&lt;=0.005,FALSE),"✓","✗"))</f>
        <v>0</v>
      </c>
      <c r="AA137" s="31">
        <f>IF(ISBLANK(M137),"",IF(IFERROR(ABS(M137-'_key'!$A$1128)&lt;=0.005,FALSE),"✓","✗"))</f>
        <v>0</v>
      </c>
      <c r="AB137" s="31">
        <f>IF(ISBLANK(S137),"",IF(IFERROR(ABS(S137-'_key'!$A$1129)&lt;=0.01,FALSE),"✓","✗"))</f>
        <v>0</v>
      </c>
      <c r="AC137" s="31">
        <f>IF(ISBLANK(T137),"",IF(IFERROR(EXACT(T137,'_key'!$A$1130),FALSE),"✓","✗"))</f>
        <v>0</v>
      </c>
      <c r="AD137" s="31">
        <f>IF(ISBLANK(V137),"",IF(IFERROR(ABS(V137-'_key'!$A$1131)&lt;=0.005,FALSE),"✓","✗"))</f>
        <v>0</v>
      </c>
    </row>
    <row r="138" spans="1:30">
      <c r="A138" s="17" t="s">
        <v>330</v>
      </c>
      <c r="B138" s="28"/>
      <c r="C138" s="28"/>
      <c r="D138" s="28"/>
      <c r="E138" s="29"/>
      <c r="F138" s="30"/>
      <c r="G138" s="30"/>
      <c r="H138" s="37"/>
      <c r="I138" s="30"/>
      <c r="J138" s="30"/>
      <c r="K138" s="37"/>
      <c r="L138" s="28"/>
      <c r="M138" s="38"/>
      <c r="N138" s="30"/>
      <c r="O138" s="28"/>
      <c r="P138" s="28"/>
      <c r="Q138" s="28"/>
      <c r="R138" s="28"/>
      <c r="S138" s="43"/>
      <c r="T138" s="28"/>
      <c r="U138" s="28"/>
      <c r="V138" s="28"/>
      <c r="X138" s="31">
        <f>IF(ISBLANK(H138),"",IF(IFERROR(ABS(H138-'_key'!$A$1132)&lt;=5e-05,FALSE),"✓","✗"))</f>
        <v>0</v>
      </c>
      <c r="Y138" s="31">
        <f>IF(ISBLANK(K138),"",IF(IFERROR(ABS(K138-'_key'!$A$1133)&lt;=5e-05,FALSE),"✓","✗"))</f>
        <v>0</v>
      </c>
      <c r="Z138" s="31">
        <f>IF(ISBLANK(L138),"",IF(IFERROR(ABS(L138-'_key'!$A$1134)&lt;=0.005,FALSE),"✓","✗"))</f>
        <v>0</v>
      </c>
      <c r="AA138" s="31">
        <f>IF(ISBLANK(M138),"",IF(IFERROR(ABS(M138-'_key'!$A$1135)&lt;=0.005,FALSE),"✓","✗"))</f>
        <v>0</v>
      </c>
      <c r="AB138" s="31">
        <f>IF(ISBLANK(S138),"",IF(IFERROR(ABS(S138-'_key'!$A$1136)&lt;=0.01,FALSE),"✓","✗"))</f>
        <v>0</v>
      </c>
      <c r="AC138" s="31">
        <f>IF(ISBLANK(T138),"",IF(IFERROR(EXACT(T138,'_key'!$A$1137),FALSE),"✓","✗"))</f>
        <v>0</v>
      </c>
      <c r="AD138" s="31">
        <f>IF(ISBLANK(V138),"",IF(IFERROR(ABS(V138-'_key'!$A$1138)&lt;=0.005,FALSE),"✓","✗"))</f>
        <v>0</v>
      </c>
    </row>
    <row r="139" spans="1:30">
      <c r="A139" s="17" t="s">
        <v>332</v>
      </c>
      <c r="B139" s="28"/>
      <c r="C139" s="28"/>
      <c r="D139" s="28"/>
      <c r="E139" s="29"/>
      <c r="F139" s="30"/>
      <c r="G139" s="30"/>
      <c r="H139" s="37"/>
      <c r="I139" s="30"/>
      <c r="J139" s="30"/>
      <c r="K139" s="37"/>
      <c r="L139" s="28"/>
      <c r="M139" s="38"/>
      <c r="N139" s="30"/>
      <c r="O139" s="28"/>
      <c r="P139" s="28"/>
      <c r="Q139" s="28"/>
      <c r="R139" s="28"/>
      <c r="S139" s="43"/>
      <c r="T139" s="28"/>
      <c r="U139" s="28"/>
      <c r="V139" s="28"/>
      <c r="X139" s="31">
        <f>IF(ISBLANK(H139),"",IF(IFERROR(ABS(H139-'_key'!$A$1139)&lt;=5e-05,FALSE),"✓","✗"))</f>
        <v>0</v>
      </c>
      <c r="Y139" s="31">
        <f>IF(ISBLANK(K139),"",IF(IFERROR(ABS(K139-'_key'!$A$1140)&lt;=5e-05,FALSE),"✓","✗"))</f>
        <v>0</v>
      </c>
      <c r="Z139" s="31">
        <f>IF(ISBLANK(L139),"",IF(IFERROR(ABS(L139-'_key'!$A$1141)&lt;=0.005,FALSE),"✓","✗"))</f>
        <v>0</v>
      </c>
      <c r="AA139" s="31">
        <f>IF(ISBLANK(M139),"",IF(IFERROR(ABS(M139-'_key'!$A$1142)&lt;=0.005,FALSE),"✓","✗"))</f>
        <v>0</v>
      </c>
      <c r="AB139" s="31">
        <f>IF(ISBLANK(S139),"",IF(IFERROR(ABS(S139-'_key'!$A$1143)&lt;=0.01,FALSE),"✓","✗"))</f>
        <v>0</v>
      </c>
      <c r="AC139" s="31">
        <f>IF(ISBLANK(T139),"",IF(IFERROR(EXACT(T139,'_key'!$A$1144),FALSE),"✓","✗"))</f>
        <v>0</v>
      </c>
      <c r="AD139" s="31">
        <f>IF(ISBLANK(V139),"",IF(IFERROR(ABS(V139-'_key'!$A$1145)&lt;=0.005,FALSE),"✓","✗"))</f>
        <v>0</v>
      </c>
    </row>
    <row r="140" spans="1:30">
      <c r="A140" s="17" t="s">
        <v>334</v>
      </c>
      <c r="B140" s="28"/>
      <c r="C140" s="28"/>
      <c r="D140" s="28"/>
      <c r="E140" s="29"/>
      <c r="F140" s="30"/>
      <c r="G140" s="30"/>
      <c r="H140" s="37"/>
      <c r="I140" s="30"/>
      <c r="J140" s="30"/>
      <c r="K140" s="37"/>
      <c r="L140" s="28"/>
      <c r="M140" s="38"/>
      <c r="N140" s="30"/>
      <c r="O140" s="28"/>
      <c r="P140" s="28"/>
      <c r="Q140" s="28"/>
      <c r="R140" s="28"/>
      <c r="S140" s="43"/>
      <c r="T140" s="28"/>
      <c r="U140" s="28"/>
      <c r="V140" s="28"/>
      <c r="X140" s="31">
        <f>IF(ISBLANK(H140),"",IF(IFERROR(ABS(H140-'_key'!$A$1146)&lt;=5e-05,FALSE),"✓","✗"))</f>
        <v>0</v>
      </c>
      <c r="Y140" s="31">
        <f>IF(ISBLANK(K140),"",IF(IFERROR(ABS(K140-'_key'!$A$1147)&lt;=5e-05,FALSE),"✓","✗"))</f>
        <v>0</v>
      </c>
      <c r="Z140" s="31">
        <f>IF(ISBLANK(L140),"",IF(IFERROR(ABS(L140-'_key'!$A$1148)&lt;=0.005,FALSE),"✓","✗"))</f>
        <v>0</v>
      </c>
      <c r="AA140" s="31">
        <f>IF(ISBLANK(M140),"",IF(IFERROR(EXACT(M140,'_key'!$A$1149),FALSE),"✓","✗"))</f>
        <v>0</v>
      </c>
      <c r="AB140" s="31">
        <f>IF(ISBLANK(S140),"",IF(IFERROR(ABS(S140-'_key'!$A$1150)&lt;=0.01,FALSE),"✓","✗"))</f>
        <v>0</v>
      </c>
      <c r="AC140" s="31">
        <f>IF(ISBLANK(T140),"",IF(IFERROR(EXACT(T140,'_key'!$A$1151),FALSE),"✓","✗"))</f>
        <v>0</v>
      </c>
      <c r="AD140" s="31">
        <f>IF(ISBLANK(V140),"",IF(IFERROR(ABS(V140-'_key'!$A$1152)&lt;=0.005,FALSE),"✓","✗"))</f>
        <v>0</v>
      </c>
    </row>
    <row r="141" spans="1:30">
      <c r="A141" s="17" t="s">
        <v>336</v>
      </c>
      <c r="B141" s="28"/>
      <c r="C141" s="28"/>
      <c r="D141" s="28"/>
      <c r="E141" s="29"/>
      <c r="F141" s="30"/>
      <c r="G141" s="30"/>
      <c r="H141" s="37"/>
      <c r="I141" s="30"/>
      <c r="J141" s="30"/>
      <c r="K141" s="37"/>
      <c r="L141" s="28"/>
      <c r="M141" s="38"/>
      <c r="N141" s="30"/>
      <c r="O141" s="28"/>
      <c r="P141" s="28"/>
      <c r="Q141" s="28"/>
      <c r="R141" s="28"/>
      <c r="S141" s="43"/>
      <c r="T141" s="28"/>
      <c r="U141" s="28"/>
      <c r="V141" s="28"/>
      <c r="X141" s="31">
        <f>IF(ISBLANK(H141),"",IF(IFERROR(ABS(H141-'_key'!$A$1153)&lt;=5e-05,FALSE),"✓","✗"))</f>
        <v>0</v>
      </c>
      <c r="Y141" s="31">
        <f>IF(ISBLANK(K141),"",IF(IFERROR(ABS(K141-'_key'!$A$1154)&lt;=5e-05,FALSE),"✓","✗"))</f>
        <v>0</v>
      </c>
      <c r="Z141" s="31">
        <f>IF(ISBLANK(L141),"",IF(IFERROR(ABS(L141-'_key'!$A$1155)&lt;=0.005,FALSE),"✓","✗"))</f>
        <v>0</v>
      </c>
      <c r="AA141" s="31">
        <f>IF(ISBLANK(M141),"",IF(IFERROR(EXACT(M141,'_key'!$A$1156),FALSE),"✓","✗"))</f>
        <v>0</v>
      </c>
      <c r="AB141" s="31">
        <f>IF(ISBLANK(S141),"",IF(IFERROR(ABS(S141-'_key'!$A$1157)&lt;=0.01,FALSE),"✓","✗"))</f>
        <v>0</v>
      </c>
      <c r="AC141" s="31">
        <f>IF(ISBLANK(T141),"",IF(IFERROR(EXACT(T141,'_key'!$A$1158),FALSE),"✓","✗"))</f>
        <v>0</v>
      </c>
      <c r="AD141" s="31">
        <f>IF(ISBLANK(V141),"",IF(IFERROR(ABS(V141-'_key'!$A$1159)&lt;=0.005,FALSE),"✓","✗"))</f>
        <v>0</v>
      </c>
    </row>
    <row r="142" spans="1:30">
      <c r="A142" s="17" t="s">
        <v>338</v>
      </c>
      <c r="B142" s="28"/>
      <c r="C142" s="28"/>
      <c r="D142" s="28"/>
      <c r="E142" s="29"/>
      <c r="F142" s="30"/>
      <c r="G142" s="30"/>
      <c r="H142" s="37"/>
      <c r="I142" s="30"/>
      <c r="J142" s="30"/>
      <c r="K142" s="37"/>
      <c r="L142" s="28"/>
      <c r="M142" s="38"/>
      <c r="N142" s="30"/>
      <c r="O142" s="28"/>
      <c r="P142" s="28"/>
      <c r="Q142" s="28"/>
      <c r="R142" s="28"/>
      <c r="S142" s="43"/>
      <c r="T142" s="28"/>
      <c r="U142" s="28"/>
      <c r="V142" s="28"/>
      <c r="X142" s="31">
        <f>IF(ISBLANK(H142),"",IF(IFERROR(ABS(H142-'_key'!$A$1160)&lt;=5e-05,FALSE),"✓","✗"))</f>
        <v>0</v>
      </c>
      <c r="Y142" s="31">
        <f>IF(ISBLANK(K142),"",IF(IFERROR(ABS(K142-'_key'!$A$1161)&lt;=5e-05,FALSE),"✓","✗"))</f>
        <v>0</v>
      </c>
      <c r="Z142" s="31">
        <f>IF(ISBLANK(L142),"",IF(IFERROR(ABS(L142-'_key'!$A$1162)&lt;=0.005,FALSE),"✓","✗"))</f>
        <v>0</v>
      </c>
      <c r="AA142" s="31">
        <f>IF(ISBLANK(M142),"",IF(IFERROR(EXACT(M142,'_key'!$A$1163),FALSE),"✓","✗"))</f>
        <v>0</v>
      </c>
      <c r="AB142" s="31">
        <f>IF(ISBLANK(S142),"",IF(IFERROR(ABS(S142-'_key'!$A$1164)&lt;=0.01,FALSE),"✓","✗"))</f>
        <v>0</v>
      </c>
      <c r="AC142" s="31">
        <f>IF(ISBLANK(T142),"",IF(IFERROR(EXACT(T142,'_key'!$A$1165),FALSE),"✓","✗"))</f>
        <v>0</v>
      </c>
      <c r="AD142" s="31">
        <f>IF(ISBLANK(V142),"",IF(IFERROR(ABS(V142-'_key'!$A$1166)&lt;=0.005,FALSE),"✓","✗"))</f>
        <v>0</v>
      </c>
    </row>
    <row r="143" spans="1:30">
      <c r="A143" s="17" t="s">
        <v>340</v>
      </c>
      <c r="B143" s="28"/>
      <c r="C143" s="28"/>
      <c r="D143" s="28"/>
      <c r="E143" s="29"/>
      <c r="F143" s="30"/>
      <c r="G143" s="30"/>
      <c r="H143" s="37"/>
      <c r="I143" s="30"/>
      <c r="J143" s="30"/>
      <c r="K143" s="37"/>
      <c r="L143" s="28"/>
      <c r="M143" s="38"/>
      <c r="N143" s="30"/>
      <c r="O143" s="28"/>
      <c r="P143" s="28"/>
      <c r="Q143" s="28"/>
      <c r="R143" s="28"/>
      <c r="S143" s="43"/>
      <c r="T143" s="28"/>
      <c r="U143" s="28"/>
      <c r="V143" s="28"/>
      <c r="X143" s="31">
        <f>IF(ISBLANK(H143),"",IF(IFERROR(ABS(H143-'_key'!$A$1167)&lt;=5e-05,FALSE),"✓","✗"))</f>
        <v>0</v>
      </c>
      <c r="Y143" s="31">
        <f>IF(ISBLANK(K143),"",IF(IFERROR(ABS(K143-'_key'!$A$1168)&lt;=5e-05,FALSE),"✓","✗"))</f>
        <v>0</v>
      </c>
      <c r="Z143" s="31">
        <f>IF(ISBLANK(L143),"",IF(IFERROR(ABS(L143-'_key'!$A$1169)&lt;=0.005,FALSE),"✓","✗"))</f>
        <v>0</v>
      </c>
      <c r="AA143" s="31">
        <f>IF(ISBLANK(M143),"",IF(IFERROR(ABS(M143-'_key'!$A$1170)&lt;=0.005,FALSE),"✓","✗"))</f>
        <v>0</v>
      </c>
      <c r="AB143" s="31">
        <f>IF(ISBLANK(S143),"",IF(IFERROR(ABS(S143-'_key'!$A$1171)&lt;=0.01,FALSE),"✓","✗"))</f>
        <v>0</v>
      </c>
      <c r="AC143" s="31">
        <f>IF(ISBLANK(T143),"",IF(IFERROR(EXACT(T143,'_key'!$A$1172),FALSE),"✓","✗"))</f>
        <v>0</v>
      </c>
      <c r="AD143" s="31">
        <f>IF(ISBLANK(V143),"",IF(IFERROR(ABS(V143-'_key'!$A$1173)&lt;=0.005,FALSE),"✓","✗"))</f>
        <v>0</v>
      </c>
    </row>
    <row r="144" spans="1:30">
      <c r="A144" s="17" t="s">
        <v>342</v>
      </c>
      <c r="B144" s="28"/>
      <c r="C144" s="28"/>
      <c r="D144" s="28"/>
      <c r="E144" s="29"/>
      <c r="F144" s="30"/>
      <c r="G144" s="30"/>
      <c r="H144" s="37"/>
      <c r="I144" s="30"/>
      <c r="J144" s="30"/>
      <c r="K144" s="37"/>
      <c r="L144" s="28"/>
      <c r="M144" s="38"/>
      <c r="N144" s="30"/>
      <c r="O144" s="28"/>
      <c r="P144" s="28"/>
      <c r="Q144" s="28"/>
      <c r="R144" s="28"/>
      <c r="S144" s="43"/>
      <c r="T144" s="28"/>
      <c r="U144" s="28"/>
      <c r="V144" s="28"/>
      <c r="X144" s="31">
        <f>IF(ISBLANK(H144),"",IF(IFERROR(ABS(H144-'_key'!$A$1174)&lt;=5e-05,FALSE),"✓","✗"))</f>
        <v>0</v>
      </c>
      <c r="Y144" s="31">
        <f>IF(ISBLANK(K144),"",IF(IFERROR(ABS(K144-'_key'!$A$1175)&lt;=5e-05,FALSE),"✓","✗"))</f>
        <v>0</v>
      </c>
      <c r="Z144" s="31">
        <f>IF(ISBLANK(L144),"",IF(IFERROR(ABS(L144-'_key'!$A$1176)&lt;=0.005,FALSE),"✓","✗"))</f>
        <v>0</v>
      </c>
      <c r="AA144" s="31">
        <f>IF(ISBLANK(M144),"",IF(IFERROR(EXACT(M144,'_key'!$A$1177),FALSE),"✓","✗"))</f>
        <v>0</v>
      </c>
      <c r="AB144" s="31">
        <f>IF(ISBLANK(S144),"",IF(IFERROR(ABS(S144-'_key'!$A$1178)&lt;=0.01,FALSE),"✓","✗"))</f>
        <v>0</v>
      </c>
      <c r="AC144" s="31">
        <f>IF(ISBLANK(T144),"",IF(IFERROR(EXACT(T144,'_key'!$A$1179),FALSE),"✓","✗"))</f>
        <v>0</v>
      </c>
      <c r="AD144" s="31">
        <f>IF(ISBLANK(V144),"",IF(IFERROR(ABS(V144-'_key'!$A$1180)&lt;=0.005,FALSE),"✓","✗"))</f>
        <v>0</v>
      </c>
    </row>
    <row r="145" spans="1:30">
      <c r="A145" s="17" t="s">
        <v>344</v>
      </c>
      <c r="B145" s="28"/>
      <c r="C145" s="28"/>
      <c r="D145" s="28"/>
      <c r="E145" s="29"/>
      <c r="F145" s="30"/>
      <c r="G145" s="30"/>
      <c r="H145" s="37"/>
      <c r="I145" s="30"/>
      <c r="J145" s="30"/>
      <c r="K145" s="37"/>
      <c r="L145" s="28"/>
      <c r="M145" s="38"/>
      <c r="N145" s="30"/>
      <c r="O145" s="28"/>
      <c r="P145" s="28"/>
      <c r="Q145" s="28"/>
      <c r="R145" s="28"/>
      <c r="S145" s="43"/>
      <c r="T145" s="28"/>
      <c r="U145" s="28"/>
      <c r="V145" s="28"/>
      <c r="X145" s="31">
        <f>IF(ISBLANK(H145),"",IF(IFERROR(ABS(H145-'_key'!$A$1181)&lt;=5e-05,FALSE),"✓","✗"))</f>
        <v>0</v>
      </c>
      <c r="Y145" s="31">
        <f>IF(ISBLANK(K145),"",IF(IFERROR(ABS(K145-'_key'!$A$1182)&lt;=5e-05,FALSE),"✓","✗"))</f>
        <v>0</v>
      </c>
      <c r="Z145" s="31">
        <f>IF(ISBLANK(L145),"",IF(IFERROR(ABS(L145-'_key'!$A$1183)&lt;=0.005,FALSE),"✓","✗"))</f>
        <v>0</v>
      </c>
      <c r="AA145" s="31">
        <f>IF(ISBLANK(M145),"",IF(IFERROR(ABS(M145-'_key'!$A$1184)&lt;=0.005,FALSE),"✓","✗"))</f>
        <v>0</v>
      </c>
      <c r="AB145" s="31">
        <f>IF(ISBLANK(S145),"",IF(IFERROR(ABS(S145-'_key'!$A$1185)&lt;=0.01,FALSE),"✓","✗"))</f>
        <v>0</v>
      </c>
      <c r="AC145" s="31">
        <f>IF(ISBLANK(T145),"",IF(IFERROR(EXACT(T145,'_key'!$A$1186),FALSE),"✓","✗"))</f>
        <v>0</v>
      </c>
      <c r="AD145" s="31">
        <f>IF(ISBLANK(V145),"",IF(IFERROR(ABS(V145-'_key'!$A$1187)&lt;=0.005,FALSE),"✓","✗"))</f>
        <v>0</v>
      </c>
    </row>
  </sheetData>
  <mergeCells count="3">
    <mergeCell ref="A1:V1"/>
    <mergeCell ref="A2:V2"/>
    <mergeCell ref="A3:V3"/>
  </mergeCells>
  <conditionalFormatting sqref="AI7:AI18">
    <cfRule type="cellIs" dxfId="5" priority="8" operator="equal">
      <formula>"✓"</formula>
    </cfRule>
    <cfRule type="cellIs" dxfId="6" priority="9" operator="equal">
      <formula>"✗"</formula>
    </cfRule>
  </conditionalFormatting>
  <conditionalFormatting sqref="S8:S145">
    <cfRule type="dataBar" priority="6">
      <dataBar>
        <cfvo type="num" val="0"/>
        <cfvo type="num" val="100"/>
        <color rgb="FF5B9BD5"/>
      </dataBar>
    </cfRule>
  </conditionalFormatting>
  <conditionalFormatting sqref="T8:T145">
    <cfRule type="cellIs" dxfId="5" priority="3" operator="equal">
      <formula>"Green"</formula>
    </cfRule>
    <cfRule type="cellIs" dxfId="7" priority="4" operator="equal">
      <formula>"Yellow"</formula>
    </cfRule>
    <cfRule type="cellIs" dxfId="6" priority="5" operator="equal">
      <formula>"Red"</formula>
    </cfRule>
  </conditionalFormatting>
  <conditionalFormatting sqref="U8:U145">
    <cfRule type="containsText" dxfId="8" priority="7" operator="containsText" text="Riesgo">
      <formula>NOT(ISERROR(SEARCH("Riesgo",U8)))</formula>
    </cfRule>
  </conditionalFormatting>
  <conditionalFormatting sqref="X8:AD145">
    <cfRule type="cellIs" dxfId="5" priority="1" operator="equal">
      <formula>"✓"</formula>
    </cfRule>
    <cfRule type="cellIs" dxfId="6" priority="2" operator="equal">
      <formula>"✗"</formula>
    </cfRule>
  </conditionalFormatting>
  <dataValidations count="1">
    <dataValidation type="decimal" allowBlank="1" showInputMessage="1" showErrorMessage="1" error="Usa un % entre 0% y 100%" sqref="O4:R4">
      <formula1>0</formula1>
      <formula2>1</formula2>
    </dataValidation>
  </dataValidation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sheetPr>
    <tabColor rgb="FFFFC000"/>
  </sheetPr>
  <dimension ref="A1:Z42"/>
  <sheetViews>
    <sheetView workbookViewId="0">
      <pane xSplit="2" ySplit="6" topLeftCell="C7" activePane="bottomRight" state="frozen"/>
      <selection pane="topRight" activeCell="C1" sqref="C1"/>
      <selection pane="bottomLeft" activeCell="A7" sqref="A7"/>
      <selection pane="bottomRight"/>
    </sheetView>
  </sheetViews>
  <sheetFormatPr defaultRowHeight="15"/>
  <cols>
    <col min="1" max="1" width="9.7109375" customWidth="1"/>
    <col min="2" max="2" width="32.7109375" customWidth="1"/>
    <col min="3" max="12" width="11.7109375" customWidth="1"/>
    <col min="13" max="13" width="22.7109375" customWidth="1"/>
    <col min="14" max="14" width="2.7109375" customWidth="1"/>
    <col min="15" max="21" width="4.7109375" customWidth="1"/>
    <col min="22" max="22" width="2.7109375" customWidth="1"/>
    <col min="23" max="23" width="30.7109375" customWidth="1"/>
    <col min="24" max="25" width="13.7109375" customWidth="1"/>
    <col min="26" max="26" width="4.7109375" customWidth="1"/>
  </cols>
  <sheetData>
    <row r="1" spans="1:26" ht="26" customHeight="1">
      <c r="A1" s="18" t="s">
        <v>5464</v>
      </c>
      <c r="B1" s="18"/>
      <c r="C1" s="18"/>
      <c r="D1" s="18"/>
      <c r="E1" s="18"/>
      <c r="F1" s="18"/>
      <c r="G1" s="18"/>
      <c r="H1" s="18"/>
      <c r="I1" s="18"/>
      <c r="J1" s="18"/>
      <c r="K1" s="18"/>
      <c r="L1" s="18"/>
      <c r="M1" s="18"/>
      <c r="N1" s="18"/>
      <c r="O1" s="18"/>
      <c r="P1" s="18"/>
      <c r="Q1" s="18"/>
      <c r="R1" s="18"/>
      <c r="S1" s="18"/>
      <c r="T1" s="18"/>
      <c r="U1" s="18"/>
    </row>
    <row r="2" spans="1:26" ht="45" customHeight="1">
      <c r="A2" s="3" t="s">
        <v>5465</v>
      </c>
      <c r="B2" s="3"/>
      <c r="C2" s="3"/>
      <c r="D2" s="3"/>
      <c r="E2" s="3"/>
      <c r="F2" s="3"/>
      <c r="G2" s="3"/>
      <c r="H2" s="3"/>
      <c r="I2" s="3"/>
      <c r="J2" s="3"/>
      <c r="K2" s="3"/>
      <c r="L2" s="3"/>
      <c r="M2" s="3"/>
      <c r="N2" s="3"/>
      <c r="O2" s="3"/>
      <c r="P2" s="3"/>
      <c r="Q2" s="3"/>
      <c r="R2" s="3"/>
      <c r="S2" s="3"/>
      <c r="T2" s="3"/>
      <c r="U2" s="3"/>
    </row>
    <row r="3" spans="1:26" ht="45" customHeight="1">
      <c r="A3" s="25" t="s">
        <v>5466</v>
      </c>
      <c r="B3" s="25"/>
      <c r="C3" s="25"/>
      <c r="D3" s="25"/>
      <c r="E3" s="25"/>
      <c r="F3" s="25"/>
      <c r="G3" s="25"/>
      <c r="H3" s="25"/>
      <c r="I3" s="25"/>
      <c r="J3" s="25"/>
      <c r="K3" s="25"/>
      <c r="L3" s="25"/>
      <c r="M3" s="25"/>
      <c r="N3" s="25"/>
      <c r="O3" s="25"/>
      <c r="P3" s="25"/>
      <c r="Q3" s="25"/>
      <c r="R3" s="25"/>
      <c r="S3" s="25"/>
      <c r="T3" s="25"/>
      <c r="U3" s="25"/>
    </row>
    <row r="4" spans="1:26">
      <c r="W4" s="4" t="s">
        <v>5491</v>
      </c>
    </row>
    <row r="5" spans="1:26">
      <c r="A5" s="7" t="s">
        <v>1348</v>
      </c>
      <c r="B5" s="7" t="s">
        <v>1349</v>
      </c>
      <c r="C5" s="7" t="s">
        <v>1350</v>
      </c>
      <c r="D5" s="7" t="s">
        <v>1352</v>
      </c>
      <c r="E5" s="7" t="s">
        <v>5467</v>
      </c>
      <c r="F5" s="7" t="s">
        <v>5469</v>
      </c>
      <c r="G5" s="7" t="s">
        <v>5471</v>
      </c>
      <c r="H5" s="7" t="s">
        <v>5473</v>
      </c>
      <c r="I5" s="7" t="s">
        <v>5475</v>
      </c>
      <c r="J5" s="7" t="s">
        <v>5477</v>
      </c>
      <c r="K5" s="7" t="s">
        <v>5479</v>
      </c>
      <c r="L5" s="7" t="s">
        <v>5481</v>
      </c>
      <c r="M5" s="7" t="s">
        <v>5483</v>
      </c>
      <c r="O5" s="7" t="s">
        <v>5351</v>
      </c>
      <c r="P5" s="7" t="s">
        <v>5352</v>
      </c>
      <c r="Q5" s="7" t="s">
        <v>5353</v>
      </c>
      <c r="R5" s="7" t="s">
        <v>5354</v>
      </c>
      <c r="S5" s="7" t="s">
        <v>5485</v>
      </c>
      <c r="T5" s="7" t="s">
        <v>5450</v>
      </c>
      <c r="U5" s="7" t="s">
        <v>5451</v>
      </c>
      <c r="W5" s="7" t="s">
        <v>5483</v>
      </c>
      <c r="X5" s="7" t="s">
        <v>5492</v>
      </c>
      <c r="Y5" s="7" t="s">
        <v>5494</v>
      </c>
      <c r="Z5" s="7" t="s">
        <v>5376</v>
      </c>
    </row>
    <row r="6" spans="1:26" ht="85" customHeight="1">
      <c r="A6" s="26" t="s">
        <v>5378</v>
      </c>
      <c r="B6" s="26" t="s">
        <v>5202</v>
      </c>
      <c r="C6" s="26" t="s">
        <v>5202</v>
      </c>
      <c r="D6" s="26" t="s">
        <v>5202</v>
      </c>
      <c r="E6" s="26" t="s">
        <v>5468</v>
      </c>
      <c r="F6" s="26" t="s">
        <v>5470</v>
      </c>
      <c r="G6" s="26" t="s">
        <v>5472</v>
      </c>
      <c r="H6" s="26" t="s">
        <v>5474</v>
      </c>
      <c r="I6" s="26" t="s">
        <v>5476</v>
      </c>
      <c r="J6" s="26" t="s">
        <v>5478</v>
      </c>
      <c r="K6" s="26" t="s">
        <v>5480</v>
      </c>
      <c r="L6" s="26" t="s">
        <v>5482</v>
      </c>
      <c r="M6" s="26" t="s">
        <v>5484</v>
      </c>
      <c r="W6" s="26"/>
      <c r="X6" s="26" t="s">
        <v>5493</v>
      </c>
      <c r="Y6" s="26" t="s">
        <v>5495</v>
      </c>
      <c r="Z6" s="26"/>
    </row>
    <row r="7" spans="1:26">
      <c r="A7" s="17" t="s">
        <v>1359</v>
      </c>
      <c r="B7" s="28"/>
      <c r="C7" s="28"/>
      <c r="D7" s="28"/>
      <c r="E7" s="30"/>
      <c r="F7" s="30"/>
      <c r="G7" s="28"/>
      <c r="H7" s="36"/>
      <c r="I7" s="30"/>
      <c r="J7" s="30"/>
      <c r="K7" s="38"/>
      <c r="L7" s="45"/>
      <c r="M7" s="46"/>
      <c r="O7" s="31">
        <f>IF(ISBLANK(E7),"",IF(IFERROR(ABS(E7-'_key'!$A$1198)&lt;=0.005,FALSE),"✓","✗"))</f>
        <v>0</v>
      </c>
      <c r="P7" s="31">
        <f>IF(ISBLANK(F7),"",IF(IFERROR(ABS(F7-'_key'!$A$1199)&lt;=0.005,FALSE),"✓","✗"))</f>
        <v>0</v>
      </c>
      <c r="Q7" s="31">
        <f>IF(ISBLANK(G7),"",IF(IFERROR(ABS(G7-'_key'!$A$1200)&lt;=0.005,FALSE),"✓","✗"))</f>
        <v>0</v>
      </c>
      <c r="R7" s="31">
        <f>IF(ISBLANK(H7),"",IF(IFERROR(ABS(H7-'_key'!$A$1201)&lt;=0.005,FALSE),"✓","✗"))</f>
        <v>0</v>
      </c>
      <c r="S7" s="31">
        <f>IF(ISBLANK(J7),"",IF(IFERROR(ABS(J7-'_key'!$A$1202)&lt;=0.005,FALSE),"✓","✗"))</f>
        <v>0</v>
      </c>
      <c r="T7" s="31">
        <f>IF(ISBLANK(L7),"",IF(IFERROR(ABS(L7-'_key'!$A$1203)&lt;=0.01,FALSE),"✓","✗"))</f>
        <v>0</v>
      </c>
      <c r="U7" s="31">
        <f>IF(ISBLANK(M7),"",IF(IFERROR(EXACT(M7,'_key'!$A$1204),FALSE),"✓","✗"))</f>
        <v>0</v>
      </c>
      <c r="W7" s="34" t="s">
        <v>5487</v>
      </c>
      <c r="X7" s="28"/>
      <c r="Y7" s="38"/>
      <c r="Z7" s="31">
        <f>IF(ISBLANK(X7),"",IF(IFERROR(ABS(X7-'_key'!$A$1450)&lt;=0.005,FALSE),"✓","✗"))</f>
        <v>0</v>
      </c>
    </row>
    <row r="8" spans="1:26">
      <c r="A8" s="17" t="s">
        <v>1366</v>
      </c>
      <c r="B8" s="28"/>
      <c r="C8" s="28"/>
      <c r="D8" s="28"/>
      <c r="E8" s="30"/>
      <c r="F8" s="30"/>
      <c r="G8" s="28"/>
      <c r="H8" s="36"/>
      <c r="I8" s="30"/>
      <c r="J8" s="30"/>
      <c r="K8" s="38"/>
      <c r="L8" s="45"/>
      <c r="M8" s="46"/>
      <c r="O8" s="31">
        <f>IF(ISBLANK(E8),"",IF(IFERROR(ABS(E8-'_key'!$A$1205)&lt;=0.005,FALSE),"✓","✗"))</f>
        <v>0</v>
      </c>
      <c r="P8" s="31">
        <f>IF(ISBLANK(F8),"",IF(IFERROR(ABS(F8-'_key'!$A$1206)&lt;=0.005,FALSE),"✓","✗"))</f>
        <v>0</v>
      </c>
      <c r="Q8" s="31">
        <f>IF(ISBLANK(G8),"",IF(IFERROR(ABS(G8-'_key'!$A$1207)&lt;=0.005,FALSE),"✓","✗"))</f>
        <v>0</v>
      </c>
      <c r="R8" s="31">
        <f>IF(ISBLANK(H8),"",IF(IFERROR(ABS(H8-'_key'!$A$1208)&lt;=0.005,FALSE),"✓","✗"))</f>
        <v>0</v>
      </c>
      <c r="S8" s="31">
        <f>IF(ISBLANK(J8),"",IF(IFERROR(ABS(J8-'_key'!$A$1209)&lt;=0.005,FALSE),"✓","✗"))</f>
        <v>0</v>
      </c>
      <c r="T8" s="31">
        <f>IF(ISBLANK(L8),"",IF(IFERROR(ABS(L8-'_key'!$A$1210)&lt;=0.01,FALSE),"✓","✗"))</f>
        <v>0</v>
      </c>
      <c r="U8" s="31">
        <f>IF(ISBLANK(M8),"",IF(IFERROR(EXACT(M8,'_key'!$A$1211),FALSE),"✓","✗"))</f>
        <v>0</v>
      </c>
      <c r="W8" s="34" t="s">
        <v>5488</v>
      </c>
      <c r="X8" s="28"/>
      <c r="Y8" s="38"/>
      <c r="Z8" s="31">
        <f>IF(ISBLANK(X8),"",IF(IFERROR(ABS(X8-'_key'!$A$1452)&lt;=0.005,FALSE),"✓","✗"))</f>
        <v>0</v>
      </c>
    </row>
    <row r="9" spans="1:26">
      <c r="A9" s="17" t="s">
        <v>1371</v>
      </c>
      <c r="B9" s="28"/>
      <c r="C9" s="28"/>
      <c r="D9" s="28"/>
      <c r="E9" s="30"/>
      <c r="F9" s="30"/>
      <c r="G9" s="28"/>
      <c r="H9" s="36"/>
      <c r="I9" s="30"/>
      <c r="J9" s="30"/>
      <c r="K9" s="38"/>
      <c r="L9" s="45"/>
      <c r="M9" s="46"/>
      <c r="O9" s="31">
        <f>IF(ISBLANK(E9),"",IF(IFERROR(ABS(E9-'_key'!$A$1212)&lt;=0.005,FALSE),"✓","✗"))</f>
        <v>0</v>
      </c>
      <c r="P9" s="31">
        <f>IF(ISBLANK(F9),"",IF(IFERROR(ABS(F9-'_key'!$A$1213)&lt;=0.005,FALSE),"✓","✗"))</f>
        <v>0</v>
      </c>
      <c r="Q9" s="31">
        <f>IF(ISBLANK(G9),"",IF(IFERROR(ABS(G9-'_key'!$A$1214)&lt;=0.005,FALSE),"✓","✗"))</f>
        <v>0</v>
      </c>
      <c r="R9" s="31">
        <f>IF(ISBLANK(H9),"",IF(IFERROR(ABS(H9-'_key'!$A$1215)&lt;=0.005,FALSE),"✓","✗"))</f>
        <v>0</v>
      </c>
      <c r="S9" s="31">
        <f>IF(ISBLANK(J9),"",IF(IFERROR(ABS(J9-'_key'!$A$1216)&lt;=0.005,FALSE),"✓","✗"))</f>
        <v>0</v>
      </c>
      <c r="T9" s="31">
        <f>IF(ISBLANK(L9),"",IF(IFERROR(ABS(L9-'_key'!$A$1217)&lt;=0.01,FALSE),"✓","✗"))</f>
        <v>0</v>
      </c>
      <c r="U9" s="31">
        <f>IF(ISBLANK(M9),"",IF(IFERROR(EXACT(M9,'_key'!$A$1218),FALSE),"✓","✗"))</f>
        <v>0</v>
      </c>
      <c r="W9" s="34" t="s">
        <v>5490</v>
      </c>
      <c r="X9" s="28"/>
      <c r="Y9" s="38"/>
      <c r="Z9" s="31">
        <f>IF(ISBLANK(X9),"",IF(IFERROR(ABS(X9-'_key'!$A$1454)&lt;=0.005,FALSE),"✓","✗"))</f>
        <v>0</v>
      </c>
    </row>
    <row r="10" spans="1:26">
      <c r="A10" s="17" t="s">
        <v>1375</v>
      </c>
      <c r="B10" s="28"/>
      <c r="C10" s="28"/>
      <c r="D10" s="28"/>
      <c r="E10" s="30"/>
      <c r="F10" s="30"/>
      <c r="G10" s="28"/>
      <c r="H10" s="36"/>
      <c r="I10" s="30"/>
      <c r="J10" s="30"/>
      <c r="K10" s="38"/>
      <c r="L10" s="45"/>
      <c r="M10" s="46"/>
      <c r="O10" s="31">
        <f>IF(ISBLANK(E10),"",IF(IFERROR(ABS(E10-'_key'!$A$1219)&lt;=0.005,FALSE),"✓","✗"))</f>
        <v>0</v>
      </c>
      <c r="P10" s="31">
        <f>IF(ISBLANK(F10),"",IF(IFERROR(ABS(F10-'_key'!$A$1220)&lt;=0.005,FALSE),"✓","✗"))</f>
        <v>0</v>
      </c>
      <c r="Q10" s="31">
        <f>IF(ISBLANK(G10),"",IF(IFERROR(ABS(G10-'_key'!$A$1221)&lt;=0.005,FALSE),"✓","✗"))</f>
        <v>0</v>
      </c>
      <c r="R10" s="31">
        <f>IF(ISBLANK(H10),"",IF(IFERROR(ABS(H10-'_key'!$A$1222)&lt;=0.005,FALSE),"✓","✗"))</f>
        <v>0</v>
      </c>
      <c r="S10" s="31">
        <f>IF(ISBLANK(J10),"",IF(IFERROR(ABS(J10-'_key'!$A$1223)&lt;=0.005,FALSE),"✓","✗"))</f>
        <v>0</v>
      </c>
      <c r="T10" s="31">
        <f>IF(ISBLANK(L10),"",IF(IFERROR(ABS(L10-'_key'!$A$1224)&lt;=0.01,FALSE),"✓","✗"))</f>
        <v>0</v>
      </c>
      <c r="U10" s="31">
        <f>IF(ISBLANK(M10),"",IF(IFERROR(EXACT(M10,'_key'!$A$1225),FALSE),"✓","✗"))</f>
        <v>0</v>
      </c>
      <c r="W10" s="34" t="s">
        <v>5486</v>
      </c>
      <c r="X10" s="28"/>
      <c r="Y10" s="38"/>
      <c r="Z10" s="31">
        <f>IF(ISBLANK(X10),"",IF(IFERROR(ABS(X10-'_key'!$A$1456)&lt;=0.005,FALSE),"✓","✗"))</f>
        <v>0</v>
      </c>
    </row>
    <row r="11" spans="1:26">
      <c r="A11" s="17" t="s">
        <v>1378</v>
      </c>
      <c r="B11" s="28"/>
      <c r="C11" s="28"/>
      <c r="D11" s="28"/>
      <c r="E11" s="30"/>
      <c r="F11" s="30"/>
      <c r="G11" s="28"/>
      <c r="H11" s="36"/>
      <c r="I11" s="30"/>
      <c r="J11" s="30"/>
      <c r="K11" s="38"/>
      <c r="L11" s="45"/>
      <c r="M11" s="46"/>
      <c r="O11" s="31">
        <f>IF(ISBLANK(E11),"",IF(IFERROR(ABS(E11-'_key'!$A$1226)&lt;=0.005,FALSE),"✓","✗"))</f>
        <v>0</v>
      </c>
      <c r="P11" s="31">
        <f>IF(ISBLANK(F11),"",IF(IFERROR(ABS(F11-'_key'!$A$1227)&lt;=0.005,FALSE),"✓","✗"))</f>
        <v>0</v>
      </c>
      <c r="Q11" s="31">
        <f>IF(ISBLANK(G11),"",IF(IFERROR(ABS(G11-'_key'!$A$1228)&lt;=0.005,FALSE),"✓","✗"))</f>
        <v>0</v>
      </c>
      <c r="R11" s="31">
        <f>IF(ISBLANK(H11),"",IF(IFERROR(ABS(H11-'_key'!$A$1229)&lt;=0.005,FALSE),"✓","✗"))</f>
        <v>0</v>
      </c>
      <c r="S11" s="31">
        <f>IF(ISBLANK(J11),"",IF(IFERROR(ABS(J11-'_key'!$A$1230)&lt;=0.005,FALSE),"✓","✗"))</f>
        <v>0</v>
      </c>
      <c r="T11" s="31">
        <f>IF(ISBLANK(L11),"",IF(IFERROR(ABS(L11-'_key'!$A$1231)&lt;=0.01,FALSE),"✓","✗"))</f>
        <v>0</v>
      </c>
      <c r="U11" s="31">
        <f>IF(ISBLANK(M11),"",IF(IFERROR(EXACT(M11,'_key'!$A$1232),FALSE),"✓","✗"))</f>
        <v>0</v>
      </c>
      <c r="W11" s="34" t="s">
        <v>5489</v>
      </c>
      <c r="X11" s="28"/>
      <c r="Y11" s="38"/>
      <c r="Z11" s="31">
        <f>IF(ISBLANK(X11),"",IF(IFERROR(ABS(X11-'_key'!$A$1458)&lt;=0.005,FALSE),"✓","✗"))</f>
        <v>0</v>
      </c>
    </row>
    <row r="12" spans="1:26">
      <c r="A12" s="17" t="s">
        <v>1381</v>
      </c>
      <c r="B12" s="28"/>
      <c r="C12" s="28"/>
      <c r="D12" s="28"/>
      <c r="E12" s="30"/>
      <c r="F12" s="30"/>
      <c r="G12" s="28"/>
      <c r="H12" s="36"/>
      <c r="I12" s="30"/>
      <c r="J12" s="30"/>
      <c r="K12" s="38"/>
      <c r="L12" s="45"/>
      <c r="M12" s="46"/>
      <c r="O12" s="31">
        <f>IF(ISBLANK(E12),"",IF(IFERROR(ABS(E12-'_key'!$A$1233)&lt;=0.005,FALSE),"✓","✗"))</f>
        <v>0</v>
      </c>
      <c r="P12" s="31">
        <f>IF(ISBLANK(F12),"",IF(IFERROR(ABS(F12-'_key'!$A$1234)&lt;=0.005,FALSE),"✓","✗"))</f>
        <v>0</v>
      </c>
      <c r="Q12" s="31">
        <f>IF(ISBLANK(G12),"",IF(IFERROR(ABS(G12-'_key'!$A$1235)&lt;=0.005,FALSE),"✓","✗"))</f>
        <v>0</v>
      </c>
      <c r="R12" s="31">
        <f>IF(ISBLANK(H12),"",IF(IFERROR(ABS(H12-'_key'!$A$1236)&lt;=0.005,FALSE),"✓","✗"))</f>
        <v>0</v>
      </c>
      <c r="S12" s="31">
        <f>IF(ISBLANK(J12),"",IF(IFERROR(ABS(J12-'_key'!$A$1237)&lt;=0.005,FALSE),"✓","✗"))</f>
        <v>0</v>
      </c>
      <c r="T12" s="31">
        <f>IF(ISBLANK(L12),"",IF(IFERROR(ABS(L12-'_key'!$A$1238)&lt;=0.01,FALSE),"✓","✗"))</f>
        <v>0</v>
      </c>
      <c r="U12" s="31">
        <f>IF(ISBLANK(M12),"",IF(IFERROR(EXACT(M12,'_key'!$A$1239),FALSE),"✓","✗"))</f>
        <v>0</v>
      </c>
      <c r="W12" s="44" t="s">
        <v>5496</v>
      </c>
    </row>
    <row r="13" spans="1:26">
      <c r="A13" s="17" t="s">
        <v>1384</v>
      </c>
      <c r="B13" s="28"/>
      <c r="C13" s="28"/>
      <c r="D13" s="28"/>
      <c r="E13" s="30"/>
      <c r="F13" s="30"/>
      <c r="G13" s="28"/>
      <c r="H13" s="36"/>
      <c r="I13" s="30"/>
      <c r="J13" s="30"/>
      <c r="K13" s="38"/>
      <c r="L13" s="45"/>
      <c r="M13" s="46"/>
      <c r="O13" s="31">
        <f>IF(ISBLANK(E13),"",IF(IFERROR(ABS(E13-'_key'!$A$1240)&lt;=0.005,FALSE),"✓","✗"))</f>
        <v>0</v>
      </c>
      <c r="P13" s="31">
        <f>IF(ISBLANK(F13),"",IF(IFERROR(ABS(F13-'_key'!$A$1241)&lt;=0.005,FALSE),"✓","✗"))</f>
        <v>0</v>
      </c>
      <c r="Q13" s="31">
        <f>IF(ISBLANK(G13),"",IF(IFERROR(ABS(G13-'_key'!$A$1242)&lt;=0.005,FALSE),"✓","✗"))</f>
        <v>0</v>
      </c>
      <c r="R13" s="31">
        <f>IF(ISBLANK(H13),"",IF(IFERROR(ABS(H13-'_key'!$A$1243)&lt;=0.005,FALSE),"✓","✗"))</f>
        <v>0</v>
      </c>
      <c r="S13" s="31">
        <f>IF(ISBLANK(J13),"",IF(IFERROR(ABS(J13-'_key'!$A$1244)&lt;=0.005,FALSE),"✓","✗"))</f>
        <v>0</v>
      </c>
      <c r="T13" s="31">
        <f>IF(ISBLANK(L13),"",IF(IFERROR(ABS(L13-'_key'!$A$1245)&lt;=0.01,FALSE),"✓","✗"))</f>
        <v>0</v>
      </c>
      <c r="U13" s="31">
        <f>IF(ISBLANK(M13),"",IF(IFERROR(EXACT(M13,'_key'!$A$1246),FALSE),"✓","✗"))</f>
        <v>0</v>
      </c>
      <c r="Z13" s="31">
        <f>IF(ISBLANK(Y7),"",IF(IFERROR(ABS(Y7-'_key'!$A$1451)&lt;=0.005,FALSE),"✓","✗"))</f>
        <v>0</v>
      </c>
    </row>
    <row r="14" spans="1:26">
      <c r="A14" s="17" t="s">
        <v>1387</v>
      </c>
      <c r="B14" s="28"/>
      <c r="C14" s="28"/>
      <c r="D14" s="28"/>
      <c r="E14" s="30"/>
      <c r="F14" s="30"/>
      <c r="G14" s="28"/>
      <c r="H14" s="36"/>
      <c r="I14" s="30"/>
      <c r="J14" s="30"/>
      <c r="K14" s="38"/>
      <c r="L14" s="45"/>
      <c r="M14" s="46"/>
      <c r="O14" s="31">
        <f>IF(ISBLANK(E14),"",IF(IFERROR(ABS(E14-'_key'!$A$1247)&lt;=0.005,FALSE),"✓","✗"))</f>
        <v>0</v>
      </c>
      <c r="P14" s="31">
        <f>IF(ISBLANK(F14),"",IF(IFERROR(ABS(F14-'_key'!$A$1248)&lt;=0.005,FALSE),"✓","✗"))</f>
        <v>0</v>
      </c>
      <c r="Q14" s="31">
        <f>IF(ISBLANK(G14),"",IF(IFERROR(ABS(G14-'_key'!$A$1249)&lt;=0.005,FALSE),"✓","✗"))</f>
        <v>0</v>
      </c>
      <c r="R14" s="31">
        <f>IF(ISBLANK(H14),"",IF(IFERROR(EXACT(H14,'_key'!$A$1250),FALSE),"✓","✗"))</f>
        <v>0</v>
      </c>
      <c r="S14" s="31">
        <f>IF(ISBLANK(J14),"",IF(IFERROR(ABS(J14-'_key'!$A$1251)&lt;=0.005,FALSE),"✓","✗"))</f>
        <v>0</v>
      </c>
      <c r="T14" s="31">
        <f>IF(ISBLANK(L14),"",IF(IFERROR(EXACT(L14,'_key'!$A$1252),FALSE),"✓","✗"))</f>
        <v>0</v>
      </c>
      <c r="U14" s="31">
        <f>IF(ISBLANK(M14),"",IF(IFERROR(EXACT(M14,'_key'!$A$1253),FALSE),"✓","✗"))</f>
        <v>0</v>
      </c>
      <c r="Z14" s="31">
        <f>IF(ISBLANK(Y8),"",IF(IFERROR(ABS(Y8-'_key'!$A$1453)&lt;=0.005,FALSE),"✓","✗"))</f>
        <v>0</v>
      </c>
    </row>
    <row r="15" spans="1:26">
      <c r="A15" s="17" t="s">
        <v>1389</v>
      </c>
      <c r="B15" s="28"/>
      <c r="C15" s="28"/>
      <c r="D15" s="28"/>
      <c r="E15" s="30"/>
      <c r="F15" s="30"/>
      <c r="G15" s="28"/>
      <c r="H15" s="36"/>
      <c r="I15" s="30"/>
      <c r="J15" s="30"/>
      <c r="K15" s="38"/>
      <c r="L15" s="45"/>
      <c r="M15" s="46"/>
      <c r="O15" s="31">
        <f>IF(ISBLANK(E15),"",IF(IFERROR(ABS(E15-'_key'!$A$1254)&lt;=0.005,FALSE),"✓","✗"))</f>
        <v>0</v>
      </c>
      <c r="P15" s="31">
        <f>IF(ISBLANK(F15),"",IF(IFERROR(ABS(F15-'_key'!$A$1255)&lt;=0.005,FALSE),"✓","✗"))</f>
        <v>0</v>
      </c>
      <c r="Q15" s="31">
        <f>IF(ISBLANK(G15),"",IF(IFERROR(ABS(G15-'_key'!$A$1256)&lt;=0.005,FALSE),"✓","✗"))</f>
        <v>0</v>
      </c>
      <c r="R15" s="31">
        <f>IF(ISBLANK(H15),"",IF(IFERROR(ABS(H15-'_key'!$A$1257)&lt;=0.005,FALSE),"✓","✗"))</f>
        <v>0</v>
      </c>
      <c r="S15" s="31">
        <f>IF(ISBLANK(J15),"",IF(IFERROR(ABS(J15-'_key'!$A$1258)&lt;=0.005,FALSE),"✓","✗"))</f>
        <v>0</v>
      </c>
      <c r="T15" s="31">
        <f>IF(ISBLANK(L15),"",IF(IFERROR(ABS(L15-'_key'!$A$1259)&lt;=0.01,FALSE),"✓","✗"))</f>
        <v>0</v>
      </c>
      <c r="U15" s="31">
        <f>IF(ISBLANK(M15),"",IF(IFERROR(EXACT(M15,'_key'!$A$1260),FALSE),"✓","✗"))</f>
        <v>0</v>
      </c>
      <c r="Z15" s="31">
        <f>IF(ISBLANK(Y9),"",IF(IFERROR(ABS(Y9-'_key'!$A$1455)&lt;=0.005,FALSE),"✓","✗"))</f>
        <v>0</v>
      </c>
    </row>
    <row r="16" spans="1:26">
      <c r="A16" s="17" t="s">
        <v>1391</v>
      </c>
      <c r="B16" s="28"/>
      <c r="C16" s="28"/>
      <c r="D16" s="28"/>
      <c r="E16" s="30"/>
      <c r="F16" s="30"/>
      <c r="G16" s="28"/>
      <c r="H16" s="36"/>
      <c r="I16" s="30"/>
      <c r="J16" s="30"/>
      <c r="K16" s="38"/>
      <c r="L16" s="45"/>
      <c r="M16" s="46"/>
      <c r="O16" s="31">
        <f>IF(ISBLANK(E16),"",IF(IFERROR(ABS(E16-'_key'!$A$1261)&lt;=0.005,FALSE),"✓","✗"))</f>
        <v>0</v>
      </c>
      <c r="P16" s="31">
        <f>IF(ISBLANK(F16),"",IF(IFERROR(ABS(F16-'_key'!$A$1262)&lt;=0.005,FALSE),"✓","✗"))</f>
        <v>0</v>
      </c>
      <c r="Q16" s="31">
        <f>IF(ISBLANK(G16),"",IF(IFERROR(ABS(G16-'_key'!$A$1263)&lt;=0.005,FALSE),"✓","✗"))</f>
        <v>0</v>
      </c>
      <c r="R16" s="31">
        <f>IF(ISBLANK(H16),"",IF(IFERROR(ABS(H16-'_key'!$A$1264)&lt;=0.005,FALSE),"✓","✗"))</f>
        <v>0</v>
      </c>
      <c r="S16" s="31">
        <f>IF(ISBLANK(J16),"",IF(IFERROR(ABS(J16-'_key'!$A$1265)&lt;=0.005,FALSE),"✓","✗"))</f>
        <v>0</v>
      </c>
      <c r="T16" s="31">
        <f>IF(ISBLANK(L16),"",IF(IFERROR(ABS(L16-'_key'!$A$1266)&lt;=0.01,FALSE),"✓","✗"))</f>
        <v>0</v>
      </c>
      <c r="U16" s="31">
        <f>IF(ISBLANK(M16),"",IF(IFERROR(EXACT(M16,'_key'!$A$1267),FALSE),"✓","✗"))</f>
        <v>0</v>
      </c>
      <c r="Z16" s="31">
        <f>IF(ISBLANK(Y10),"",IF(IFERROR(ABS(Y10-'_key'!$A$1457)&lt;=0.005,FALSE),"✓","✗"))</f>
        <v>0</v>
      </c>
    </row>
    <row r="17" spans="1:26">
      <c r="A17" s="17" t="s">
        <v>1393</v>
      </c>
      <c r="B17" s="28"/>
      <c r="C17" s="28"/>
      <c r="D17" s="28"/>
      <c r="E17" s="30"/>
      <c r="F17" s="30"/>
      <c r="G17" s="28"/>
      <c r="H17" s="36"/>
      <c r="I17" s="30"/>
      <c r="J17" s="30"/>
      <c r="K17" s="38"/>
      <c r="L17" s="45"/>
      <c r="M17" s="46"/>
      <c r="O17" s="31">
        <f>IF(ISBLANK(E17),"",IF(IFERROR(ABS(E17-'_key'!$A$1268)&lt;=0.005,FALSE),"✓","✗"))</f>
        <v>0</v>
      </c>
      <c r="P17" s="31">
        <f>IF(ISBLANK(F17),"",IF(IFERROR(ABS(F17-'_key'!$A$1269)&lt;=0.005,FALSE),"✓","✗"))</f>
        <v>0</v>
      </c>
      <c r="Q17" s="31">
        <f>IF(ISBLANK(G17),"",IF(IFERROR(ABS(G17-'_key'!$A$1270)&lt;=0.005,FALSE),"✓","✗"))</f>
        <v>0</v>
      </c>
      <c r="R17" s="31">
        <f>IF(ISBLANK(H17),"",IF(IFERROR(ABS(H17-'_key'!$A$1271)&lt;=0.005,FALSE),"✓","✗"))</f>
        <v>0</v>
      </c>
      <c r="S17" s="31">
        <f>IF(ISBLANK(J17),"",IF(IFERROR(ABS(J17-'_key'!$A$1272)&lt;=0.005,FALSE),"✓","✗"))</f>
        <v>0</v>
      </c>
      <c r="T17" s="31">
        <f>IF(ISBLANK(L17),"",IF(IFERROR(ABS(L17-'_key'!$A$1273)&lt;=0.01,FALSE),"✓","✗"))</f>
        <v>0</v>
      </c>
      <c r="U17" s="31">
        <f>IF(ISBLANK(M17),"",IF(IFERROR(EXACT(M17,'_key'!$A$1274),FALSE),"✓","✗"))</f>
        <v>0</v>
      </c>
      <c r="Z17" s="31">
        <f>IF(ISBLANK(Y11),"",IF(IFERROR(ABS(Y11-'_key'!$A$1459)&lt;=0.005,FALSE),"✓","✗"))</f>
        <v>0</v>
      </c>
    </row>
    <row r="18" spans="1:26">
      <c r="A18" s="17" t="s">
        <v>1397</v>
      </c>
      <c r="B18" s="28"/>
      <c r="C18" s="28"/>
      <c r="D18" s="28"/>
      <c r="E18" s="30"/>
      <c r="F18" s="30"/>
      <c r="G18" s="28"/>
      <c r="H18" s="36"/>
      <c r="I18" s="30"/>
      <c r="J18" s="30"/>
      <c r="K18" s="38"/>
      <c r="L18" s="45"/>
      <c r="M18" s="46"/>
      <c r="O18" s="31">
        <f>IF(ISBLANK(E18),"",IF(IFERROR(ABS(E18-'_key'!$A$1275)&lt;=0.005,FALSE),"✓","✗"))</f>
        <v>0</v>
      </c>
      <c r="P18" s="31">
        <f>IF(ISBLANK(F18),"",IF(IFERROR(ABS(F18-'_key'!$A$1276)&lt;=0.005,FALSE),"✓","✗"))</f>
        <v>0</v>
      </c>
      <c r="Q18" s="31">
        <f>IF(ISBLANK(G18),"",IF(IFERROR(ABS(G18-'_key'!$A$1277)&lt;=0.005,FALSE),"✓","✗"))</f>
        <v>0</v>
      </c>
      <c r="R18" s="31">
        <f>IF(ISBLANK(H18),"",IF(IFERROR(ABS(H18-'_key'!$A$1278)&lt;=0.005,FALSE),"✓","✗"))</f>
        <v>0</v>
      </c>
      <c r="S18" s="31">
        <f>IF(ISBLANK(J18),"",IF(IFERROR(ABS(J18-'_key'!$A$1279)&lt;=0.005,FALSE),"✓","✗"))</f>
        <v>0</v>
      </c>
      <c r="T18" s="31">
        <f>IF(ISBLANK(L18),"",IF(IFERROR(ABS(L18-'_key'!$A$1280)&lt;=0.01,FALSE),"✓","✗"))</f>
        <v>0</v>
      </c>
      <c r="U18" s="31">
        <f>IF(ISBLANK(M18),"",IF(IFERROR(EXACT(M18,'_key'!$A$1281),FALSE),"✓","✗"))</f>
        <v>0</v>
      </c>
    </row>
    <row r="19" spans="1:26">
      <c r="A19" s="17" t="s">
        <v>1399</v>
      </c>
      <c r="B19" s="28"/>
      <c r="C19" s="28"/>
      <c r="D19" s="28"/>
      <c r="E19" s="30"/>
      <c r="F19" s="30"/>
      <c r="G19" s="28"/>
      <c r="H19" s="36"/>
      <c r="I19" s="30"/>
      <c r="J19" s="30"/>
      <c r="K19" s="38"/>
      <c r="L19" s="45"/>
      <c r="M19" s="46"/>
      <c r="O19" s="31">
        <f>IF(ISBLANK(E19),"",IF(IFERROR(ABS(E19-'_key'!$A$1282)&lt;=0.005,FALSE),"✓","✗"))</f>
        <v>0</v>
      </c>
      <c r="P19" s="31">
        <f>IF(ISBLANK(F19),"",IF(IFERROR(ABS(F19-'_key'!$A$1283)&lt;=0.005,FALSE),"✓","✗"))</f>
        <v>0</v>
      </c>
      <c r="Q19" s="31">
        <f>IF(ISBLANK(G19),"",IF(IFERROR(ABS(G19-'_key'!$A$1284)&lt;=0.005,FALSE),"✓","✗"))</f>
        <v>0</v>
      </c>
      <c r="R19" s="31">
        <f>IF(ISBLANK(H19),"",IF(IFERROR(ABS(H19-'_key'!$A$1285)&lt;=0.005,FALSE),"✓","✗"))</f>
        <v>0</v>
      </c>
      <c r="S19" s="31">
        <f>IF(ISBLANK(J19),"",IF(IFERROR(ABS(J19-'_key'!$A$1286)&lt;=0.005,FALSE),"✓","✗"))</f>
        <v>0</v>
      </c>
      <c r="T19" s="31">
        <f>IF(ISBLANK(L19),"",IF(IFERROR(ABS(L19-'_key'!$A$1287)&lt;=0.01,FALSE),"✓","✗"))</f>
        <v>0</v>
      </c>
      <c r="U19" s="31">
        <f>IF(ISBLANK(M19),"",IF(IFERROR(EXACT(M19,'_key'!$A$1288),FALSE),"✓","✗"))</f>
        <v>0</v>
      </c>
      <c r="W19" s="34" t="s">
        <v>5497</v>
      </c>
      <c r="Y19" s="29"/>
      <c r="Z19" s="31">
        <f>IF(ISBLANK(Y19),"",IF(IFERROR(ABS(Y19-'_key'!$A$1460)&lt;=0.005,FALSE),"✓","✗"))</f>
        <v>0</v>
      </c>
    </row>
    <row r="20" spans="1:26">
      <c r="A20" s="17" t="s">
        <v>1401</v>
      </c>
      <c r="B20" s="28"/>
      <c r="C20" s="28"/>
      <c r="D20" s="28"/>
      <c r="E20" s="30"/>
      <c r="F20" s="30"/>
      <c r="G20" s="28"/>
      <c r="H20" s="36"/>
      <c r="I20" s="30"/>
      <c r="J20" s="30"/>
      <c r="K20" s="38"/>
      <c r="L20" s="45"/>
      <c r="M20" s="46"/>
      <c r="O20" s="31">
        <f>IF(ISBLANK(E20),"",IF(IFERROR(ABS(E20-'_key'!$A$1289)&lt;=0.005,FALSE),"✓","✗"))</f>
        <v>0</v>
      </c>
      <c r="P20" s="31">
        <f>IF(ISBLANK(F20),"",IF(IFERROR(ABS(F20-'_key'!$A$1290)&lt;=0.005,FALSE),"✓","✗"))</f>
        <v>0</v>
      </c>
      <c r="Q20" s="31">
        <f>IF(ISBLANK(G20),"",IF(IFERROR(ABS(G20-'_key'!$A$1291)&lt;=0.005,FALSE),"✓","✗"))</f>
        <v>0</v>
      </c>
      <c r="R20" s="31">
        <f>IF(ISBLANK(H20),"",IF(IFERROR(ABS(H20-'_key'!$A$1292)&lt;=0.005,FALSE),"✓","✗"))</f>
        <v>0</v>
      </c>
      <c r="S20" s="31">
        <f>IF(ISBLANK(J20),"",IF(IFERROR(ABS(J20-'_key'!$A$1293)&lt;=0.005,FALSE),"✓","✗"))</f>
        <v>0</v>
      </c>
      <c r="T20" s="31">
        <f>IF(ISBLANK(L20),"",IF(IFERROR(ABS(L20-'_key'!$A$1294)&lt;=0.01,FALSE),"✓","✗"))</f>
        <v>0</v>
      </c>
      <c r="U20" s="31">
        <f>IF(ISBLANK(M20),"",IF(IFERROR(EXACT(M20,'_key'!$A$1295),FALSE),"✓","✗"))</f>
        <v>0</v>
      </c>
      <c r="W20" s="34" t="s">
        <v>5498</v>
      </c>
      <c r="Y20" s="37"/>
      <c r="Z20" s="31">
        <f>IF(ISBLANK(Y20),"",IF(IFERROR(ABS(Y20-'_key'!$A$1461)&lt;=0.0005,FALSE),"✓","✗"))</f>
        <v>0</v>
      </c>
    </row>
    <row r="21" spans="1:26">
      <c r="A21" s="17" t="s">
        <v>1404</v>
      </c>
      <c r="B21" s="28"/>
      <c r="C21" s="28"/>
      <c r="D21" s="28"/>
      <c r="E21" s="30"/>
      <c r="F21" s="30"/>
      <c r="G21" s="28"/>
      <c r="H21" s="36"/>
      <c r="I21" s="30"/>
      <c r="J21" s="30"/>
      <c r="K21" s="38"/>
      <c r="L21" s="45"/>
      <c r="M21" s="46"/>
      <c r="O21" s="31">
        <f>IF(ISBLANK(E21),"",IF(IFERROR(ABS(E21-'_key'!$A$1296)&lt;=0.005,FALSE),"✓","✗"))</f>
        <v>0</v>
      </c>
      <c r="P21" s="31">
        <f>IF(ISBLANK(F21),"",IF(IFERROR(ABS(F21-'_key'!$A$1297)&lt;=0.005,FALSE),"✓","✗"))</f>
        <v>0</v>
      </c>
      <c r="Q21" s="31">
        <f>IF(ISBLANK(G21),"",IF(IFERROR(ABS(G21-'_key'!$A$1298)&lt;=0.005,FALSE),"✓","✗"))</f>
        <v>0</v>
      </c>
      <c r="R21" s="31">
        <f>IF(ISBLANK(H21),"",IF(IFERROR(ABS(H21-'_key'!$A$1299)&lt;=0.005,FALSE),"✓","✗"))</f>
        <v>0</v>
      </c>
      <c r="S21" s="31">
        <f>IF(ISBLANK(J21),"",IF(IFERROR(ABS(J21-'_key'!$A$1300)&lt;=0.005,FALSE),"✓","✗"))</f>
        <v>0</v>
      </c>
      <c r="T21" s="31">
        <f>IF(ISBLANK(L21),"",IF(IFERROR(ABS(L21-'_key'!$A$1301)&lt;=0.01,FALSE),"✓","✗"))</f>
        <v>0</v>
      </c>
      <c r="U21" s="31">
        <f>IF(ISBLANK(M21),"",IF(IFERROR(EXACT(M21,'_key'!$A$1302),FALSE),"✓","✗"))</f>
        <v>0</v>
      </c>
    </row>
    <row r="22" spans="1:26">
      <c r="A22" s="17" t="s">
        <v>1406</v>
      </c>
      <c r="B22" s="28"/>
      <c r="C22" s="28"/>
      <c r="D22" s="28"/>
      <c r="E22" s="30"/>
      <c r="F22" s="30"/>
      <c r="G22" s="28"/>
      <c r="H22" s="36"/>
      <c r="I22" s="30"/>
      <c r="J22" s="30"/>
      <c r="K22" s="38"/>
      <c r="L22" s="45"/>
      <c r="M22" s="46"/>
      <c r="O22" s="31">
        <f>IF(ISBLANK(E22),"",IF(IFERROR(ABS(E22-'_key'!$A$1303)&lt;=0.005,FALSE),"✓","✗"))</f>
        <v>0</v>
      </c>
      <c r="P22" s="31">
        <f>IF(ISBLANK(F22),"",IF(IFERROR(ABS(F22-'_key'!$A$1304)&lt;=0.005,FALSE),"✓","✗"))</f>
        <v>0</v>
      </c>
      <c r="Q22" s="31">
        <f>IF(ISBLANK(G22),"",IF(IFERROR(ABS(G22-'_key'!$A$1305)&lt;=0.005,FALSE),"✓","✗"))</f>
        <v>0</v>
      </c>
      <c r="R22" s="31">
        <f>IF(ISBLANK(H22),"",IF(IFERROR(ABS(H22-'_key'!$A$1306)&lt;=0.005,FALSE),"✓","✗"))</f>
        <v>0</v>
      </c>
      <c r="S22" s="31">
        <f>IF(ISBLANK(J22),"",IF(IFERROR(ABS(J22-'_key'!$A$1307)&lt;=0.005,FALSE),"✓","✗"))</f>
        <v>0</v>
      </c>
      <c r="T22" s="31">
        <f>IF(ISBLANK(L22),"",IF(IFERROR(ABS(L22-'_key'!$A$1308)&lt;=0.01,FALSE),"✓","✗"))</f>
        <v>0</v>
      </c>
      <c r="U22" s="31">
        <f>IF(ISBLANK(M22),"",IF(IFERROR(EXACT(M22,'_key'!$A$1309),FALSE),"✓","✗"))</f>
        <v>0</v>
      </c>
      <c r="W22" s="4" t="s">
        <v>5499</v>
      </c>
    </row>
    <row r="23" spans="1:26">
      <c r="A23" s="17" t="s">
        <v>1408</v>
      </c>
      <c r="B23" s="28"/>
      <c r="C23" s="28"/>
      <c r="D23" s="28"/>
      <c r="E23" s="30"/>
      <c r="F23" s="30"/>
      <c r="G23" s="28"/>
      <c r="H23" s="36"/>
      <c r="I23" s="30"/>
      <c r="J23" s="30"/>
      <c r="K23" s="38"/>
      <c r="L23" s="45"/>
      <c r="M23" s="46"/>
      <c r="O23" s="31">
        <f>IF(ISBLANK(E23),"",IF(IFERROR(ABS(E23-'_key'!$A$1310)&lt;=0.005,FALSE),"✓","✗"))</f>
        <v>0</v>
      </c>
      <c r="P23" s="31">
        <f>IF(ISBLANK(F23),"",IF(IFERROR(ABS(F23-'_key'!$A$1311)&lt;=0.005,FALSE),"✓","✗"))</f>
        <v>0</v>
      </c>
      <c r="Q23" s="31">
        <f>IF(ISBLANK(G23),"",IF(IFERROR(ABS(G23-'_key'!$A$1312)&lt;=0.005,FALSE),"✓","✗"))</f>
        <v>0</v>
      </c>
      <c r="R23" s="31">
        <f>IF(ISBLANK(H23),"",IF(IFERROR(ABS(H23-'_key'!$A$1313)&lt;=0.005,FALSE),"✓","✗"))</f>
        <v>0</v>
      </c>
      <c r="S23" s="31">
        <f>IF(ISBLANK(J23),"",IF(IFERROR(ABS(J23-'_key'!$A$1314)&lt;=0.005,FALSE),"✓","✗"))</f>
        <v>0</v>
      </c>
      <c r="T23" s="31">
        <f>IF(ISBLANK(L23),"",IF(IFERROR(ABS(L23-'_key'!$A$1315)&lt;=0.01,FALSE),"✓","✗"))</f>
        <v>0</v>
      </c>
      <c r="U23" s="31">
        <f>IF(ISBLANK(M23),"",IF(IFERROR(EXACT(M23,'_key'!$A$1316),FALSE),"✓","✗"))</f>
        <v>0</v>
      </c>
      <c r="W23" s="7" t="s">
        <v>1455</v>
      </c>
      <c r="X23" s="7" t="s">
        <v>5500</v>
      </c>
      <c r="Y23" s="7" t="s">
        <v>5502</v>
      </c>
      <c r="Z23" s="7" t="s">
        <v>5376</v>
      </c>
    </row>
    <row r="24" spans="1:26">
      <c r="A24" s="17" t="s">
        <v>1411</v>
      </c>
      <c r="B24" s="28"/>
      <c r="C24" s="28"/>
      <c r="D24" s="28"/>
      <c r="E24" s="30"/>
      <c r="F24" s="30"/>
      <c r="G24" s="28"/>
      <c r="H24" s="36"/>
      <c r="I24" s="30"/>
      <c r="J24" s="30"/>
      <c r="K24" s="38"/>
      <c r="L24" s="45"/>
      <c r="M24" s="46"/>
      <c r="O24" s="31">
        <f>IF(ISBLANK(E24),"",IF(IFERROR(ABS(E24-'_key'!$A$1317)&lt;=0.005,FALSE),"✓","✗"))</f>
        <v>0</v>
      </c>
      <c r="P24" s="31">
        <f>IF(ISBLANK(F24),"",IF(IFERROR(ABS(F24-'_key'!$A$1318)&lt;=0.005,FALSE),"✓","✗"))</f>
        <v>0</v>
      </c>
      <c r="Q24" s="31">
        <f>IF(ISBLANK(G24),"",IF(IFERROR(ABS(G24-'_key'!$A$1319)&lt;=0.005,FALSE),"✓","✗"))</f>
        <v>0</v>
      </c>
      <c r="R24" s="31">
        <f>IF(ISBLANK(H24),"",IF(IFERROR(ABS(H24-'_key'!$A$1320)&lt;=0.005,FALSE),"✓","✗"))</f>
        <v>0</v>
      </c>
      <c r="S24" s="31">
        <f>IF(ISBLANK(J24),"",IF(IFERROR(ABS(J24-'_key'!$A$1321)&lt;=0.005,FALSE),"✓","✗"))</f>
        <v>0</v>
      </c>
      <c r="T24" s="31">
        <f>IF(ISBLANK(L24),"",IF(IFERROR(ABS(L24-'_key'!$A$1322)&lt;=0.01,FALSE),"✓","✗"))</f>
        <v>0</v>
      </c>
      <c r="U24" s="31">
        <f>IF(ISBLANK(M24),"",IF(IFERROR(EXACT(M24,'_key'!$A$1323),FALSE),"✓","✗"))</f>
        <v>0</v>
      </c>
      <c r="W24" s="26"/>
      <c r="X24" s="26" t="s">
        <v>5501</v>
      </c>
      <c r="Y24" s="26" t="s">
        <v>5503</v>
      </c>
      <c r="Z24" s="26"/>
    </row>
    <row r="25" spans="1:26">
      <c r="A25" s="17" t="s">
        <v>1414</v>
      </c>
      <c r="B25" s="28"/>
      <c r="C25" s="28"/>
      <c r="D25" s="28"/>
      <c r="E25" s="30"/>
      <c r="F25" s="30"/>
      <c r="G25" s="28"/>
      <c r="H25" s="36"/>
      <c r="I25" s="30"/>
      <c r="J25" s="30"/>
      <c r="K25" s="38"/>
      <c r="L25" s="45"/>
      <c r="M25" s="46"/>
      <c r="O25" s="31">
        <f>IF(ISBLANK(E25),"",IF(IFERROR(ABS(E25-'_key'!$A$1324)&lt;=0.005,FALSE),"✓","✗"))</f>
        <v>0</v>
      </c>
      <c r="P25" s="31">
        <f>IF(ISBLANK(F25),"",IF(IFERROR(ABS(F25-'_key'!$A$1325)&lt;=0.005,FALSE),"✓","✗"))</f>
        <v>0</v>
      </c>
      <c r="Q25" s="31">
        <f>IF(ISBLANK(G25),"",IF(IFERROR(ABS(G25-'_key'!$A$1326)&lt;=0.005,FALSE),"✓","✗"))</f>
        <v>0</v>
      </c>
      <c r="R25" s="31">
        <f>IF(ISBLANK(H25),"",IF(IFERROR(ABS(H25-'_key'!$A$1327)&lt;=0.005,FALSE),"✓","✗"))</f>
        <v>0</v>
      </c>
      <c r="S25" s="31">
        <f>IF(ISBLANK(J25),"",IF(IFERROR(ABS(J25-'_key'!$A$1328)&lt;=0.005,FALSE),"✓","✗"))</f>
        <v>0</v>
      </c>
      <c r="T25" s="31">
        <f>IF(ISBLANK(L25),"",IF(IFERROR(ABS(L25-'_key'!$A$1329)&lt;=0.01,FALSE),"✓","✗"))</f>
        <v>0</v>
      </c>
      <c r="U25" s="31">
        <f>IF(ISBLANK(M25),"",IF(IFERROR(EXACT(M25,'_key'!$A$1330),FALSE),"✓","✗"))</f>
        <v>0</v>
      </c>
      <c r="W25" s="17" t="s">
        <v>1368</v>
      </c>
      <c r="X25" s="30"/>
      <c r="Y25" s="37"/>
      <c r="Z25" s="31">
        <f>IF(ISBLANK(X25),"",IF(IFERROR(ABS(X25-'_key'!$A$1462)&lt;=0.005,FALSE),"✓","✗"))</f>
        <v>0</v>
      </c>
    </row>
    <row r="26" spans="1:26">
      <c r="A26" s="17" t="s">
        <v>1417</v>
      </c>
      <c r="B26" s="28"/>
      <c r="C26" s="28"/>
      <c r="D26" s="28"/>
      <c r="E26" s="30"/>
      <c r="F26" s="30"/>
      <c r="G26" s="28"/>
      <c r="H26" s="36"/>
      <c r="I26" s="30"/>
      <c r="J26" s="30"/>
      <c r="K26" s="38"/>
      <c r="L26" s="45"/>
      <c r="M26" s="46"/>
      <c r="O26" s="31">
        <f>IF(ISBLANK(E26),"",IF(IFERROR(ABS(E26-'_key'!$A$1331)&lt;=0.005,FALSE),"✓","✗"))</f>
        <v>0</v>
      </c>
      <c r="P26" s="31">
        <f>IF(ISBLANK(F26),"",IF(IFERROR(ABS(F26-'_key'!$A$1332)&lt;=0.005,FALSE),"✓","✗"))</f>
        <v>0</v>
      </c>
      <c r="Q26" s="31">
        <f>IF(ISBLANK(G26),"",IF(IFERROR(ABS(G26-'_key'!$A$1333)&lt;=0.005,FALSE),"✓","✗"))</f>
        <v>0</v>
      </c>
      <c r="R26" s="31">
        <f>IF(ISBLANK(H26),"",IF(IFERROR(EXACT(H26,'_key'!$A$1334),FALSE),"✓","✗"))</f>
        <v>0</v>
      </c>
      <c r="S26" s="31">
        <f>IF(ISBLANK(J26),"",IF(IFERROR(ABS(J26-'_key'!$A$1335)&lt;=0.005,FALSE),"✓","✗"))</f>
        <v>0</v>
      </c>
      <c r="T26" s="31">
        <f>IF(ISBLANK(L26),"",IF(IFERROR(EXACT(L26,'_key'!$A$1336),FALSE),"✓","✗"))</f>
        <v>0</v>
      </c>
      <c r="U26" s="31">
        <f>IF(ISBLANK(M26),"",IF(IFERROR(EXACT(M26,'_key'!$A$1337),FALSE),"✓","✗"))</f>
        <v>0</v>
      </c>
      <c r="W26" s="17" t="s">
        <v>1470</v>
      </c>
      <c r="X26" s="30"/>
      <c r="Y26" s="37"/>
      <c r="Z26" s="31">
        <f>IF(ISBLANK(X26),"",IF(IFERROR(ABS(X26-'_key'!$A$1463)&lt;=0.005,FALSE),"✓","✗"))</f>
        <v>0</v>
      </c>
    </row>
    <row r="27" spans="1:26">
      <c r="A27" s="17" t="s">
        <v>1419</v>
      </c>
      <c r="B27" s="28"/>
      <c r="C27" s="28"/>
      <c r="D27" s="28"/>
      <c r="E27" s="30"/>
      <c r="F27" s="30"/>
      <c r="G27" s="28"/>
      <c r="H27" s="36"/>
      <c r="I27" s="30"/>
      <c r="J27" s="30"/>
      <c r="K27" s="38"/>
      <c r="L27" s="45"/>
      <c r="M27" s="46"/>
      <c r="O27" s="31">
        <f>IF(ISBLANK(E27),"",IF(IFERROR(ABS(E27-'_key'!$A$1338)&lt;=0.005,FALSE),"✓","✗"))</f>
        <v>0</v>
      </c>
      <c r="P27" s="31">
        <f>IF(ISBLANK(F27),"",IF(IFERROR(ABS(F27-'_key'!$A$1339)&lt;=0.005,FALSE),"✓","✗"))</f>
        <v>0</v>
      </c>
      <c r="Q27" s="31">
        <f>IF(ISBLANK(G27),"",IF(IFERROR(ABS(G27-'_key'!$A$1340)&lt;=0.005,FALSE),"✓","✗"))</f>
        <v>0</v>
      </c>
      <c r="R27" s="31">
        <f>IF(ISBLANK(H27),"",IF(IFERROR(ABS(H27-'_key'!$A$1341)&lt;=0.005,FALSE),"✓","✗"))</f>
        <v>0</v>
      </c>
      <c r="S27" s="31">
        <f>IF(ISBLANK(J27),"",IF(IFERROR(ABS(J27-'_key'!$A$1342)&lt;=0.005,FALSE),"✓","✗"))</f>
        <v>0</v>
      </c>
      <c r="T27" s="31">
        <f>IF(ISBLANK(L27),"",IF(IFERROR(ABS(L27-'_key'!$A$1343)&lt;=0.01,FALSE),"✓","✗"))</f>
        <v>0</v>
      </c>
      <c r="U27" s="31">
        <f>IF(ISBLANK(M27),"",IF(IFERROR(EXACT(M27,'_key'!$A$1344),FALSE),"✓","✗"))</f>
        <v>0</v>
      </c>
      <c r="W27" s="17" t="s">
        <v>1362</v>
      </c>
      <c r="X27" s="30"/>
      <c r="Y27" s="37"/>
      <c r="Z27" s="31">
        <f>IF(ISBLANK(X27),"",IF(IFERROR(ABS(X27-'_key'!$A$1464)&lt;=0.005,FALSE),"✓","✗"))</f>
        <v>0</v>
      </c>
    </row>
    <row r="28" spans="1:26">
      <c r="A28" s="17" t="s">
        <v>1421</v>
      </c>
      <c r="B28" s="28"/>
      <c r="C28" s="28"/>
      <c r="D28" s="28"/>
      <c r="E28" s="30"/>
      <c r="F28" s="30"/>
      <c r="G28" s="28"/>
      <c r="H28" s="36"/>
      <c r="I28" s="30"/>
      <c r="J28" s="30"/>
      <c r="K28" s="38"/>
      <c r="L28" s="45"/>
      <c r="M28" s="46"/>
      <c r="O28" s="31">
        <f>IF(ISBLANK(E28),"",IF(IFERROR(ABS(E28-'_key'!$A$1345)&lt;=0.005,FALSE),"✓","✗"))</f>
        <v>0</v>
      </c>
      <c r="P28" s="31">
        <f>IF(ISBLANK(F28),"",IF(IFERROR(ABS(F28-'_key'!$A$1346)&lt;=0.005,FALSE),"✓","✗"))</f>
        <v>0</v>
      </c>
      <c r="Q28" s="31">
        <f>IF(ISBLANK(G28),"",IF(IFERROR(ABS(G28-'_key'!$A$1347)&lt;=0.005,FALSE),"✓","✗"))</f>
        <v>0</v>
      </c>
      <c r="R28" s="31">
        <f>IF(ISBLANK(H28),"",IF(IFERROR(ABS(H28-'_key'!$A$1348)&lt;=0.005,FALSE),"✓","✗"))</f>
        <v>0</v>
      </c>
      <c r="S28" s="31">
        <f>IF(ISBLANK(J28),"",IF(IFERROR(ABS(J28-'_key'!$A$1349)&lt;=0.005,FALSE),"✓","✗"))</f>
        <v>0</v>
      </c>
      <c r="T28" s="31">
        <f>IF(ISBLANK(L28),"",IF(IFERROR(ABS(L28-'_key'!$A$1350)&lt;=0.01,FALSE),"✓","✗"))</f>
        <v>0</v>
      </c>
      <c r="U28" s="31">
        <f>IF(ISBLANK(M28),"",IF(IFERROR(EXACT(M28,'_key'!$A$1351),FALSE),"✓","✗"))</f>
        <v>0</v>
      </c>
      <c r="W28" s="17" t="s">
        <v>1386</v>
      </c>
      <c r="X28" s="30"/>
      <c r="Y28" s="37"/>
      <c r="Z28" s="31">
        <f>IF(ISBLANK(X28),"",IF(IFERROR(ABS(X28-'_key'!$A$1465)&lt;=0.005,FALSE),"✓","✗"))</f>
        <v>0</v>
      </c>
    </row>
    <row r="29" spans="1:26">
      <c r="A29" s="17" t="s">
        <v>1423</v>
      </c>
      <c r="B29" s="28"/>
      <c r="C29" s="28"/>
      <c r="D29" s="28"/>
      <c r="E29" s="30"/>
      <c r="F29" s="30"/>
      <c r="G29" s="28"/>
      <c r="H29" s="36"/>
      <c r="I29" s="30"/>
      <c r="J29" s="30"/>
      <c r="K29" s="38"/>
      <c r="L29" s="45"/>
      <c r="M29" s="46"/>
      <c r="O29" s="31">
        <f>IF(ISBLANK(E29),"",IF(IFERROR(ABS(E29-'_key'!$A$1352)&lt;=0.005,FALSE),"✓","✗"))</f>
        <v>0</v>
      </c>
      <c r="P29" s="31">
        <f>IF(ISBLANK(F29),"",IF(IFERROR(ABS(F29-'_key'!$A$1353)&lt;=0.005,FALSE),"✓","✗"))</f>
        <v>0</v>
      </c>
      <c r="Q29" s="31">
        <f>IF(ISBLANK(G29),"",IF(IFERROR(ABS(G29-'_key'!$A$1354)&lt;=0.005,FALSE),"✓","✗"))</f>
        <v>0</v>
      </c>
      <c r="R29" s="31">
        <f>IF(ISBLANK(H29),"",IF(IFERROR(ABS(H29-'_key'!$A$1355)&lt;=0.005,FALSE),"✓","✗"))</f>
        <v>0</v>
      </c>
      <c r="S29" s="31">
        <f>IF(ISBLANK(J29),"",IF(IFERROR(ABS(J29-'_key'!$A$1356)&lt;=0.005,FALSE),"✓","✗"))</f>
        <v>0</v>
      </c>
      <c r="T29" s="31">
        <f>IF(ISBLANK(L29),"",IF(IFERROR(ABS(L29-'_key'!$A$1357)&lt;=0.01,FALSE),"✓","✗"))</f>
        <v>0</v>
      </c>
      <c r="U29" s="31">
        <f>IF(ISBLANK(M29),"",IF(IFERROR(EXACT(M29,'_key'!$A$1358),FALSE),"✓","✗"))</f>
        <v>0</v>
      </c>
      <c r="W29" s="17" t="s">
        <v>1410</v>
      </c>
      <c r="X29" s="30"/>
      <c r="Y29" s="37"/>
      <c r="Z29" s="31">
        <f>IF(ISBLANK(X29),"",IF(IFERROR(ABS(X29-'_key'!$A$1466)&lt;=0.005,FALSE),"✓","✗"))</f>
        <v>0</v>
      </c>
    </row>
    <row r="30" spans="1:26">
      <c r="A30" s="17" t="s">
        <v>1425</v>
      </c>
      <c r="B30" s="28"/>
      <c r="C30" s="28"/>
      <c r="D30" s="28"/>
      <c r="E30" s="30"/>
      <c r="F30" s="30"/>
      <c r="G30" s="28"/>
      <c r="H30" s="36"/>
      <c r="I30" s="30"/>
      <c r="J30" s="30"/>
      <c r="K30" s="38"/>
      <c r="L30" s="45"/>
      <c r="M30" s="46"/>
      <c r="O30" s="31">
        <f>IF(ISBLANK(E30),"",IF(IFERROR(ABS(E30-'_key'!$A$1359)&lt;=0.005,FALSE),"✓","✗"))</f>
        <v>0</v>
      </c>
      <c r="P30" s="31">
        <f>IF(ISBLANK(F30),"",IF(IFERROR(ABS(F30-'_key'!$A$1360)&lt;=0.005,FALSE),"✓","✗"))</f>
        <v>0</v>
      </c>
      <c r="Q30" s="31">
        <f>IF(ISBLANK(G30),"",IF(IFERROR(ABS(G30-'_key'!$A$1361)&lt;=0.005,FALSE),"✓","✗"))</f>
        <v>0</v>
      </c>
      <c r="R30" s="31">
        <f>IF(ISBLANK(H30),"",IF(IFERROR(ABS(H30-'_key'!$A$1362)&lt;=0.005,FALSE),"✓","✗"))</f>
        <v>0</v>
      </c>
      <c r="S30" s="31">
        <f>IF(ISBLANK(J30),"",IF(IFERROR(ABS(J30-'_key'!$A$1363)&lt;=0.005,FALSE),"✓","✗"))</f>
        <v>0</v>
      </c>
      <c r="T30" s="31">
        <f>IF(ISBLANK(L30),"",IF(IFERROR(ABS(L30-'_key'!$A$1364)&lt;=0.01,FALSE),"✓","✗"))</f>
        <v>0</v>
      </c>
      <c r="U30" s="31">
        <f>IF(ISBLANK(M30),"",IF(IFERROR(EXACT(M30,'_key'!$A$1365),FALSE),"✓","✗"))</f>
        <v>0</v>
      </c>
      <c r="W30" s="17" t="s">
        <v>5</v>
      </c>
      <c r="X30" s="30"/>
      <c r="Y30" s="37"/>
      <c r="Z30" s="31">
        <f>IF(ISBLANK(X30),"",IF(IFERROR(ABS(X30-'_key'!$A$1467)&lt;=0.005,FALSE),"✓","✗"))</f>
        <v>0</v>
      </c>
    </row>
    <row r="31" spans="1:26">
      <c r="A31" s="17" t="s">
        <v>1427</v>
      </c>
      <c r="B31" s="28"/>
      <c r="C31" s="28"/>
      <c r="D31" s="28"/>
      <c r="E31" s="30"/>
      <c r="F31" s="30"/>
      <c r="G31" s="28"/>
      <c r="H31" s="36"/>
      <c r="I31" s="30"/>
      <c r="J31" s="30"/>
      <c r="K31" s="38"/>
      <c r="L31" s="45"/>
      <c r="M31" s="46"/>
      <c r="O31" s="31">
        <f>IF(ISBLANK(E31),"",IF(IFERROR(ABS(E31-'_key'!$A$1366)&lt;=0.005,FALSE),"✓","✗"))</f>
        <v>0</v>
      </c>
      <c r="P31" s="31">
        <f>IF(ISBLANK(F31),"",IF(IFERROR(ABS(F31-'_key'!$A$1367)&lt;=0.005,FALSE),"✓","✗"))</f>
        <v>0</v>
      </c>
      <c r="Q31" s="31">
        <f>IF(ISBLANK(G31),"",IF(IFERROR(ABS(G31-'_key'!$A$1368)&lt;=0.005,FALSE),"✓","✗"))</f>
        <v>0</v>
      </c>
      <c r="R31" s="31">
        <f>IF(ISBLANK(H31),"",IF(IFERROR(ABS(H31-'_key'!$A$1369)&lt;=0.005,FALSE),"✓","✗"))</f>
        <v>0</v>
      </c>
      <c r="S31" s="31">
        <f>IF(ISBLANK(J31),"",IF(IFERROR(ABS(J31-'_key'!$A$1370)&lt;=0.005,FALSE),"✓","✗"))</f>
        <v>0</v>
      </c>
      <c r="T31" s="31">
        <f>IF(ISBLANK(L31),"",IF(IFERROR(ABS(L31-'_key'!$A$1371)&lt;=0.01,FALSE),"✓","✗"))</f>
        <v>0</v>
      </c>
      <c r="U31" s="31">
        <f>IF(ISBLANK(M31),"",IF(IFERROR(EXACT(M31,'_key'!$A$1372),FALSE),"✓","✗"))</f>
        <v>0</v>
      </c>
      <c r="W31" s="17" t="s">
        <v>1433</v>
      </c>
      <c r="X31" s="30"/>
      <c r="Y31" s="37"/>
      <c r="Z31" s="31">
        <f>IF(ISBLANK(X31),"",IF(IFERROR(ABS(X31-'_key'!$A$1468)&lt;=0.005,FALSE),"✓","✗"))</f>
        <v>0</v>
      </c>
    </row>
    <row r="32" spans="1:26">
      <c r="A32" s="17" t="s">
        <v>1429</v>
      </c>
      <c r="B32" s="28"/>
      <c r="C32" s="28"/>
      <c r="D32" s="28"/>
      <c r="E32" s="30"/>
      <c r="F32" s="30"/>
      <c r="G32" s="28"/>
      <c r="H32" s="36"/>
      <c r="I32" s="30"/>
      <c r="J32" s="30"/>
      <c r="K32" s="38"/>
      <c r="L32" s="45"/>
      <c r="M32" s="46"/>
      <c r="O32" s="31">
        <f>IF(ISBLANK(E32),"",IF(IFERROR(ABS(E32-'_key'!$A$1373)&lt;=0.005,FALSE),"✓","✗"))</f>
        <v>0</v>
      </c>
      <c r="P32" s="31">
        <f>IF(ISBLANK(F32),"",IF(IFERROR(ABS(F32-'_key'!$A$1374)&lt;=0.005,FALSE),"✓","✗"))</f>
        <v>0</v>
      </c>
      <c r="Q32" s="31">
        <f>IF(ISBLANK(G32),"",IF(IFERROR(ABS(G32-'_key'!$A$1375)&lt;=0.005,FALSE),"✓","✗"))</f>
        <v>0</v>
      </c>
      <c r="R32" s="31">
        <f>IF(ISBLANK(H32),"",IF(IFERROR(ABS(H32-'_key'!$A$1376)&lt;=0.005,FALSE),"✓","✗"))</f>
        <v>0</v>
      </c>
      <c r="S32" s="31">
        <f>IF(ISBLANK(J32),"",IF(IFERROR(ABS(J32-'_key'!$A$1377)&lt;=0.005,FALSE),"✓","✗"))</f>
        <v>0</v>
      </c>
      <c r="T32" s="31">
        <f>IF(ISBLANK(L32),"",IF(IFERROR(ABS(L32-'_key'!$A$1378)&lt;=0.01,FALSE),"✓","✗"))</f>
        <v>0</v>
      </c>
      <c r="U32" s="31">
        <f>IF(ISBLANK(M32),"",IF(IFERROR(EXACT(M32,'_key'!$A$1379),FALSE),"✓","✗"))</f>
        <v>0</v>
      </c>
      <c r="W32" s="17" t="s">
        <v>1482</v>
      </c>
      <c r="X32" s="30"/>
      <c r="Y32" s="37"/>
      <c r="Z32" s="31">
        <f>IF(ISBLANK(X32),"",IF(IFERROR(ABS(X32-'_key'!$A$1469)&lt;=0.005,FALSE),"✓","✗"))</f>
        <v>0</v>
      </c>
    </row>
    <row r="33" spans="1:26">
      <c r="A33" s="17" t="s">
        <v>1431</v>
      </c>
      <c r="B33" s="28"/>
      <c r="C33" s="28"/>
      <c r="D33" s="28"/>
      <c r="E33" s="30"/>
      <c r="F33" s="30"/>
      <c r="G33" s="28"/>
      <c r="H33" s="36"/>
      <c r="I33" s="30"/>
      <c r="J33" s="30"/>
      <c r="K33" s="38"/>
      <c r="L33" s="45"/>
      <c r="M33" s="46"/>
      <c r="O33" s="31">
        <f>IF(ISBLANK(E33),"",IF(IFERROR(ABS(E33-'_key'!$A$1380)&lt;=0.005,FALSE),"✓","✗"))</f>
        <v>0</v>
      </c>
      <c r="P33" s="31">
        <f>IF(ISBLANK(F33),"",IF(IFERROR(ABS(F33-'_key'!$A$1381)&lt;=0.005,FALSE),"✓","✗"))</f>
        <v>0</v>
      </c>
      <c r="Q33" s="31">
        <f>IF(ISBLANK(G33),"",IF(IFERROR(ABS(G33-'_key'!$A$1382)&lt;=0.005,FALSE),"✓","✗"))</f>
        <v>0</v>
      </c>
      <c r="R33" s="31">
        <f>IF(ISBLANK(H33),"",IF(IFERROR(ABS(H33-'_key'!$A$1383)&lt;=0.005,FALSE),"✓","✗"))</f>
        <v>0</v>
      </c>
      <c r="S33" s="31">
        <f>IF(ISBLANK(J33),"",IF(IFERROR(ABS(J33-'_key'!$A$1384)&lt;=0.005,FALSE),"✓","✗"))</f>
        <v>0</v>
      </c>
      <c r="T33" s="31">
        <f>IF(ISBLANK(L33),"",IF(IFERROR(ABS(L33-'_key'!$A$1385)&lt;=0.01,FALSE),"✓","✗"))</f>
        <v>0</v>
      </c>
      <c r="U33" s="31">
        <f>IF(ISBLANK(M33),"",IF(IFERROR(EXACT(M33,'_key'!$A$1386),FALSE),"✓","✗"))</f>
        <v>0</v>
      </c>
    </row>
    <row r="34" spans="1:26">
      <c r="A34" s="17" t="s">
        <v>1434</v>
      </c>
      <c r="B34" s="28"/>
      <c r="C34" s="28"/>
      <c r="D34" s="28"/>
      <c r="E34" s="30"/>
      <c r="F34" s="30"/>
      <c r="G34" s="28"/>
      <c r="H34" s="36"/>
      <c r="I34" s="30"/>
      <c r="J34" s="30"/>
      <c r="K34" s="38"/>
      <c r="L34" s="45"/>
      <c r="M34" s="46"/>
      <c r="O34" s="31">
        <f>IF(ISBLANK(E34),"",IF(IFERROR(ABS(E34-'_key'!$A$1387)&lt;=0.005,FALSE),"✓","✗"))</f>
        <v>0</v>
      </c>
      <c r="P34" s="31">
        <f>IF(ISBLANK(F34),"",IF(IFERROR(ABS(F34-'_key'!$A$1388)&lt;=0.005,FALSE),"✓","✗"))</f>
        <v>0</v>
      </c>
      <c r="Q34" s="31">
        <f>IF(ISBLANK(G34),"",IF(IFERROR(ABS(G34-'_key'!$A$1389)&lt;=0.005,FALSE),"✓","✗"))</f>
        <v>0</v>
      </c>
      <c r="R34" s="31">
        <f>IF(ISBLANK(H34),"",IF(IFERROR(ABS(H34-'_key'!$A$1390)&lt;=0.005,FALSE),"✓","✗"))</f>
        <v>0</v>
      </c>
      <c r="S34" s="31">
        <f>IF(ISBLANK(J34),"",IF(IFERROR(ABS(J34-'_key'!$A$1391)&lt;=0.005,FALSE),"✓","✗"))</f>
        <v>0</v>
      </c>
      <c r="T34" s="31">
        <f>IF(ISBLANK(L34),"",IF(IFERROR(ABS(L34-'_key'!$A$1392)&lt;=0.01,FALSE),"✓","✗"))</f>
        <v>0</v>
      </c>
      <c r="U34" s="31">
        <f>IF(ISBLANK(M34),"",IF(IFERROR(EXACT(M34,'_key'!$A$1393),FALSE),"✓","✗"))</f>
        <v>0</v>
      </c>
      <c r="W34" s="33" t="s">
        <v>5504</v>
      </c>
      <c r="X34" s="33"/>
      <c r="Y34" s="33"/>
      <c r="Z34" s="33"/>
    </row>
    <row r="35" spans="1:26">
      <c r="A35" s="17" t="s">
        <v>1436</v>
      </c>
      <c r="B35" s="28"/>
      <c r="C35" s="28"/>
      <c r="D35" s="28"/>
      <c r="E35" s="30"/>
      <c r="F35" s="30"/>
      <c r="G35" s="28"/>
      <c r="H35" s="36"/>
      <c r="I35" s="30"/>
      <c r="J35" s="30"/>
      <c r="K35" s="38"/>
      <c r="L35" s="45"/>
      <c r="M35" s="46"/>
      <c r="O35" s="31">
        <f>IF(ISBLANK(E35),"",IF(IFERROR(ABS(E35-'_key'!$A$1394)&lt;=0.005,FALSE),"✓","✗"))</f>
        <v>0</v>
      </c>
      <c r="P35" s="31">
        <f>IF(ISBLANK(F35),"",IF(IFERROR(ABS(F35-'_key'!$A$1395)&lt;=0.005,FALSE),"✓","✗"))</f>
        <v>0</v>
      </c>
      <c r="Q35" s="31">
        <f>IF(ISBLANK(G35),"",IF(IFERROR(ABS(G35-'_key'!$A$1396)&lt;=0.005,FALSE),"✓","✗"))</f>
        <v>0</v>
      </c>
      <c r="R35" s="31">
        <f>IF(ISBLANK(H35),"",IF(IFERROR(EXACT(H35,'_key'!$A$1397),FALSE),"✓","✗"))</f>
        <v>0</v>
      </c>
      <c r="S35" s="31">
        <f>IF(ISBLANK(J35),"",IF(IFERROR(ABS(J35-'_key'!$A$1398)&lt;=0.005,FALSE),"✓","✗"))</f>
        <v>0</v>
      </c>
      <c r="T35" s="31">
        <f>IF(ISBLANK(L35),"",IF(IFERROR(EXACT(L35,'_key'!$A$1399),FALSE),"✓","✗"))</f>
        <v>0</v>
      </c>
      <c r="U35" s="31">
        <f>IF(ISBLANK(M35),"",IF(IFERROR(EXACT(M35,'_key'!$A$1400),FALSE),"✓","✗"))</f>
        <v>0</v>
      </c>
      <c r="W35" s="33"/>
      <c r="X35" s="33"/>
      <c r="Y35" s="33"/>
      <c r="Z35" s="33"/>
    </row>
    <row r="36" spans="1:26">
      <c r="A36" s="17" t="s">
        <v>1438</v>
      </c>
      <c r="B36" s="28"/>
      <c r="C36" s="28"/>
      <c r="D36" s="28"/>
      <c r="E36" s="30"/>
      <c r="F36" s="30"/>
      <c r="G36" s="28"/>
      <c r="H36" s="36"/>
      <c r="I36" s="30"/>
      <c r="J36" s="30"/>
      <c r="K36" s="38"/>
      <c r="L36" s="45"/>
      <c r="M36" s="46"/>
      <c r="O36" s="31">
        <f>IF(ISBLANK(E36),"",IF(IFERROR(ABS(E36-'_key'!$A$1401)&lt;=0.005,FALSE),"✓","✗"))</f>
        <v>0</v>
      </c>
      <c r="P36" s="31">
        <f>IF(ISBLANK(F36),"",IF(IFERROR(ABS(F36-'_key'!$A$1402)&lt;=0.005,FALSE),"✓","✗"))</f>
        <v>0</v>
      </c>
      <c r="Q36" s="31">
        <f>IF(ISBLANK(G36),"",IF(IFERROR(ABS(G36-'_key'!$A$1403)&lt;=0.005,FALSE),"✓","✗"))</f>
        <v>0</v>
      </c>
      <c r="R36" s="31">
        <f>IF(ISBLANK(H36),"",IF(IFERROR(ABS(H36-'_key'!$A$1404)&lt;=0.005,FALSE),"✓","✗"))</f>
        <v>0</v>
      </c>
      <c r="S36" s="31">
        <f>IF(ISBLANK(J36),"",IF(IFERROR(ABS(J36-'_key'!$A$1405)&lt;=0.005,FALSE),"✓","✗"))</f>
        <v>0</v>
      </c>
      <c r="T36" s="31">
        <f>IF(ISBLANK(L36),"",IF(IFERROR(ABS(L36-'_key'!$A$1406)&lt;=0.01,FALSE),"✓","✗"))</f>
        <v>0</v>
      </c>
      <c r="U36" s="31">
        <f>IF(ISBLANK(M36),"",IF(IFERROR(EXACT(M36,'_key'!$A$1407),FALSE),"✓","✗"))</f>
        <v>0</v>
      </c>
      <c r="W36" s="33"/>
      <c r="X36" s="33"/>
      <c r="Y36" s="33"/>
      <c r="Z36" s="33"/>
    </row>
    <row r="37" spans="1:26">
      <c r="A37" s="17" t="s">
        <v>1440</v>
      </c>
      <c r="B37" s="28"/>
      <c r="C37" s="28"/>
      <c r="D37" s="28"/>
      <c r="E37" s="30"/>
      <c r="F37" s="30"/>
      <c r="G37" s="28"/>
      <c r="H37" s="36"/>
      <c r="I37" s="30"/>
      <c r="J37" s="30"/>
      <c r="K37" s="38"/>
      <c r="L37" s="45"/>
      <c r="M37" s="46"/>
      <c r="O37" s="31">
        <f>IF(ISBLANK(E37),"",IF(IFERROR(ABS(E37-'_key'!$A$1408)&lt;=0.005,FALSE),"✓","✗"))</f>
        <v>0</v>
      </c>
      <c r="P37" s="31">
        <f>IF(ISBLANK(F37),"",IF(IFERROR(ABS(F37-'_key'!$A$1409)&lt;=0.005,FALSE),"✓","✗"))</f>
        <v>0</v>
      </c>
      <c r="Q37" s="31">
        <f>IF(ISBLANK(G37),"",IF(IFERROR(ABS(G37-'_key'!$A$1410)&lt;=0.005,FALSE),"✓","✗"))</f>
        <v>0</v>
      </c>
      <c r="R37" s="31">
        <f>IF(ISBLANK(H37),"",IF(IFERROR(EXACT(H37,'_key'!$A$1411),FALSE),"✓","✗"))</f>
        <v>0</v>
      </c>
      <c r="S37" s="31">
        <f>IF(ISBLANK(J37),"",IF(IFERROR(ABS(J37-'_key'!$A$1412)&lt;=0.005,FALSE),"✓","✗"))</f>
        <v>0</v>
      </c>
      <c r="T37" s="31">
        <f>IF(ISBLANK(L37),"",IF(IFERROR(EXACT(L37,'_key'!$A$1413),FALSE),"✓","✗"))</f>
        <v>0</v>
      </c>
      <c r="U37" s="31">
        <f>IF(ISBLANK(M37),"",IF(IFERROR(EXACT(M37,'_key'!$A$1414),FALSE),"✓","✗"))</f>
        <v>0</v>
      </c>
      <c r="W37" s="33"/>
      <c r="X37" s="33"/>
      <c r="Y37" s="33"/>
      <c r="Z37" s="33"/>
    </row>
    <row r="38" spans="1:26">
      <c r="A38" s="17" t="s">
        <v>1442</v>
      </c>
      <c r="B38" s="28"/>
      <c r="C38" s="28"/>
      <c r="D38" s="28"/>
      <c r="E38" s="30"/>
      <c r="F38" s="30"/>
      <c r="G38" s="28"/>
      <c r="H38" s="36"/>
      <c r="I38" s="30"/>
      <c r="J38" s="30"/>
      <c r="K38" s="38"/>
      <c r="L38" s="45"/>
      <c r="M38" s="46"/>
      <c r="O38" s="31">
        <f>IF(ISBLANK(E38),"",IF(IFERROR(ABS(E38-'_key'!$A$1415)&lt;=0.005,FALSE),"✓","✗"))</f>
        <v>0</v>
      </c>
      <c r="P38" s="31">
        <f>IF(ISBLANK(F38),"",IF(IFERROR(ABS(F38-'_key'!$A$1416)&lt;=0.005,FALSE),"✓","✗"))</f>
        <v>0</v>
      </c>
      <c r="Q38" s="31">
        <f>IF(ISBLANK(G38),"",IF(IFERROR(ABS(G38-'_key'!$A$1417)&lt;=0.005,FALSE),"✓","✗"))</f>
        <v>0</v>
      </c>
      <c r="R38" s="31">
        <f>IF(ISBLANK(H38),"",IF(IFERROR(ABS(H38-'_key'!$A$1418)&lt;=0.005,FALSE),"✓","✗"))</f>
        <v>0</v>
      </c>
      <c r="S38" s="31">
        <f>IF(ISBLANK(J38),"",IF(IFERROR(ABS(J38-'_key'!$A$1419)&lt;=0.005,FALSE),"✓","✗"))</f>
        <v>0</v>
      </c>
      <c r="T38" s="31">
        <f>IF(ISBLANK(L38),"",IF(IFERROR(ABS(L38-'_key'!$A$1420)&lt;=0.01,FALSE),"✓","✗"))</f>
        <v>0</v>
      </c>
      <c r="U38" s="31">
        <f>IF(ISBLANK(M38),"",IF(IFERROR(EXACT(M38,'_key'!$A$1421),FALSE),"✓","✗"))</f>
        <v>0</v>
      </c>
      <c r="W38" s="33"/>
      <c r="X38" s="33"/>
      <c r="Y38" s="33"/>
      <c r="Z38" s="33"/>
    </row>
    <row r="39" spans="1:26">
      <c r="A39" s="17" t="s">
        <v>1444</v>
      </c>
      <c r="B39" s="28"/>
      <c r="C39" s="28"/>
      <c r="D39" s="28"/>
      <c r="E39" s="30"/>
      <c r="F39" s="30"/>
      <c r="G39" s="28"/>
      <c r="H39" s="36"/>
      <c r="I39" s="30"/>
      <c r="J39" s="30"/>
      <c r="K39" s="38"/>
      <c r="L39" s="45"/>
      <c r="M39" s="46"/>
      <c r="O39" s="31">
        <f>IF(ISBLANK(E39),"",IF(IFERROR(ABS(E39-'_key'!$A$1422)&lt;=0.005,FALSE),"✓","✗"))</f>
        <v>0</v>
      </c>
      <c r="P39" s="31">
        <f>IF(ISBLANK(F39),"",IF(IFERROR(ABS(F39-'_key'!$A$1423)&lt;=0.005,FALSE),"✓","✗"))</f>
        <v>0</v>
      </c>
      <c r="Q39" s="31">
        <f>IF(ISBLANK(G39),"",IF(IFERROR(ABS(G39-'_key'!$A$1424)&lt;=0.005,FALSE),"✓","✗"))</f>
        <v>0</v>
      </c>
      <c r="R39" s="31">
        <f>IF(ISBLANK(H39),"",IF(IFERROR(ABS(H39-'_key'!$A$1425)&lt;=0.005,FALSE),"✓","✗"))</f>
        <v>0</v>
      </c>
      <c r="S39" s="31">
        <f>IF(ISBLANK(J39),"",IF(IFERROR(ABS(J39-'_key'!$A$1426)&lt;=0.005,FALSE),"✓","✗"))</f>
        <v>0</v>
      </c>
      <c r="T39" s="31">
        <f>IF(ISBLANK(L39),"",IF(IFERROR(ABS(L39-'_key'!$A$1427)&lt;=0.01,FALSE),"✓","✗"))</f>
        <v>0</v>
      </c>
      <c r="U39" s="31">
        <f>IF(ISBLANK(M39),"",IF(IFERROR(EXACT(M39,'_key'!$A$1428),FALSE),"✓","✗"))</f>
        <v>0</v>
      </c>
      <c r="W39" s="33"/>
      <c r="X39" s="33"/>
      <c r="Y39" s="33"/>
      <c r="Z39" s="33"/>
    </row>
    <row r="40" spans="1:26">
      <c r="A40" s="17" t="s">
        <v>1446</v>
      </c>
      <c r="B40" s="28"/>
      <c r="C40" s="28"/>
      <c r="D40" s="28"/>
      <c r="E40" s="30"/>
      <c r="F40" s="30"/>
      <c r="G40" s="28"/>
      <c r="H40" s="36"/>
      <c r="I40" s="30"/>
      <c r="J40" s="30"/>
      <c r="K40" s="38"/>
      <c r="L40" s="45"/>
      <c r="M40" s="46"/>
      <c r="O40" s="31">
        <f>IF(ISBLANK(E40),"",IF(IFERROR(ABS(E40-'_key'!$A$1429)&lt;=0.005,FALSE),"✓","✗"))</f>
        <v>0</v>
      </c>
      <c r="P40" s="31">
        <f>IF(ISBLANK(F40),"",IF(IFERROR(ABS(F40-'_key'!$A$1430)&lt;=0.005,FALSE),"✓","✗"))</f>
        <v>0</v>
      </c>
      <c r="Q40" s="31">
        <f>IF(ISBLANK(G40),"",IF(IFERROR(ABS(G40-'_key'!$A$1431)&lt;=0.005,FALSE),"✓","✗"))</f>
        <v>0</v>
      </c>
      <c r="R40" s="31">
        <f>IF(ISBLANK(H40),"",IF(IFERROR(ABS(H40-'_key'!$A$1432)&lt;=0.005,FALSE),"✓","✗"))</f>
        <v>0</v>
      </c>
      <c r="S40" s="31">
        <f>IF(ISBLANK(J40),"",IF(IFERROR(ABS(J40-'_key'!$A$1433)&lt;=0.005,FALSE),"✓","✗"))</f>
        <v>0</v>
      </c>
      <c r="T40" s="31">
        <f>IF(ISBLANK(L40),"",IF(IFERROR(ABS(L40-'_key'!$A$1434)&lt;=0.01,FALSE),"✓","✗"))</f>
        <v>0</v>
      </c>
      <c r="U40" s="31">
        <f>IF(ISBLANK(M40),"",IF(IFERROR(EXACT(M40,'_key'!$A$1435),FALSE),"✓","✗"))</f>
        <v>0</v>
      </c>
      <c r="W40" s="33"/>
      <c r="X40" s="33"/>
      <c r="Y40" s="33"/>
      <c r="Z40" s="33"/>
    </row>
    <row r="41" spans="1:26">
      <c r="A41" s="17" t="s">
        <v>1448</v>
      </c>
      <c r="B41" s="28"/>
      <c r="C41" s="28"/>
      <c r="D41" s="28"/>
      <c r="E41" s="30"/>
      <c r="F41" s="30"/>
      <c r="G41" s="28"/>
      <c r="H41" s="36"/>
      <c r="I41" s="30"/>
      <c r="J41" s="30"/>
      <c r="K41" s="38"/>
      <c r="L41" s="45"/>
      <c r="M41" s="46"/>
      <c r="O41" s="31">
        <f>IF(ISBLANK(E41),"",IF(IFERROR(ABS(E41-'_key'!$A$1436)&lt;=0.005,FALSE),"✓","✗"))</f>
        <v>0</v>
      </c>
      <c r="P41" s="31">
        <f>IF(ISBLANK(F41),"",IF(IFERROR(ABS(F41-'_key'!$A$1437)&lt;=0.005,FALSE),"✓","✗"))</f>
        <v>0</v>
      </c>
      <c r="Q41" s="31">
        <f>IF(ISBLANK(G41),"",IF(IFERROR(ABS(G41-'_key'!$A$1438)&lt;=0.005,FALSE),"✓","✗"))</f>
        <v>0</v>
      </c>
      <c r="R41" s="31">
        <f>IF(ISBLANK(H41),"",IF(IFERROR(ABS(H41-'_key'!$A$1439)&lt;=0.005,FALSE),"✓","✗"))</f>
        <v>0</v>
      </c>
      <c r="S41" s="31">
        <f>IF(ISBLANK(J41),"",IF(IFERROR(ABS(J41-'_key'!$A$1440)&lt;=0.005,FALSE),"✓","✗"))</f>
        <v>0</v>
      </c>
      <c r="T41" s="31">
        <f>IF(ISBLANK(L41),"",IF(IFERROR(ABS(L41-'_key'!$A$1441)&lt;=0.01,FALSE),"✓","✗"))</f>
        <v>0</v>
      </c>
      <c r="U41" s="31">
        <f>IF(ISBLANK(M41),"",IF(IFERROR(EXACT(M41,'_key'!$A$1442),FALSE),"✓","✗"))</f>
        <v>0</v>
      </c>
    </row>
    <row r="42" spans="1:26">
      <c r="A42" s="17" t="s">
        <v>1450</v>
      </c>
      <c r="B42" s="28"/>
      <c r="C42" s="28"/>
      <c r="D42" s="28"/>
      <c r="E42" s="30"/>
      <c r="F42" s="30"/>
      <c r="G42" s="28"/>
      <c r="H42" s="36"/>
      <c r="I42" s="30"/>
      <c r="J42" s="30"/>
      <c r="K42" s="38"/>
      <c r="L42" s="45"/>
      <c r="M42" s="46"/>
      <c r="O42" s="31">
        <f>IF(ISBLANK(E42),"",IF(IFERROR(ABS(E42-'_key'!$A$1443)&lt;=0.005,FALSE),"✓","✗"))</f>
        <v>0</v>
      </c>
      <c r="P42" s="31">
        <f>IF(ISBLANK(F42),"",IF(IFERROR(ABS(F42-'_key'!$A$1444)&lt;=0.005,FALSE),"✓","✗"))</f>
        <v>0</v>
      </c>
      <c r="Q42" s="31">
        <f>IF(ISBLANK(G42),"",IF(IFERROR(ABS(G42-'_key'!$A$1445)&lt;=0.005,FALSE),"✓","✗"))</f>
        <v>0</v>
      </c>
      <c r="R42" s="31">
        <f>IF(ISBLANK(H42),"",IF(IFERROR(ABS(H42-'_key'!$A$1446)&lt;=0.005,FALSE),"✓","✗"))</f>
        <v>0</v>
      </c>
      <c r="S42" s="31">
        <f>IF(ISBLANK(J42),"",IF(IFERROR(ABS(J42-'_key'!$A$1447)&lt;=0.005,FALSE),"✓","✗"))</f>
        <v>0</v>
      </c>
      <c r="T42" s="31">
        <f>IF(ISBLANK(L42),"",IF(IFERROR(ABS(L42-'_key'!$A$1448)&lt;=0.01,FALSE),"✓","✗"))</f>
        <v>0</v>
      </c>
      <c r="U42" s="31">
        <f>IF(ISBLANK(M42),"",IF(IFERROR(EXACT(M42,'_key'!$A$1449),FALSE),"✓","✗"))</f>
        <v>0</v>
      </c>
    </row>
  </sheetData>
  <mergeCells count="4">
    <mergeCell ref="A1:U1"/>
    <mergeCell ref="A2:U2"/>
    <mergeCell ref="A3:U3"/>
    <mergeCell ref="W34:Z40"/>
  </mergeCells>
  <conditionalFormatting sqref="E7:E42">
    <cfRule type="dataBar" priority="8">
      <dataBar>
        <cfvo type="min" val="0"/>
        <cfvo type="max" val="0"/>
        <color rgb="FF5B9BD5"/>
      </dataBar>
    </cfRule>
  </conditionalFormatting>
  <conditionalFormatting sqref="M7:M42">
    <cfRule type="cellIs" dxfId="9" priority="3" operator="equal">
      <formula>"Retirar"</formula>
    </cfRule>
    <cfRule type="cellIs" dxfId="10" priority="4" operator="equal">
      <formula>"Consolidar / revisar"</formula>
    </cfRule>
    <cfRule type="cellIs" dxfId="11" priority="5" operator="equal">
      <formula>"Automatizar"</formula>
    </cfRule>
    <cfRule type="cellIs" dxfId="12" priority="6" operator="equal">
      <formula>"Mantener"</formula>
    </cfRule>
    <cfRule type="cellIs" dxfId="13" priority="7" operator="equal">
      <formula>"Mantener (contractual)"</formula>
    </cfRule>
  </conditionalFormatting>
  <conditionalFormatting sqref="O7:U42">
    <cfRule type="cellIs" dxfId="5" priority="1" operator="equal">
      <formula>"✓"</formula>
    </cfRule>
    <cfRule type="cellIs" dxfId="6" priority="2" operator="equal">
      <formula>"✗"</formula>
    </cfRule>
  </conditionalFormatting>
  <conditionalFormatting sqref="Z7:Z32">
    <cfRule type="cellIs" dxfId="5" priority="9" operator="equal">
      <formula>"✓"</formula>
    </cfRule>
    <cfRule type="cellIs" dxfId="6" priority="10" operator="equal">
      <formula>"✗"</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sheetPr>
    <tabColor rgb="FFFFC000"/>
  </sheetPr>
  <dimension ref="A1:AF65"/>
  <sheetViews>
    <sheetView workbookViewId="0">
      <pane xSplit="1" ySplit="7" topLeftCell="B8" activePane="bottomRight" state="frozen"/>
      <selection pane="topRight" activeCell="B1" sqref="B1"/>
      <selection pane="bottomLeft" activeCell="A8" sqref="A8"/>
      <selection pane="bottomRight"/>
    </sheetView>
  </sheetViews>
  <sheetFormatPr defaultRowHeight="15"/>
  <cols>
    <col min="1" max="1" width="13.7109375" customWidth="1"/>
    <col min="2" max="2" width="24.7109375" customWidth="1"/>
    <col min="3" max="5" width="13.7109375" customWidth="1"/>
    <col min="6" max="6" width="28.7109375" customWidth="1"/>
    <col min="7" max="7" width="2.7109375" customWidth="1"/>
    <col min="8" max="8" width="11.7109375" customWidth="1"/>
    <col min="9" max="9" width="22.7109375" customWidth="1"/>
    <col min="10" max="12" width="12.7109375" customWidth="1"/>
    <col min="13" max="13" width="28.7109375" customWidth="1"/>
    <col min="14" max="17" width="11.7109375" customWidth="1"/>
    <col min="18" max="18" width="2.7109375" customWidth="1"/>
    <col min="19" max="28" width="4.7109375" customWidth="1"/>
    <col min="29" max="29" width="2.7109375" customWidth="1"/>
    <col min="30" max="30" width="34.7109375" customWidth="1"/>
    <col min="31" max="31" width="12.7109375" customWidth="1"/>
    <col min="32" max="32" width="4.7109375" customWidth="1"/>
  </cols>
  <sheetData>
    <row r="1" spans="1:32" ht="26" customHeight="1">
      <c r="A1" s="18" t="s">
        <v>5505</v>
      </c>
      <c r="B1" s="18"/>
      <c r="C1" s="18"/>
      <c r="D1" s="18"/>
      <c r="E1" s="18"/>
      <c r="F1" s="18"/>
      <c r="G1" s="18"/>
      <c r="H1" s="18"/>
      <c r="I1" s="18"/>
      <c r="J1" s="18"/>
      <c r="K1" s="18"/>
      <c r="L1" s="18"/>
      <c r="M1" s="18"/>
      <c r="N1" s="18"/>
      <c r="O1" s="18"/>
      <c r="P1" s="18"/>
      <c r="Q1" s="18"/>
      <c r="R1" s="18"/>
      <c r="S1" s="18"/>
      <c r="T1" s="18"/>
      <c r="U1" s="18"/>
      <c r="V1" s="18"/>
      <c r="W1" s="18"/>
      <c r="X1" s="18"/>
      <c r="Y1" s="18"/>
      <c r="Z1" s="18"/>
      <c r="AA1" s="18"/>
      <c r="AB1" s="18"/>
    </row>
    <row r="2" spans="1:32" ht="45" customHeight="1">
      <c r="A2" s="3" t="s">
        <v>5506</v>
      </c>
      <c r="B2" s="3"/>
      <c r="C2" s="3"/>
      <c r="D2" s="3"/>
      <c r="E2" s="3"/>
      <c r="F2" s="3"/>
      <c r="G2" s="3"/>
      <c r="H2" s="3"/>
      <c r="I2" s="3"/>
      <c r="J2" s="3"/>
      <c r="K2" s="3"/>
      <c r="L2" s="3"/>
      <c r="M2" s="3"/>
      <c r="N2" s="3"/>
      <c r="O2" s="3"/>
      <c r="P2" s="3"/>
      <c r="Q2" s="3"/>
      <c r="R2" s="3"/>
      <c r="S2" s="3"/>
      <c r="T2" s="3"/>
      <c r="U2" s="3"/>
      <c r="V2" s="3"/>
      <c r="W2" s="3"/>
      <c r="X2" s="3"/>
      <c r="Y2" s="3"/>
      <c r="Z2" s="3"/>
      <c r="AA2" s="3"/>
      <c r="AB2" s="3"/>
    </row>
    <row r="3" spans="1:32" ht="45" customHeight="1">
      <c r="A3" s="25" t="s">
        <v>5507</v>
      </c>
      <c r="B3" s="25"/>
      <c r="C3" s="25"/>
      <c r="D3" s="25"/>
      <c r="E3" s="25"/>
      <c r="F3" s="25"/>
      <c r="G3" s="25"/>
      <c r="H3" s="25"/>
      <c r="I3" s="25"/>
      <c r="J3" s="25"/>
      <c r="K3" s="25"/>
      <c r="L3" s="25"/>
      <c r="M3" s="25"/>
      <c r="N3" s="25"/>
      <c r="O3" s="25"/>
      <c r="P3" s="25"/>
      <c r="Q3" s="25"/>
      <c r="R3" s="25"/>
      <c r="S3" s="25"/>
      <c r="T3" s="25"/>
      <c r="U3" s="25"/>
      <c r="V3" s="25"/>
      <c r="W3" s="25"/>
      <c r="X3" s="25"/>
      <c r="Y3" s="25"/>
      <c r="Z3" s="25"/>
      <c r="AA3" s="25"/>
      <c r="AB3" s="25"/>
    </row>
    <row r="5" spans="1:32">
      <c r="AD5" s="4" t="s">
        <v>5764</v>
      </c>
    </row>
    <row r="6" spans="1:32">
      <c r="A6" s="7" t="s">
        <v>5508</v>
      </c>
      <c r="B6" s="7" t="s">
        <v>5509</v>
      </c>
      <c r="C6" s="7" t="s">
        <v>5510</v>
      </c>
      <c r="D6" s="7" t="s">
        <v>5511</v>
      </c>
      <c r="E6" s="7" t="s">
        <v>5512</v>
      </c>
      <c r="F6" s="7" t="s">
        <v>5514</v>
      </c>
      <c r="G6" s="7"/>
      <c r="H6" s="7" t="s">
        <v>5515</v>
      </c>
      <c r="I6" s="7" t="s">
        <v>5517</v>
      </c>
      <c r="J6" s="7" t="s">
        <v>5519</v>
      </c>
      <c r="K6" s="7" t="s">
        <v>5521</v>
      </c>
      <c r="L6" s="7" t="s">
        <v>5523</v>
      </c>
      <c r="M6" s="7" t="s">
        <v>5525</v>
      </c>
      <c r="N6" s="7" t="s">
        <v>5527</v>
      </c>
      <c r="O6" s="7" t="s">
        <v>5529</v>
      </c>
      <c r="P6" s="7" t="s">
        <v>5531</v>
      </c>
      <c r="Q6" s="7" t="s">
        <v>5533</v>
      </c>
      <c r="S6" s="7" t="s">
        <v>5354</v>
      </c>
      <c r="T6" s="7" t="s">
        <v>5355</v>
      </c>
      <c r="U6" s="7" t="s">
        <v>5485</v>
      </c>
      <c r="V6" s="7" t="s">
        <v>5449</v>
      </c>
      <c r="W6" s="7" t="s">
        <v>5450</v>
      </c>
      <c r="X6" s="7" t="s">
        <v>5451</v>
      </c>
      <c r="Y6" s="7" t="s">
        <v>5535</v>
      </c>
      <c r="Z6" s="7" t="s">
        <v>5536</v>
      </c>
      <c r="AA6" s="7" t="s">
        <v>5537</v>
      </c>
      <c r="AB6" s="7" t="s">
        <v>5538</v>
      </c>
      <c r="AD6" s="7" t="s">
        <v>5402</v>
      </c>
      <c r="AE6" s="7" t="s">
        <v>5403</v>
      </c>
      <c r="AF6" s="7" t="s">
        <v>5376</v>
      </c>
    </row>
    <row r="7" spans="1:32" ht="95" customHeight="1">
      <c r="A7" s="26"/>
      <c r="B7" s="26"/>
      <c r="C7" s="26"/>
      <c r="D7" s="26"/>
      <c r="E7" s="26" t="s">
        <v>5513</v>
      </c>
      <c r="F7" s="26"/>
      <c r="G7" s="26"/>
      <c r="H7" s="26" t="s">
        <v>5516</v>
      </c>
      <c r="I7" s="26" t="s">
        <v>5518</v>
      </c>
      <c r="J7" s="26" t="s">
        <v>5520</v>
      </c>
      <c r="K7" s="26" t="s">
        <v>5522</v>
      </c>
      <c r="L7" s="26" t="s">
        <v>5524</v>
      </c>
      <c r="M7" s="26" t="s">
        <v>5526</v>
      </c>
      <c r="N7" s="26" t="s">
        <v>5528</v>
      </c>
      <c r="O7" s="26" t="s">
        <v>5530</v>
      </c>
      <c r="P7" s="26" t="s">
        <v>5532</v>
      </c>
      <c r="Q7" s="26" t="s">
        <v>5534</v>
      </c>
      <c r="AD7" s="34" t="s">
        <v>5765</v>
      </c>
      <c r="AE7" s="30"/>
      <c r="AF7" s="31">
        <f>IF(ISBLANK(AE7),"",IF(IFERROR(ABS(AE7-'_key'!$A$2050)&lt;=0.0005,FALSE),"✓","✗"))</f>
        <v>0</v>
      </c>
    </row>
    <row r="8" spans="1:32">
      <c r="A8" s="47" t="s">
        <v>5539</v>
      </c>
      <c r="B8" s="47" t="s">
        <v>5540</v>
      </c>
      <c r="C8" s="47" t="s">
        <v>5541</v>
      </c>
      <c r="D8" s="47" t="s">
        <v>5542</v>
      </c>
      <c r="E8" s="47" t="s">
        <v>5543</v>
      </c>
      <c r="F8" s="47" t="s">
        <v>5544</v>
      </c>
      <c r="H8" s="28"/>
      <c r="I8" s="28"/>
      <c r="J8" s="28"/>
      <c r="K8" s="29"/>
      <c r="L8" s="36"/>
      <c r="M8" s="28"/>
      <c r="N8" s="28"/>
      <c r="O8" s="28"/>
      <c r="P8" s="29"/>
      <c r="Q8" s="28"/>
      <c r="S8" s="31">
        <f>IF(ISBLANK(H8),"",IF(IFERROR(EXACT(H8,'_key'!$A$1470),FALSE),"✓","✗"))</f>
        <v>0</v>
      </c>
      <c r="T8" s="31">
        <f>IF(ISBLANK(I8),"",IF(IFERROR(EXACT(I8,'_key'!$A$1471),FALSE),"✓","✗"))</f>
        <v>0</v>
      </c>
      <c r="U8" s="31">
        <f>IF(ISBLANK(J8),"",IF(IFERROR(EXACT(J8,'_key'!$A$1472),FALSE),"✓","✗"))</f>
        <v>0</v>
      </c>
      <c r="V8" s="31">
        <f>IF(ISBLANK(K8),"",IF(IFERROR(ABS(K8-'_key'!$A$1473)&lt;=0.01,FALSE),"✓","✗"))</f>
        <v>0</v>
      </c>
      <c r="W8" s="31">
        <f>IF(ISBLANK(L8),"",IF(IFERROR(ABS(L8-'_key'!$A$1474)&lt;=0.01,FALSE),"✓","✗"))</f>
        <v>0</v>
      </c>
      <c r="X8" s="31">
        <f>IF(ISBLANK(M8),"",IF(IFERROR(EXACT(M8,'_key'!$A$1475),FALSE),"✓","✗"))</f>
        <v>0</v>
      </c>
      <c r="Y8" s="31">
        <f>IF(ISBLANK(N8),"",IF(IFERROR(EXACT(N8,'_key'!$A$1476),FALSE),"✓","✗"))</f>
        <v>0</v>
      </c>
      <c r="Z8" s="31">
        <f>IF(ISBLANK(O8),"",IF(IFERROR(EXACT(O8,'_key'!$A$1477),FALSE),"✓","✗"))</f>
        <v>0</v>
      </c>
      <c r="AA8" s="31">
        <f>IF(ISBLANK(P8),"",IF(IFERROR(ABS(P8-'_key'!$A$1478)&lt;=0.01,FALSE),"✓","✗"))</f>
        <v>0</v>
      </c>
      <c r="AB8" s="31">
        <f>IF(ISBLANK(Q8),"",IF(IFERROR(ABS(Q8-'_key'!$A$1479)&lt;=0.01,FALSE),"✓","✗"))</f>
        <v>0</v>
      </c>
      <c r="AD8" s="34" t="s">
        <v>5766</v>
      </c>
      <c r="AE8" s="30"/>
      <c r="AF8" s="31">
        <f>IF(ISBLANK(AE8),"",IF(IFERROR(ABS(AE8-'_key'!$A$2051)&lt;=0.0005,FALSE),"✓","✗"))</f>
        <v>0</v>
      </c>
    </row>
    <row r="9" spans="1:32">
      <c r="A9" s="47" t="s">
        <v>138</v>
      </c>
      <c r="B9" s="47" t="s">
        <v>5546</v>
      </c>
      <c r="C9" s="47" t="s">
        <v>37</v>
      </c>
      <c r="D9" s="47" t="s">
        <v>5547</v>
      </c>
      <c r="E9" s="47" t="s">
        <v>5548</v>
      </c>
      <c r="F9" s="47" t="s">
        <v>5549</v>
      </c>
      <c r="H9" s="28"/>
      <c r="I9" s="28"/>
      <c r="J9" s="28"/>
      <c r="K9" s="29"/>
      <c r="L9" s="36"/>
      <c r="M9" s="28"/>
      <c r="N9" s="28"/>
      <c r="O9" s="28"/>
      <c r="P9" s="29"/>
      <c r="Q9" s="28"/>
      <c r="S9" s="31">
        <f>IF(ISBLANK(H9),"",IF(IFERROR(EXACT(H9,'_key'!$A$1480),FALSE),"✓","✗"))</f>
        <v>0</v>
      </c>
      <c r="T9" s="31">
        <f>IF(ISBLANK(I9),"",IF(IFERROR(EXACT(I9,'_key'!$A$1481),FALSE),"✓","✗"))</f>
        <v>0</v>
      </c>
      <c r="U9" s="31">
        <f>IF(ISBLANK(J9),"",IF(IFERROR(EXACT(J9,'_key'!$A$1482),FALSE),"✓","✗"))</f>
        <v>0</v>
      </c>
      <c r="V9" s="31">
        <f>IF(ISBLANK(K9),"",IF(IFERROR(ABS(K9-'_key'!$A$1483)&lt;=0.01,FALSE),"✓","✗"))</f>
        <v>0</v>
      </c>
      <c r="W9" s="31">
        <f>IF(ISBLANK(L9),"",IF(IFERROR(ABS(L9-'_key'!$A$1484)&lt;=0.01,FALSE),"✓","✗"))</f>
        <v>0</v>
      </c>
      <c r="X9" s="31">
        <f>IF(ISBLANK(M9),"",IF(IFERROR(EXACT(M9,'_key'!$A$1485),FALSE),"✓","✗"))</f>
        <v>0</v>
      </c>
      <c r="Y9" s="31">
        <f>IF(ISBLANK(N9),"",IF(IFERROR(EXACT(N9,'_key'!$A$1486),FALSE),"✓","✗"))</f>
        <v>0</v>
      </c>
      <c r="Z9" s="31">
        <f>IF(ISBLANK(O9),"",IF(IFERROR(EXACT(O9,'_key'!$A$1487),FALSE),"✓","✗"))</f>
        <v>0</v>
      </c>
      <c r="AA9" s="31">
        <f>IF(ISBLANK(P9),"",IF(IFERROR(ABS(P9-'_key'!$A$1488)&lt;=0.01,FALSE),"✓","✗"))</f>
        <v>0</v>
      </c>
      <c r="AB9" s="31">
        <f>IF(ISBLANK(Q9),"",IF(IFERROR(ABS(Q9-'_key'!$A$1489)&lt;=0.01,FALSE),"✓","✗"))</f>
        <v>0</v>
      </c>
      <c r="AD9" s="34" t="s">
        <v>5767</v>
      </c>
      <c r="AE9" s="30"/>
      <c r="AF9" s="31">
        <f>IF(ISBLANK(AE9),"",IF(IFERROR(ABS(AE9-'_key'!$A$2052)&lt;=0.0005,FALSE),"✓","✗"))</f>
        <v>0</v>
      </c>
    </row>
    <row r="10" spans="1:32">
      <c r="A10" s="47" t="s">
        <v>344</v>
      </c>
      <c r="B10" s="47" t="s">
        <v>5550</v>
      </c>
      <c r="C10" s="47" t="s">
        <v>5551</v>
      </c>
      <c r="D10" s="47" t="s">
        <v>5552</v>
      </c>
      <c r="E10" s="47" t="s">
        <v>5553</v>
      </c>
      <c r="F10" s="47" t="s">
        <v>5554</v>
      </c>
      <c r="H10" s="28"/>
      <c r="I10" s="28"/>
      <c r="J10" s="28"/>
      <c r="K10" s="29"/>
      <c r="L10" s="36"/>
      <c r="M10" s="28"/>
      <c r="N10" s="28"/>
      <c r="O10" s="28"/>
      <c r="P10" s="29"/>
      <c r="Q10" s="28"/>
      <c r="S10" s="31">
        <f>IF(ISBLANK(H10),"",IF(IFERROR(EXACT(H10,'_key'!$A$1490),FALSE),"✓","✗"))</f>
        <v>0</v>
      </c>
      <c r="T10" s="31">
        <f>IF(ISBLANK(I10),"",IF(IFERROR(EXACT(I10,'_key'!$A$1491),FALSE),"✓","✗"))</f>
        <v>0</v>
      </c>
      <c r="U10" s="31">
        <f>IF(ISBLANK(J10),"",IF(IFERROR(EXACT(J10,'_key'!$A$1492),FALSE),"✓","✗"))</f>
        <v>0</v>
      </c>
      <c r="V10" s="31">
        <f>IF(ISBLANK(K10),"",IF(IFERROR(ABS(K10-'_key'!$A$1493)&lt;=0.01,FALSE),"✓","✗"))</f>
        <v>0</v>
      </c>
      <c r="W10" s="31">
        <f>IF(ISBLANK(L10),"",IF(IFERROR(ABS(L10-'_key'!$A$1494)&lt;=0.01,FALSE),"✓","✗"))</f>
        <v>0</v>
      </c>
      <c r="X10" s="31">
        <f>IF(ISBLANK(M10),"",IF(IFERROR(EXACT(M10,'_key'!$A$1495),FALSE),"✓","✗"))</f>
        <v>0</v>
      </c>
      <c r="Y10" s="31">
        <f>IF(ISBLANK(N10),"",IF(IFERROR(EXACT(N10,'_key'!$A$1496),FALSE),"✓","✗"))</f>
        <v>0</v>
      </c>
      <c r="Z10" s="31">
        <f>IF(ISBLANK(O10),"",IF(IFERROR(EXACT(O10,'_key'!$A$1497),FALSE),"✓","✗"))</f>
        <v>0</v>
      </c>
      <c r="AA10" s="31">
        <f>IF(ISBLANK(P10),"",IF(IFERROR(ABS(P10-'_key'!$A$1498)&lt;=0.01,FALSE),"✓","✗"))</f>
        <v>0</v>
      </c>
      <c r="AB10" s="31">
        <f>IF(ISBLANK(Q10),"",IF(IFERROR(ABS(Q10-'_key'!$A$1499)&lt;=0.01,FALSE),"✓","✗"))</f>
        <v>0</v>
      </c>
      <c r="AD10" s="34" t="s">
        <v>5768</v>
      </c>
      <c r="AE10" s="30"/>
      <c r="AF10" s="31">
        <f>IF(ISBLANK(AE10),"",IF(IFERROR(ABS(AE10-'_key'!$A$2053)&lt;=0.0005,FALSE),"✓","✗"))</f>
        <v>0</v>
      </c>
    </row>
    <row r="11" spans="1:32">
      <c r="A11" s="47" t="s">
        <v>304</v>
      </c>
      <c r="B11" s="47" t="s">
        <v>5555</v>
      </c>
      <c r="C11" s="47" t="s">
        <v>25</v>
      </c>
      <c r="D11" s="47" t="s">
        <v>5556</v>
      </c>
      <c r="E11" s="47" t="s">
        <v>5557</v>
      </c>
      <c r="F11" s="47" t="s">
        <v>5558</v>
      </c>
      <c r="H11" s="28"/>
      <c r="I11" s="28"/>
      <c r="J11" s="28"/>
      <c r="K11" s="29"/>
      <c r="L11" s="36"/>
      <c r="M11" s="28"/>
      <c r="N11" s="28"/>
      <c r="O11" s="28"/>
      <c r="P11" s="29"/>
      <c r="Q11" s="28"/>
      <c r="S11" s="31">
        <f>IF(ISBLANK(H11),"",IF(IFERROR(EXACT(H11,'_key'!$A$1500),FALSE),"✓","✗"))</f>
        <v>0</v>
      </c>
      <c r="T11" s="31">
        <f>IF(ISBLANK(I11),"",IF(IFERROR(EXACT(I11,'_key'!$A$1501),FALSE),"✓","✗"))</f>
        <v>0</v>
      </c>
      <c r="U11" s="31">
        <f>IF(ISBLANK(J11),"",IF(IFERROR(EXACT(J11,'_key'!$A$1502),FALSE),"✓","✗"))</f>
        <v>0</v>
      </c>
      <c r="V11" s="31">
        <f>IF(ISBLANK(K11),"",IF(IFERROR(ABS(K11-'_key'!$A$1503)&lt;=0.01,FALSE),"✓","✗"))</f>
        <v>0</v>
      </c>
      <c r="W11" s="31">
        <f>IF(ISBLANK(L11),"",IF(IFERROR(ABS(L11-'_key'!$A$1504)&lt;=0.01,FALSE),"✓","✗"))</f>
        <v>0</v>
      </c>
      <c r="X11" s="31">
        <f>IF(ISBLANK(M11),"",IF(IFERROR(EXACT(M11,'_key'!$A$1505),FALSE),"✓","✗"))</f>
        <v>0</v>
      </c>
      <c r="Y11" s="31">
        <f>IF(ISBLANK(N11),"",IF(IFERROR(EXACT(N11,'_key'!$A$1506),FALSE),"✓","✗"))</f>
        <v>0</v>
      </c>
      <c r="Z11" s="31">
        <f>IF(ISBLANK(O11),"",IF(IFERROR(EXACT(O11,'_key'!$A$1507),FALSE),"✓","✗"))</f>
        <v>0</v>
      </c>
      <c r="AA11" s="31">
        <f>IF(ISBLANK(P11),"",IF(IFERROR(ABS(P11-'_key'!$A$1508)&lt;=0.01,FALSE),"✓","✗"))</f>
        <v>0</v>
      </c>
      <c r="AB11" s="31">
        <f>IF(ISBLANK(Q11),"",IF(IFERROR(ABS(Q11-'_key'!$A$1509)&lt;=0.01,FALSE),"✓","✗"))</f>
        <v>0</v>
      </c>
      <c r="AD11" s="34" t="s">
        <v>5769</v>
      </c>
      <c r="AE11" s="30"/>
      <c r="AF11" s="31">
        <f>IF(ISBLANK(AE11),"",IF(IFERROR(ABS(AE11-'_key'!$A$2054)&lt;=0.0005,FALSE),"✓","✗"))</f>
        <v>0</v>
      </c>
    </row>
    <row r="12" spans="1:32">
      <c r="A12" s="47" t="s">
        <v>5559</v>
      </c>
      <c r="B12" s="47" t="s">
        <v>5560</v>
      </c>
      <c r="C12" s="47" t="s">
        <v>5561</v>
      </c>
      <c r="D12" s="47" t="s">
        <v>5562</v>
      </c>
      <c r="E12" s="47" t="s">
        <v>5563</v>
      </c>
      <c r="F12" s="47" t="s">
        <v>5549</v>
      </c>
      <c r="H12" s="28"/>
      <c r="I12" s="28"/>
      <c r="J12" s="28"/>
      <c r="K12" s="29"/>
      <c r="L12" s="36"/>
      <c r="M12" s="28"/>
      <c r="N12" s="28"/>
      <c r="O12" s="28"/>
      <c r="P12" s="29"/>
      <c r="Q12" s="28"/>
      <c r="S12" s="31">
        <f>IF(ISBLANK(H12),"",IF(IFERROR(EXACT(H12,'_key'!$A$1510),FALSE),"✓","✗"))</f>
        <v>0</v>
      </c>
      <c r="T12" s="31">
        <f>IF(ISBLANK(I12),"",IF(IFERROR(EXACT(I12,'_key'!$A$1511),FALSE),"✓","✗"))</f>
        <v>0</v>
      </c>
      <c r="U12" s="31">
        <f>IF(ISBLANK(J12),"",IF(IFERROR(EXACT(J12,'_key'!$A$1512),FALSE),"✓","✗"))</f>
        <v>0</v>
      </c>
      <c r="V12" s="31">
        <f>IF(ISBLANK(K12),"",IF(IFERROR(ABS(K12-'_key'!$A$1513)&lt;=0.01,FALSE),"✓","✗"))</f>
        <v>0</v>
      </c>
      <c r="W12" s="31">
        <f>IF(ISBLANK(L12),"",IF(IFERROR(ABS(L12-'_key'!$A$1514)&lt;=0.01,FALSE),"✓","✗"))</f>
        <v>0</v>
      </c>
      <c r="X12" s="31">
        <f>IF(ISBLANK(M12),"",IF(IFERROR(EXACT(M12,'_key'!$A$1515),FALSE),"✓","✗"))</f>
        <v>0</v>
      </c>
      <c r="Y12" s="31">
        <f>IF(ISBLANK(N12),"",IF(IFERROR(EXACT(N12,'_key'!$A$1516),FALSE),"✓","✗"))</f>
        <v>0</v>
      </c>
      <c r="Z12" s="31">
        <f>IF(ISBLANK(O12),"",IF(IFERROR(EXACT(O12,'_key'!$A$1517),FALSE),"✓","✗"))</f>
        <v>0</v>
      </c>
      <c r="AA12" s="31">
        <f>IF(ISBLANK(P12),"",IF(IFERROR(ABS(P12-'_key'!$A$1518)&lt;=0.01,FALSE),"✓","✗"))</f>
        <v>0</v>
      </c>
      <c r="AB12" s="31">
        <f>IF(ISBLANK(Q12),"",IF(IFERROR(ABS(Q12-'_key'!$A$1519)&lt;=0.01,FALSE),"✓","✗"))</f>
        <v>0</v>
      </c>
      <c r="AD12" s="34" t="s">
        <v>5770</v>
      </c>
      <c r="AE12" s="30"/>
      <c r="AF12" s="31">
        <f>IF(ISBLANK(AE12),"",IF(IFERROR(ABS(AE12-'_key'!$A$2055)&lt;=0.0005,FALSE),"✓","✗"))</f>
        <v>0</v>
      </c>
    </row>
    <row r="13" spans="1:32">
      <c r="A13" s="47" t="s">
        <v>5564</v>
      </c>
      <c r="B13" s="47" t="s">
        <v>5565</v>
      </c>
      <c r="C13" s="47" t="s">
        <v>5566</v>
      </c>
      <c r="D13" s="47" t="s">
        <v>5567</v>
      </c>
      <c r="E13" s="47" t="s">
        <v>5568</v>
      </c>
      <c r="F13" s="47" t="s">
        <v>367</v>
      </c>
      <c r="H13" s="28"/>
      <c r="I13" s="28"/>
      <c r="J13" s="28"/>
      <c r="K13" s="29"/>
      <c r="L13" s="36"/>
      <c r="M13" s="28"/>
      <c r="N13" s="28"/>
      <c r="O13" s="28"/>
      <c r="P13" s="29"/>
      <c r="Q13" s="28"/>
      <c r="S13" s="31">
        <f>IF(ISBLANK(H13),"",IF(IFERROR(EXACT(H13,'_key'!$A$1520),FALSE),"✓","✗"))</f>
        <v>0</v>
      </c>
      <c r="T13" s="31">
        <f>IF(ISBLANK(I13),"",IF(IFERROR(EXACT(I13,'_key'!$A$1521),FALSE),"✓","✗"))</f>
        <v>0</v>
      </c>
      <c r="U13" s="31">
        <f>IF(ISBLANK(J13),"",IF(IFERROR(EXACT(J13,'_key'!$A$1522),FALSE),"✓","✗"))</f>
        <v>0</v>
      </c>
      <c r="V13" s="31">
        <f>IF(ISBLANK(K13),"",IF(IFERROR(ABS(K13-'_key'!$A$1523)&lt;=0.01,FALSE),"✓","✗"))</f>
        <v>0</v>
      </c>
      <c r="W13" s="31">
        <f>IF(ISBLANK(L13),"",IF(IFERROR(ABS(L13-'_key'!$A$1524)&lt;=0.01,FALSE),"✓","✗"))</f>
        <v>0</v>
      </c>
      <c r="X13" s="31">
        <f>IF(ISBLANK(M13),"",IF(IFERROR(EXACT(M13,'_key'!$A$1525),FALSE),"✓","✗"))</f>
        <v>0</v>
      </c>
      <c r="Y13" s="31">
        <f>IF(ISBLANK(N13),"",IF(IFERROR(EXACT(N13,'_key'!$A$1526),FALSE),"✓","✗"))</f>
        <v>0</v>
      </c>
      <c r="Z13" s="31">
        <f>IF(ISBLANK(O13),"",IF(IFERROR(EXACT(O13,'_key'!$A$1527),FALSE),"✓","✗"))</f>
        <v>0</v>
      </c>
      <c r="AA13" s="31">
        <f>IF(ISBLANK(P13),"",IF(IFERROR(ABS(P13-'_key'!$A$1528)&lt;=0.01,FALSE),"✓","✗"))</f>
        <v>0</v>
      </c>
      <c r="AB13" s="31">
        <f>IF(ISBLANK(Q13),"",IF(IFERROR(ABS(Q13-'_key'!$A$1529)&lt;=0.01,FALSE),"✓","✗"))</f>
        <v>0</v>
      </c>
      <c r="AD13" s="34" t="s">
        <v>5771</v>
      </c>
      <c r="AE13" s="37"/>
      <c r="AF13" s="31">
        <f>IF(ISBLANK(AE13),"",IF(IFERROR(ABS(AE13-'_key'!$A$2056)&lt;=0.0005,FALSE),"✓","✗"))</f>
        <v>0</v>
      </c>
    </row>
    <row r="14" spans="1:32">
      <c r="A14" s="47" t="s">
        <v>90</v>
      </c>
      <c r="B14" s="47" t="s">
        <v>5569</v>
      </c>
      <c r="C14" s="47" t="s">
        <v>5541</v>
      </c>
      <c r="D14" s="47" t="s">
        <v>5570</v>
      </c>
      <c r="E14" s="47" t="s">
        <v>5571</v>
      </c>
      <c r="F14" s="47" t="s">
        <v>358</v>
      </c>
      <c r="H14" s="28"/>
      <c r="I14" s="28"/>
      <c r="J14" s="28"/>
      <c r="K14" s="29"/>
      <c r="L14" s="36"/>
      <c r="M14" s="28"/>
      <c r="N14" s="28"/>
      <c r="O14" s="28"/>
      <c r="P14" s="29"/>
      <c r="Q14" s="28"/>
      <c r="S14" s="31">
        <f>IF(ISBLANK(H14),"",IF(IFERROR(EXACT(H14,'_key'!$A$1530),FALSE),"✓","✗"))</f>
        <v>0</v>
      </c>
      <c r="T14" s="31">
        <f>IF(ISBLANK(I14),"",IF(IFERROR(EXACT(I14,'_key'!$A$1531),FALSE),"✓","✗"))</f>
        <v>0</v>
      </c>
      <c r="U14" s="31">
        <f>IF(ISBLANK(J14),"",IF(IFERROR(EXACT(J14,'_key'!$A$1532),FALSE),"✓","✗"))</f>
        <v>0</v>
      </c>
      <c r="V14" s="31">
        <f>IF(ISBLANK(K14),"",IF(IFERROR(ABS(K14-'_key'!$A$1533)&lt;=0.01,FALSE),"✓","✗"))</f>
        <v>0</v>
      </c>
      <c r="W14" s="31">
        <f>IF(ISBLANK(L14),"",IF(IFERROR(ABS(L14-'_key'!$A$1534)&lt;=0.01,FALSE),"✓","✗"))</f>
        <v>0</v>
      </c>
      <c r="X14" s="31">
        <f>IF(ISBLANK(M14),"",IF(IFERROR(EXACT(M14,'_key'!$A$1535),FALSE),"✓","✗"))</f>
        <v>0</v>
      </c>
      <c r="Y14" s="31">
        <f>IF(ISBLANK(N14),"",IF(IFERROR(EXACT(N14,'_key'!$A$1536),FALSE),"✓","✗"))</f>
        <v>0</v>
      </c>
      <c r="Z14" s="31">
        <f>IF(ISBLANK(O14),"",IF(IFERROR(EXACT(O14,'_key'!$A$1537),FALSE),"✓","✗"))</f>
        <v>0</v>
      </c>
      <c r="AA14" s="31">
        <f>IF(ISBLANK(P14),"",IF(IFERROR(ABS(P14-'_key'!$A$1538)&lt;=0.01,FALSE),"✓","✗"))</f>
        <v>0</v>
      </c>
      <c r="AB14" s="31">
        <f>IF(ISBLANK(Q14),"",IF(IFERROR(ABS(Q14-'_key'!$A$1539)&lt;=0.01,FALSE),"✓","✗"))</f>
        <v>0</v>
      </c>
    </row>
    <row r="15" spans="1:32">
      <c r="A15" s="47" t="s">
        <v>184</v>
      </c>
      <c r="B15" s="47" t="s">
        <v>5572</v>
      </c>
      <c r="C15" s="47" t="s">
        <v>5573</v>
      </c>
      <c r="D15" s="47" t="s">
        <v>5574</v>
      </c>
      <c r="E15" s="47" t="s">
        <v>5575</v>
      </c>
      <c r="F15" s="47" t="s">
        <v>5558</v>
      </c>
      <c r="H15" s="28"/>
      <c r="I15" s="28"/>
      <c r="J15" s="28"/>
      <c r="K15" s="29"/>
      <c r="L15" s="36"/>
      <c r="M15" s="28"/>
      <c r="N15" s="28"/>
      <c r="O15" s="28"/>
      <c r="P15" s="29"/>
      <c r="Q15" s="28"/>
      <c r="S15" s="31">
        <f>IF(ISBLANK(H15),"",IF(IFERROR(EXACT(H15,'_key'!$A$1540),FALSE),"✓","✗"))</f>
        <v>0</v>
      </c>
      <c r="T15" s="31">
        <f>IF(ISBLANK(I15),"",IF(IFERROR(EXACT(I15,'_key'!$A$1541),FALSE),"✓","✗"))</f>
        <v>0</v>
      </c>
      <c r="U15" s="31">
        <f>IF(ISBLANK(J15),"",IF(IFERROR(EXACT(J15,'_key'!$A$1542),FALSE),"✓","✗"))</f>
        <v>0</v>
      </c>
      <c r="V15" s="31">
        <f>IF(ISBLANK(K15),"",IF(IFERROR(ABS(K15-'_key'!$A$1543)&lt;=0.01,FALSE),"✓","✗"))</f>
        <v>0</v>
      </c>
      <c r="W15" s="31">
        <f>IF(ISBLANK(L15),"",IF(IFERROR(ABS(L15-'_key'!$A$1544)&lt;=0.01,FALSE),"✓","✗"))</f>
        <v>0</v>
      </c>
      <c r="X15" s="31">
        <f>IF(ISBLANK(M15),"",IF(IFERROR(EXACT(M15,'_key'!$A$1545),FALSE),"✓","✗"))</f>
        <v>0</v>
      </c>
      <c r="Y15" s="31">
        <f>IF(ISBLANK(N15),"",IF(IFERROR(EXACT(N15,'_key'!$A$1546),FALSE),"✓","✗"))</f>
        <v>0</v>
      </c>
      <c r="Z15" s="31">
        <f>IF(ISBLANK(O15),"",IF(IFERROR(EXACT(O15,'_key'!$A$1547),FALSE),"✓","✗"))</f>
        <v>0</v>
      </c>
      <c r="AA15" s="31">
        <f>IF(ISBLANK(P15),"",IF(IFERROR(ABS(P15-'_key'!$A$1548)&lt;=0.01,FALSE),"✓","✗"))</f>
        <v>0</v>
      </c>
      <c r="AB15" s="31">
        <f>IF(ISBLANK(Q15),"",IF(IFERROR(ABS(Q15-'_key'!$A$1549)&lt;=0.01,FALSE),"✓","✗"))</f>
        <v>0</v>
      </c>
      <c r="AD15" s="33" t="s">
        <v>5772</v>
      </c>
      <c r="AE15" s="33"/>
      <c r="AF15" s="33"/>
    </row>
    <row r="16" spans="1:32">
      <c r="A16" s="47" t="s">
        <v>5576</v>
      </c>
      <c r="B16" s="47" t="s">
        <v>5577</v>
      </c>
      <c r="C16" s="47" t="s">
        <v>5573</v>
      </c>
      <c r="D16" s="47" t="s">
        <v>5578</v>
      </c>
      <c r="E16" s="47" t="s">
        <v>5579</v>
      </c>
      <c r="F16" s="47" t="s">
        <v>5549</v>
      </c>
      <c r="H16" s="28"/>
      <c r="I16" s="28"/>
      <c r="J16" s="28"/>
      <c r="K16" s="29"/>
      <c r="L16" s="36"/>
      <c r="M16" s="28"/>
      <c r="N16" s="28"/>
      <c r="O16" s="28"/>
      <c r="P16" s="29"/>
      <c r="Q16" s="28"/>
      <c r="S16" s="31">
        <f>IF(ISBLANK(H16),"",IF(IFERROR(EXACT(H16,'_key'!$A$1550),FALSE),"✓","✗"))</f>
        <v>0</v>
      </c>
      <c r="T16" s="31">
        <f>IF(ISBLANK(I16),"",IF(IFERROR(EXACT(I16,'_key'!$A$1551),FALSE),"✓","✗"))</f>
        <v>0</v>
      </c>
      <c r="U16" s="31">
        <f>IF(ISBLANK(J16),"",IF(IFERROR(EXACT(J16,'_key'!$A$1552),FALSE),"✓","✗"))</f>
        <v>0</v>
      </c>
      <c r="V16" s="31">
        <f>IF(ISBLANK(K16),"",IF(IFERROR(ABS(K16-'_key'!$A$1553)&lt;=0.01,FALSE),"✓","✗"))</f>
        <v>0</v>
      </c>
      <c r="W16" s="31">
        <f>IF(ISBLANK(L16),"",IF(IFERROR(ABS(L16-'_key'!$A$1554)&lt;=0.01,FALSE),"✓","✗"))</f>
        <v>0</v>
      </c>
      <c r="X16" s="31">
        <f>IF(ISBLANK(M16),"",IF(IFERROR(EXACT(M16,'_key'!$A$1555),FALSE),"✓","✗"))</f>
        <v>0</v>
      </c>
      <c r="Y16" s="31">
        <f>IF(ISBLANK(N16),"",IF(IFERROR(EXACT(N16,'_key'!$A$1556),FALSE),"✓","✗"))</f>
        <v>0</v>
      </c>
      <c r="Z16" s="31">
        <f>IF(ISBLANK(O16),"",IF(IFERROR(EXACT(O16,'_key'!$A$1557),FALSE),"✓","✗"))</f>
        <v>0</v>
      </c>
      <c r="AA16" s="31">
        <f>IF(ISBLANK(P16),"",IF(IFERROR(EXACT(P16,'_key'!$A$1558),FALSE),"✓","✗"))</f>
        <v>0</v>
      </c>
      <c r="AB16" s="31">
        <f>IF(ISBLANK(Q16),"",IF(IFERROR(ABS(Q16-'_key'!$A$1559)&lt;=0.01,FALSE),"✓","✗"))</f>
        <v>0</v>
      </c>
      <c r="AD16" s="33"/>
      <c r="AE16" s="33"/>
      <c r="AF16" s="33"/>
    </row>
    <row r="17" spans="1:32">
      <c r="A17" s="47" t="s">
        <v>5583</v>
      </c>
      <c r="B17" s="47" t="s">
        <v>5584</v>
      </c>
      <c r="C17" s="47" t="s">
        <v>25</v>
      </c>
      <c r="D17" s="47" t="s">
        <v>5585</v>
      </c>
      <c r="E17" s="47" t="s">
        <v>5586</v>
      </c>
      <c r="F17" s="47" t="s">
        <v>5587</v>
      </c>
      <c r="H17" s="28"/>
      <c r="I17" s="28"/>
      <c r="J17" s="28"/>
      <c r="K17" s="29"/>
      <c r="L17" s="36"/>
      <c r="M17" s="28"/>
      <c r="N17" s="28"/>
      <c r="O17" s="28"/>
      <c r="P17" s="29"/>
      <c r="Q17" s="28"/>
      <c r="S17" s="31">
        <f>IF(ISBLANK(H17),"",IF(IFERROR(EXACT(H17,'_key'!$A$1560),FALSE),"✓","✗"))</f>
        <v>0</v>
      </c>
      <c r="T17" s="31">
        <f>IF(ISBLANK(I17),"",IF(IFERROR(EXACT(I17,'_key'!$A$1561),FALSE),"✓","✗"))</f>
        <v>0</v>
      </c>
      <c r="U17" s="31">
        <f>IF(ISBLANK(J17),"",IF(IFERROR(EXACT(J17,'_key'!$A$1562),FALSE),"✓","✗"))</f>
        <v>0</v>
      </c>
      <c r="V17" s="31">
        <f>IF(ISBLANK(K17),"",IF(IFERROR(ABS(K17-'_key'!$A$1563)&lt;=0.01,FALSE),"✓","✗"))</f>
        <v>0</v>
      </c>
      <c r="W17" s="31">
        <f>IF(ISBLANK(L17),"",IF(IFERROR(ABS(L17-'_key'!$A$1564)&lt;=0.01,FALSE),"✓","✗"))</f>
        <v>0</v>
      </c>
      <c r="X17" s="31">
        <f>IF(ISBLANK(M17),"",IF(IFERROR(EXACT(M17,'_key'!$A$1565),FALSE),"✓","✗"))</f>
        <v>0</v>
      </c>
      <c r="Y17" s="31">
        <f>IF(ISBLANK(N17),"",IF(IFERROR(EXACT(N17,'_key'!$A$1566),FALSE),"✓","✗"))</f>
        <v>0</v>
      </c>
      <c r="Z17" s="31">
        <f>IF(ISBLANK(O17),"",IF(IFERROR(EXACT(O17,'_key'!$A$1567),FALSE),"✓","✗"))</f>
        <v>0</v>
      </c>
      <c r="AA17" s="31">
        <f>IF(ISBLANK(P17),"",IF(IFERROR(ABS(P17-'_key'!$A$1568)&lt;=0.01,FALSE),"✓","✗"))</f>
        <v>0</v>
      </c>
      <c r="AB17" s="31">
        <f>IF(ISBLANK(Q17),"",IF(IFERROR(ABS(Q17-'_key'!$A$1569)&lt;=0.01,FALSE),"✓","✗"))</f>
        <v>0</v>
      </c>
      <c r="AD17" s="33"/>
      <c r="AE17" s="33"/>
      <c r="AF17" s="33"/>
    </row>
    <row r="18" spans="1:32">
      <c r="A18" s="47" t="s">
        <v>296</v>
      </c>
      <c r="B18" s="47" t="s">
        <v>5588</v>
      </c>
      <c r="C18" s="47" t="s">
        <v>16</v>
      </c>
      <c r="D18" s="47" t="s">
        <v>5589</v>
      </c>
      <c r="E18" s="47" t="s">
        <v>5590</v>
      </c>
      <c r="F18" s="47" t="s">
        <v>5549</v>
      </c>
      <c r="H18" s="28"/>
      <c r="I18" s="28"/>
      <c r="J18" s="28"/>
      <c r="K18" s="29"/>
      <c r="L18" s="36"/>
      <c r="M18" s="28"/>
      <c r="N18" s="28"/>
      <c r="O18" s="28"/>
      <c r="P18" s="29"/>
      <c r="Q18" s="28"/>
      <c r="S18" s="31">
        <f>IF(ISBLANK(H18),"",IF(IFERROR(EXACT(H18,'_key'!$A$1570),FALSE),"✓","✗"))</f>
        <v>0</v>
      </c>
      <c r="T18" s="31">
        <f>IF(ISBLANK(I18),"",IF(IFERROR(EXACT(I18,'_key'!$A$1571),FALSE),"✓","✗"))</f>
        <v>0</v>
      </c>
      <c r="U18" s="31">
        <f>IF(ISBLANK(J18),"",IF(IFERROR(EXACT(J18,'_key'!$A$1572),FALSE),"✓","✗"))</f>
        <v>0</v>
      </c>
      <c r="V18" s="31">
        <f>IF(ISBLANK(K18),"",IF(IFERROR(ABS(K18-'_key'!$A$1573)&lt;=0.01,FALSE),"✓","✗"))</f>
        <v>0</v>
      </c>
      <c r="W18" s="31">
        <f>IF(ISBLANK(L18),"",IF(IFERROR(ABS(L18-'_key'!$A$1574)&lt;=0.01,FALSE),"✓","✗"))</f>
        <v>0</v>
      </c>
      <c r="X18" s="31">
        <f>IF(ISBLANK(M18),"",IF(IFERROR(EXACT(M18,'_key'!$A$1575),FALSE),"✓","✗"))</f>
        <v>0</v>
      </c>
      <c r="Y18" s="31">
        <f>IF(ISBLANK(N18),"",IF(IFERROR(EXACT(N18,'_key'!$A$1576),FALSE),"✓","✗"))</f>
        <v>0</v>
      </c>
      <c r="Z18" s="31">
        <f>IF(ISBLANK(O18),"",IF(IFERROR(EXACT(O18,'_key'!$A$1577),FALSE),"✓","✗"))</f>
        <v>0</v>
      </c>
      <c r="AA18" s="31">
        <f>IF(ISBLANK(P18),"",IF(IFERROR(ABS(P18-'_key'!$A$1578)&lt;=0.01,FALSE),"✓","✗"))</f>
        <v>0</v>
      </c>
      <c r="AB18" s="31">
        <f>IF(ISBLANK(Q18),"",IF(IFERROR(ABS(Q18-'_key'!$A$1579)&lt;=0.01,FALSE),"✓","✗"))</f>
        <v>0</v>
      </c>
      <c r="AD18" s="33"/>
      <c r="AE18" s="33"/>
      <c r="AF18" s="33"/>
    </row>
    <row r="19" spans="1:32">
      <c r="A19" s="47" t="s">
        <v>5591</v>
      </c>
      <c r="B19" s="47" t="s">
        <v>5592</v>
      </c>
      <c r="C19" s="47" t="s">
        <v>25</v>
      </c>
      <c r="D19" s="47" t="s">
        <v>5593</v>
      </c>
      <c r="E19" s="47" t="s">
        <v>5594</v>
      </c>
      <c r="F19" s="47" t="s">
        <v>5595</v>
      </c>
      <c r="H19" s="28"/>
      <c r="I19" s="28"/>
      <c r="J19" s="28"/>
      <c r="K19" s="29"/>
      <c r="L19" s="36"/>
      <c r="M19" s="28"/>
      <c r="N19" s="28"/>
      <c r="O19" s="28"/>
      <c r="P19" s="29"/>
      <c r="Q19" s="28"/>
      <c r="S19" s="31">
        <f>IF(ISBLANK(H19),"",IF(IFERROR(EXACT(H19,'_key'!$A$1580),FALSE),"✓","✗"))</f>
        <v>0</v>
      </c>
      <c r="T19" s="31">
        <f>IF(ISBLANK(I19),"",IF(IFERROR(EXACT(I19,'_key'!$A$1581),FALSE),"✓","✗"))</f>
        <v>0</v>
      </c>
      <c r="U19" s="31">
        <f>IF(ISBLANK(J19),"",IF(IFERROR(EXACT(J19,'_key'!$A$1582),FALSE),"✓","✗"))</f>
        <v>0</v>
      </c>
      <c r="V19" s="31">
        <f>IF(ISBLANK(K19),"",IF(IFERROR(ABS(K19-'_key'!$A$1583)&lt;=0.01,FALSE),"✓","✗"))</f>
        <v>0</v>
      </c>
      <c r="W19" s="31">
        <f>IF(ISBLANK(L19),"",IF(IFERROR(ABS(L19-'_key'!$A$1584)&lt;=0.01,FALSE),"✓","✗"))</f>
        <v>0</v>
      </c>
      <c r="X19" s="31">
        <f>IF(ISBLANK(M19),"",IF(IFERROR(EXACT(M19,'_key'!$A$1585),FALSE),"✓","✗"))</f>
        <v>0</v>
      </c>
      <c r="Y19" s="31">
        <f>IF(ISBLANK(N19),"",IF(IFERROR(EXACT(N19,'_key'!$A$1586),FALSE),"✓","✗"))</f>
        <v>0</v>
      </c>
      <c r="Z19" s="31">
        <f>IF(ISBLANK(O19),"",IF(IFERROR(EXACT(O19,'_key'!$A$1587),FALSE),"✓","✗"))</f>
        <v>0</v>
      </c>
      <c r="AA19" s="31">
        <f>IF(ISBLANK(P19),"",IF(IFERROR(ABS(P19-'_key'!$A$1588)&lt;=0.01,FALSE),"✓","✗"))</f>
        <v>0</v>
      </c>
      <c r="AB19" s="31">
        <f>IF(ISBLANK(Q19),"",IF(IFERROR(ABS(Q19-'_key'!$A$1589)&lt;=0.01,FALSE),"✓","✗"))</f>
        <v>0</v>
      </c>
    </row>
    <row r="20" spans="1:32">
      <c r="A20" s="47" t="s">
        <v>346</v>
      </c>
      <c r="B20" s="47" t="s">
        <v>5596</v>
      </c>
      <c r="C20" s="47" t="s">
        <v>5597</v>
      </c>
      <c r="D20" s="47" t="s">
        <v>5598</v>
      </c>
      <c r="E20" s="47" t="s">
        <v>5599</v>
      </c>
      <c r="F20" s="47" t="s">
        <v>5600</v>
      </c>
      <c r="H20" s="28"/>
      <c r="I20" s="28"/>
      <c r="J20" s="28"/>
      <c r="K20" s="29"/>
      <c r="L20" s="36"/>
      <c r="M20" s="28"/>
      <c r="N20" s="28"/>
      <c r="O20" s="28"/>
      <c r="P20" s="29"/>
      <c r="Q20" s="28"/>
      <c r="S20" s="31">
        <f>IF(ISBLANK(H20),"",IF(IFERROR(EXACT(H20,'_key'!$A$1590),FALSE),"✓","✗"))</f>
        <v>0</v>
      </c>
      <c r="T20" s="31">
        <f>IF(ISBLANK(I20),"",IF(IFERROR(EXACT(I20,'_key'!$A$1591),FALSE),"✓","✗"))</f>
        <v>0</v>
      </c>
      <c r="U20" s="31">
        <f>IF(ISBLANK(J20),"",IF(IFERROR(EXACT(J20,'_key'!$A$1592),FALSE),"✓","✗"))</f>
        <v>0</v>
      </c>
      <c r="V20" s="31">
        <f>IF(ISBLANK(K20),"",IF(IFERROR(ABS(K20-'_key'!$A$1593)&lt;=0.01,FALSE),"✓","✗"))</f>
        <v>0</v>
      </c>
      <c r="W20" s="31">
        <f>IF(ISBLANK(L20),"",IF(IFERROR(ABS(L20-'_key'!$A$1594)&lt;=0.01,FALSE),"✓","✗"))</f>
        <v>0</v>
      </c>
      <c r="X20" s="31">
        <f>IF(ISBLANK(M20),"",IF(IFERROR(EXACT(M20,'_key'!$A$1595),FALSE),"✓","✗"))</f>
        <v>0</v>
      </c>
      <c r="Y20" s="31">
        <f>IF(ISBLANK(N20),"",IF(IFERROR(EXACT(N20,'_key'!$A$1596),FALSE),"✓","✗"))</f>
        <v>0</v>
      </c>
      <c r="Z20" s="31">
        <f>IF(ISBLANK(O20),"",IF(IFERROR(EXACT(O20,'_key'!$A$1597),FALSE),"✓","✗"))</f>
        <v>0</v>
      </c>
      <c r="AA20" s="31">
        <f>IF(ISBLANK(P20),"",IF(IFERROR(ABS(P20-'_key'!$A$1598)&lt;=0.01,FALSE),"✓","✗"))</f>
        <v>0</v>
      </c>
      <c r="AB20" s="31">
        <f>IF(ISBLANK(Q20),"",IF(IFERROR(ABS(Q20-'_key'!$A$1599)&lt;=0.01,FALSE),"✓","✗"))</f>
        <v>0</v>
      </c>
    </row>
    <row r="21" spans="1:32">
      <c r="A21" s="47" t="s">
        <v>5601</v>
      </c>
      <c r="B21" s="47" t="s">
        <v>5602</v>
      </c>
      <c r="C21" s="47" t="s">
        <v>5551</v>
      </c>
      <c r="D21" s="47" t="s">
        <v>5603</v>
      </c>
      <c r="E21" s="47" t="s">
        <v>5604</v>
      </c>
      <c r="F21" s="47" t="s">
        <v>5605</v>
      </c>
      <c r="H21" s="28"/>
      <c r="I21" s="28"/>
      <c r="J21" s="28"/>
      <c r="K21" s="29"/>
      <c r="L21" s="36"/>
      <c r="M21" s="28"/>
      <c r="N21" s="28"/>
      <c r="O21" s="28"/>
      <c r="P21" s="29"/>
      <c r="Q21" s="28"/>
      <c r="S21" s="31">
        <f>IF(ISBLANK(H21),"",IF(IFERROR(EXACT(H21,'_key'!$A$1600),FALSE),"✓","✗"))</f>
        <v>0</v>
      </c>
      <c r="T21" s="31">
        <f>IF(ISBLANK(I21),"",IF(IFERROR(EXACT(I21,'_key'!$A$1601),FALSE),"✓","✗"))</f>
        <v>0</v>
      </c>
      <c r="U21" s="31">
        <f>IF(ISBLANK(J21),"",IF(IFERROR(EXACT(J21,'_key'!$A$1602),FALSE),"✓","✗"))</f>
        <v>0</v>
      </c>
      <c r="V21" s="31">
        <f>IF(ISBLANK(K21),"",IF(IFERROR(ABS(K21-'_key'!$A$1603)&lt;=0.01,FALSE),"✓","✗"))</f>
        <v>0</v>
      </c>
      <c r="W21" s="31">
        <f>IF(ISBLANK(L21),"",IF(IFERROR(ABS(L21-'_key'!$A$1604)&lt;=0.01,FALSE),"✓","✗"))</f>
        <v>0</v>
      </c>
      <c r="X21" s="31">
        <f>IF(ISBLANK(M21),"",IF(IFERROR(EXACT(M21,'_key'!$A$1605),FALSE),"✓","✗"))</f>
        <v>0</v>
      </c>
      <c r="Y21" s="31">
        <f>IF(ISBLANK(N21),"",IF(IFERROR(EXACT(N21,'_key'!$A$1606),FALSE),"✓","✗"))</f>
        <v>0</v>
      </c>
      <c r="Z21" s="31">
        <f>IF(ISBLANK(O21),"",IF(IFERROR(EXACT(O21,'_key'!$A$1607),FALSE),"✓","✗"))</f>
        <v>0</v>
      </c>
      <c r="AA21" s="31">
        <f>IF(ISBLANK(P21),"",IF(IFERROR(ABS(P21-'_key'!$A$1608)&lt;=0.01,FALSE),"✓","✗"))</f>
        <v>0</v>
      </c>
      <c r="AB21" s="31">
        <f>IF(ISBLANK(Q21),"",IF(IFERROR(ABS(Q21-'_key'!$A$1609)&lt;=0.01,FALSE),"✓","✗"))</f>
        <v>0</v>
      </c>
    </row>
    <row r="22" spans="1:32">
      <c r="A22" s="47" t="s">
        <v>166</v>
      </c>
      <c r="B22" s="47" t="s">
        <v>5606</v>
      </c>
      <c r="C22" s="47" t="s">
        <v>5541</v>
      </c>
      <c r="D22" s="47" t="s">
        <v>5607</v>
      </c>
      <c r="E22" s="47" t="s">
        <v>5608</v>
      </c>
      <c r="F22" s="47" t="s">
        <v>5609</v>
      </c>
      <c r="H22" s="28"/>
      <c r="I22" s="28"/>
      <c r="J22" s="28"/>
      <c r="K22" s="29"/>
      <c r="L22" s="36"/>
      <c r="M22" s="28"/>
      <c r="N22" s="28"/>
      <c r="O22" s="28"/>
      <c r="P22" s="29"/>
      <c r="Q22" s="28"/>
      <c r="S22" s="31">
        <f>IF(ISBLANK(H22),"",IF(IFERROR(EXACT(H22,'_key'!$A$1610),FALSE),"✓","✗"))</f>
        <v>0</v>
      </c>
      <c r="T22" s="31">
        <f>IF(ISBLANK(I22),"",IF(IFERROR(EXACT(I22,'_key'!$A$1611),FALSE),"✓","✗"))</f>
        <v>0</v>
      </c>
      <c r="U22" s="31">
        <f>IF(ISBLANK(J22),"",IF(IFERROR(EXACT(J22,'_key'!$A$1612),FALSE),"✓","✗"))</f>
        <v>0</v>
      </c>
      <c r="V22" s="31">
        <f>IF(ISBLANK(K22),"",IF(IFERROR(ABS(K22-'_key'!$A$1613)&lt;=0.01,FALSE),"✓","✗"))</f>
        <v>0</v>
      </c>
      <c r="W22" s="31">
        <f>IF(ISBLANK(L22),"",IF(IFERROR(ABS(L22-'_key'!$A$1614)&lt;=0.01,FALSE),"✓","✗"))</f>
        <v>0</v>
      </c>
      <c r="X22" s="31">
        <f>IF(ISBLANK(M22),"",IF(IFERROR(EXACT(M22,'_key'!$A$1615),FALSE),"✓","✗"))</f>
        <v>0</v>
      </c>
      <c r="Y22" s="31">
        <f>IF(ISBLANK(N22),"",IF(IFERROR(EXACT(N22,'_key'!$A$1616),FALSE),"✓","✗"))</f>
        <v>0</v>
      </c>
      <c r="Z22" s="31">
        <f>IF(ISBLANK(O22),"",IF(IFERROR(EXACT(O22,'_key'!$A$1617),FALSE),"✓","✗"))</f>
        <v>0</v>
      </c>
      <c r="AA22" s="31">
        <f>IF(ISBLANK(P22),"",IF(IFERROR(ABS(P22-'_key'!$A$1618)&lt;=0.01,FALSE),"✓","✗"))</f>
        <v>0</v>
      </c>
      <c r="AB22" s="31">
        <f>IF(ISBLANK(Q22),"",IF(IFERROR(ABS(Q22-'_key'!$A$1619)&lt;=0.01,FALSE),"✓","✗"))</f>
        <v>0</v>
      </c>
    </row>
    <row r="23" spans="1:32">
      <c r="A23" s="47" t="s">
        <v>5610</v>
      </c>
      <c r="B23" s="47" t="s">
        <v>5611</v>
      </c>
      <c r="C23" s="47" t="s">
        <v>5566</v>
      </c>
      <c r="D23" s="47" t="s">
        <v>5612</v>
      </c>
      <c r="E23" s="47" t="s">
        <v>5613</v>
      </c>
      <c r="F23" s="47" t="s">
        <v>365</v>
      </c>
      <c r="H23" s="28"/>
      <c r="I23" s="28"/>
      <c r="J23" s="28"/>
      <c r="K23" s="29"/>
      <c r="L23" s="36"/>
      <c r="M23" s="28"/>
      <c r="N23" s="28"/>
      <c r="O23" s="28"/>
      <c r="P23" s="29"/>
      <c r="Q23" s="28"/>
      <c r="S23" s="31">
        <f>IF(ISBLANK(H23),"",IF(IFERROR(EXACT(H23,'_key'!$A$1620),FALSE),"✓","✗"))</f>
        <v>0</v>
      </c>
      <c r="T23" s="31">
        <f>IF(ISBLANK(I23),"",IF(IFERROR(EXACT(I23,'_key'!$A$1621),FALSE),"✓","✗"))</f>
        <v>0</v>
      </c>
      <c r="U23" s="31">
        <f>IF(ISBLANK(J23),"",IF(IFERROR(EXACT(J23,'_key'!$A$1622),FALSE),"✓","✗"))</f>
        <v>0</v>
      </c>
      <c r="V23" s="31">
        <f>IF(ISBLANK(K23),"",IF(IFERROR(ABS(K23-'_key'!$A$1623)&lt;=0.01,FALSE),"✓","✗"))</f>
        <v>0</v>
      </c>
      <c r="W23" s="31">
        <f>IF(ISBLANK(L23),"",IF(IFERROR(ABS(L23-'_key'!$A$1624)&lt;=0.01,FALSE),"✓","✗"))</f>
        <v>0</v>
      </c>
      <c r="X23" s="31">
        <f>IF(ISBLANK(M23),"",IF(IFERROR(EXACT(M23,'_key'!$A$1625),FALSE),"✓","✗"))</f>
        <v>0</v>
      </c>
      <c r="Y23" s="31">
        <f>IF(ISBLANK(N23),"",IF(IFERROR(EXACT(N23,'_key'!$A$1626),FALSE),"✓","✗"))</f>
        <v>0</v>
      </c>
      <c r="Z23" s="31">
        <f>IF(ISBLANK(O23),"",IF(IFERROR(EXACT(O23,'_key'!$A$1627),FALSE),"✓","✗"))</f>
        <v>0</v>
      </c>
      <c r="AA23" s="31">
        <f>IF(ISBLANK(P23),"",IF(IFERROR(ABS(P23-'_key'!$A$1628)&lt;=0.01,FALSE),"✓","✗"))</f>
        <v>0</v>
      </c>
      <c r="AB23" s="31">
        <f>IF(ISBLANK(Q23),"",IF(IFERROR(ABS(Q23-'_key'!$A$1629)&lt;=0.01,FALSE),"✓","✗"))</f>
        <v>0</v>
      </c>
    </row>
    <row r="24" spans="1:32">
      <c r="A24" s="47" t="s">
        <v>5614</v>
      </c>
      <c r="B24" s="47" t="s">
        <v>5615</v>
      </c>
      <c r="C24" s="47" t="s">
        <v>5551</v>
      </c>
      <c r="D24" s="47" t="s">
        <v>5616</v>
      </c>
      <c r="E24" s="47" t="s">
        <v>5617</v>
      </c>
      <c r="F24" s="47" t="s">
        <v>5618</v>
      </c>
      <c r="H24" s="28"/>
      <c r="I24" s="28"/>
      <c r="J24" s="28"/>
      <c r="K24" s="29"/>
      <c r="L24" s="36"/>
      <c r="M24" s="28"/>
      <c r="N24" s="28"/>
      <c r="O24" s="28"/>
      <c r="P24" s="29"/>
      <c r="Q24" s="28"/>
      <c r="S24" s="31">
        <f>IF(ISBLANK(H24),"",IF(IFERROR(EXACT(H24,'_key'!$A$1630),FALSE),"✓","✗"))</f>
        <v>0</v>
      </c>
      <c r="T24" s="31">
        <f>IF(ISBLANK(I24),"",IF(IFERROR(EXACT(I24,'_key'!$A$1631),FALSE),"✓","✗"))</f>
        <v>0</v>
      </c>
      <c r="U24" s="31">
        <f>IF(ISBLANK(J24),"",IF(IFERROR(EXACT(J24,'_key'!$A$1632),FALSE),"✓","✗"))</f>
        <v>0</v>
      </c>
      <c r="V24" s="31">
        <f>IF(ISBLANK(K24),"",IF(IFERROR(ABS(K24-'_key'!$A$1633)&lt;=0.01,FALSE),"✓","✗"))</f>
        <v>0</v>
      </c>
      <c r="W24" s="31">
        <f>IF(ISBLANK(L24),"",IF(IFERROR(ABS(L24-'_key'!$A$1634)&lt;=0.01,FALSE),"✓","✗"))</f>
        <v>0</v>
      </c>
      <c r="X24" s="31">
        <f>IF(ISBLANK(M24),"",IF(IFERROR(EXACT(M24,'_key'!$A$1635),FALSE),"✓","✗"))</f>
        <v>0</v>
      </c>
      <c r="Y24" s="31">
        <f>IF(ISBLANK(N24),"",IF(IFERROR(EXACT(N24,'_key'!$A$1636),FALSE),"✓","✗"))</f>
        <v>0</v>
      </c>
      <c r="Z24" s="31">
        <f>IF(ISBLANK(O24),"",IF(IFERROR(EXACT(O24,'_key'!$A$1637),FALSE),"✓","✗"))</f>
        <v>0</v>
      </c>
      <c r="AA24" s="31">
        <f>IF(ISBLANK(P24),"",IF(IFERROR(ABS(P24-'_key'!$A$1638)&lt;=0.01,FALSE),"✓","✗"))</f>
        <v>0</v>
      </c>
      <c r="AB24" s="31">
        <f>IF(ISBLANK(Q24),"",IF(IFERROR(ABS(Q24-'_key'!$A$1639)&lt;=0.01,FALSE),"✓","✗"))</f>
        <v>0</v>
      </c>
    </row>
    <row r="25" spans="1:32">
      <c r="A25" s="47" t="s">
        <v>304</v>
      </c>
      <c r="B25" s="47" t="s">
        <v>305</v>
      </c>
      <c r="C25" s="47" t="s">
        <v>25</v>
      </c>
      <c r="D25" s="47" t="s">
        <v>5619</v>
      </c>
      <c r="E25" s="47" t="s">
        <v>5557</v>
      </c>
      <c r="F25" s="47" t="s">
        <v>5587</v>
      </c>
      <c r="H25" s="28"/>
      <c r="I25" s="28"/>
      <c r="J25" s="28"/>
      <c r="K25" s="29"/>
      <c r="L25" s="36"/>
      <c r="M25" s="28"/>
      <c r="N25" s="28"/>
      <c r="O25" s="28"/>
      <c r="P25" s="29"/>
      <c r="Q25" s="28"/>
      <c r="S25" s="31">
        <f>IF(ISBLANK(H25),"",IF(IFERROR(EXACT(H25,'_key'!$A$1640),FALSE),"✓","✗"))</f>
        <v>0</v>
      </c>
      <c r="T25" s="31">
        <f>IF(ISBLANK(I25),"",IF(IFERROR(EXACT(I25,'_key'!$A$1641),FALSE),"✓","✗"))</f>
        <v>0</v>
      </c>
      <c r="U25" s="31">
        <f>IF(ISBLANK(J25),"",IF(IFERROR(EXACT(J25,'_key'!$A$1642),FALSE),"✓","✗"))</f>
        <v>0</v>
      </c>
      <c r="V25" s="31">
        <f>IF(ISBLANK(K25),"",IF(IFERROR(ABS(K25-'_key'!$A$1643)&lt;=0.01,FALSE),"✓","✗"))</f>
        <v>0</v>
      </c>
      <c r="W25" s="31">
        <f>IF(ISBLANK(L25),"",IF(IFERROR(ABS(L25-'_key'!$A$1644)&lt;=0.01,FALSE),"✓","✗"))</f>
        <v>0</v>
      </c>
      <c r="X25" s="31">
        <f>IF(ISBLANK(M25),"",IF(IFERROR(EXACT(M25,'_key'!$A$1645),FALSE),"✓","✗"))</f>
        <v>0</v>
      </c>
      <c r="Y25" s="31">
        <f>IF(ISBLANK(N25),"",IF(IFERROR(EXACT(N25,'_key'!$A$1646),FALSE),"✓","✗"))</f>
        <v>0</v>
      </c>
      <c r="Z25" s="31">
        <f>IF(ISBLANK(O25),"",IF(IFERROR(EXACT(O25,'_key'!$A$1647),FALSE),"✓","✗"))</f>
        <v>0</v>
      </c>
      <c r="AA25" s="31">
        <f>IF(ISBLANK(P25),"",IF(IFERROR(ABS(P25-'_key'!$A$1648)&lt;=0.01,FALSE),"✓","✗"))</f>
        <v>0</v>
      </c>
      <c r="AB25" s="31">
        <f>IF(ISBLANK(Q25),"",IF(IFERROR(ABS(Q25-'_key'!$A$1649)&lt;=0.01,FALSE),"✓","✗"))</f>
        <v>0</v>
      </c>
    </row>
    <row r="26" spans="1:32">
      <c r="A26" s="47" t="s">
        <v>130</v>
      </c>
      <c r="B26" s="47" t="s">
        <v>5621</v>
      </c>
      <c r="C26" s="47" t="s">
        <v>25</v>
      </c>
      <c r="D26" s="47" t="s">
        <v>5622</v>
      </c>
      <c r="E26" s="47" t="s">
        <v>5623</v>
      </c>
      <c r="F26" s="47" t="s">
        <v>5549</v>
      </c>
      <c r="H26" s="28"/>
      <c r="I26" s="28"/>
      <c r="J26" s="28"/>
      <c r="K26" s="29"/>
      <c r="L26" s="36"/>
      <c r="M26" s="28"/>
      <c r="N26" s="28"/>
      <c r="O26" s="28"/>
      <c r="P26" s="29"/>
      <c r="Q26" s="28"/>
      <c r="S26" s="31">
        <f>IF(ISBLANK(H26),"",IF(IFERROR(EXACT(H26,'_key'!$A$1650),FALSE),"✓","✗"))</f>
        <v>0</v>
      </c>
      <c r="T26" s="31">
        <f>IF(ISBLANK(I26),"",IF(IFERROR(EXACT(I26,'_key'!$A$1651),FALSE),"✓","✗"))</f>
        <v>0</v>
      </c>
      <c r="U26" s="31">
        <f>IF(ISBLANK(J26),"",IF(IFERROR(EXACT(J26,'_key'!$A$1652),FALSE),"✓","✗"))</f>
        <v>0</v>
      </c>
      <c r="V26" s="31">
        <f>IF(ISBLANK(K26),"",IF(IFERROR(ABS(K26-'_key'!$A$1653)&lt;=0.01,FALSE),"✓","✗"))</f>
        <v>0</v>
      </c>
      <c r="W26" s="31">
        <f>IF(ISBLANK(L26),"",IF(IFERROR(ABS(L26-'_key'!$A$1654)&lt;=0.01,FALSE),"✓","✗"))</f>
        <v>0</v>
      </c>
      <c r="X26" s="31">
        <f>IF(ISBLANK(M26),"",IF(IFERROR(EXACT(M26,'_key'!$A$1655),FALSE),"✓","✗"))</f>
        <v>0</v>
      </c>
      <c r="Y26" s="31">
        <f>IF(ISBLANK(N26),"",IF(IFERROR(EXACT(N26,'_key'!$A$1656),FALSE),"✓","✗"))</f>
        <v>0</v>
      </c>
      <c r="Z26" s="31">
        <f>IF(ISBLANK(O26),"",IF(IFERROR(EXACT(O26,'_key'!$A$1657),FALSE),"✓","✗"))</f>
        <v>0</v>
      </c>
      <c r="AA26" s="31">
        <f>IF(ISBLANK(P26),"",IF(IFERROR(ABS(P26-'_key'!$A$1658)&lt;=0.01,FALSE),"✓","✗"))</f>
        <v>0</v>
      </c>
      <c r="AB26" s="31">
        <f>IF(ISBLANK(Q26),"",IF(IFERROR(ABS(Q26-'_key'!$A$1659)&lt;=0.01,FALSE),"✓","✗"))</f>
        <v>0</v>
      </c>
    </row>
    <row r="27" spans="1:32">
      <c r="A27" s="47" t="s">
        <v>5624</v>
      </c>
      <c r="B27" s="47" t="s">
        <v>5625</v>
      </c>
      <c r="C27" s="47" t="s">
        <v>5551</v>
      </c>
      <c r="D27" s="47" t="s">
        <v>5626</v>
      </c>
      <c r="E27" s="47" t="s">
        <v>5627</v>
      </c>
      <c r="F27" s="47" t="s">
        <v>5618</v>
      </c>
      <c r="H27" s="28"/>
      <c r="I27" s="28"/>
      <c r="J27" s="28"/>
      <c r="K27" s="29"/>
      <c r="L27" s="36"/>
      <c r="M27" s="28"/>
      <c r="N27" s="28"/>
      <c r="O27" s="28"/>
      <c r="P27" s="29"/>
      <c r="Q27" s="28"/>
      <c r="S27" s="31">
        <f>IF(ISBLANK(H27),"",IF(IFERROR(EXACT(H27,'_key'!$A$1660),FALSE),"✓","✗"))</f>
        <v>0</v>
      </c>
      <c r="T27" s="31">
        <f>IF(ISBLANK(I27),"",IF(IFERROR(EXACT(I27,'_key'!$A$1661),FALSE),"✓","✗"))</f>
        <v>0</v>
      </c>
      <c r="U27" s="31">
        <f>IF(ISBLANK(J27),"",IF(IFERROR(EXACT(J27,'_key'!$A$1662),FALSE),"✓","✗"))</f>
        <v>0</v>
      </c>
      <c r="V27" s="31">
        <f>IF(ISBLANK(K27),"",IF(IFERROR(ABS(K27-'_key'!$A$1663)&lt;=0.01,FALSE),"✓","✗"))</f>
        <v>0</v>
      </c>
      <c r="W27" s="31">
        <f>IF(ISBLANK(L27),"",IF(IFERROR(ABS(L27-'_key'!$A$1664)&lt;=0.01,FALSE),"✓","✗"))</f>
        <v>0</v>
      </c>
      <c r="X27" s="31">
        <f>IF(ISBLANK(M27),"",IF(IFERROR(EXACT(M27,'_key'!$A$1665),FALSE),"✓","✗"))</f>
        <v>0</v>
      </c>
      <c r="Y27" s="31">
        <f>IF(ISBLANK(N27),"",IF(IFERROR(EXACT(N27,'_key'!$A$1666),FALSE),"✓","✗"))</f>
        <v>0</v>
      </c>
      <c r="Z27" s="31">
        <f>IF(ISBLANK(O27),"",IF(IFERROR(EXACT(O27,'_key'!$A$1667),FALSE),"✓","✗"))</f>
        <v>0</v>
      </c>
      <c r="AA27" s="31">
        <f>IF(ISBLANK(P27),"",IF(IFERROR(EXACT(P27,'_key'!$A$1668),FALSE),"✓","✗"))</f>
        <v>0</v>
      </c>
      <c r="AB27" s="31">
        <f>IF(ISBLANK(Q27),"",IF(IFERROR(ABS(Q27-'_key'!$A$1669)&lt;=0.01,FALSE),"✓","✗"))</f>
        <v>0</v>
      </c>
    </row>
    <row r="28" spans="1:32">
      <c r="A28" s="47" t="s">
        <v>302</v>
      </c>
      <c r="B28" s="47" t="s">
        <v>5630</v>
      </c>
      <c r="C28" s="47" t="s">
        <v>37</v>
      </c>
      <c r="D28" s="47" t="s">
        <v>5631</v>
      </c>
      <c r="E28" s="47" t="s">
        <v>5632</v>
      </c>
      <c r="F28" s="47" t="s">
        <v>5633</v>
      </c>
      <c r="H28" s="28"/>
      <c r="I28" s="28"/>
      <c r="J28" s="28"/>
      <c r="K28" s="29"/>
      <c r="L28" s="36"/>
      <c r="M28" s="28"/>
      <c r="N28" s="28"/>
      <c r="O28" s="28"/>
      <c r="P28" s="29"/>
      <c r="Q28" s="28"/>
      <c r="S28" s="31">
        <f>IF(ISBLANK(H28),"",IF(IFERROR(EXACT(H28,'_key'!$A$1670),FALSE),"✓","✗"))</f>
        <v>0</v>
      </c>
      <c r="T28" s="31">
        <f>IF(ISBLANK(I28),"",IF(IFERROR(EXACT(I28,'_key'!$A$1671),FALSE),"✓","✗"))</f>
        <v>0</v>
      </c>
      <c r="U28" s="31">
        <f>IF(ISBLANK(J28),"",IF(IFERROR(EXACT(J28,'_key'!$A$1672),FALSE),"✓","✗"))</f>
        <v>0</v>
      </c>
      <c r="V28" s="31">
        <f>IF(ISBLANK(K28),"",IF(IFERROR(ABS(K28-'_key'!$A$1673)&lt;=0.01,FALSE),"✓","✗"))</f>
        <v>0</v>
      </c>
      <c r="W28" s="31">
        <f>IF(ISBLANK(L28),"",IF(IFERROR(ABS(L28-'_key'!$A$1674)&lt;=0.01,FALSE),"✓","✗"))</f>
        <v>0</v>
      </c>
      <c r="X28" s="31">
        <f>IF(ISBLANK(M28),"",IF(IFERROR(EXACT(M28,'_key'!$A$1675),FALSE),"✓","✗"))</f>
        <v>0</v>
      </c>
      <c r="Y28" s="31">
        <f>IF(ISBLANK(N28),"",IF(IFERROR(EXACT(N28,'_key'!$A$1676),FALSE),"✓","✗"))</f>
        <v>0</v>
      </c>
      <c r="Z28" s="31">
        <f>IF(ISBLANK(O28),"",IF(IFERROR(EXACT(O28,'_key'!$A$1677),FALSE),"✓","✗"))</f>
        <v>0</v>
      </c>
      <c r="AA28" s="31">
        <f>IF(ISBLANK(P28),"",IF(IFERROR(ABS(P28-'_key'!$A$1678)&lt;=0.01,FALSE),"✓","✗"))</f>
        <v>0</v>
      </c>
      <c r="AB28" s="31">
        <f>IF(ISBLANK(Q28),"",IF(IFERROR(ABS(Q28-'_key'!$A$1679)&lt;=0.01,FALSE),"✓","✗"))</f>
        <v>0</v>
      </c>
    </row>
    <row r="29" spans="1:32">
      <c r="A29" s="47" t="s">
        <v>336</v>
      </c>
      <c r="B29" s="47" t="s">
        <v>5634</v>
      </c>
      <c r="C29" s="47" t="s">
        <v>16</v>
      </c>
      <c r="D29" s="47" t="s">
        <v>5635</v>
      </c>
      <c r="E29" s="47" t="s">
        <v>5636</v>
      </c>
      <c r="F29" s="47" t="s">
        <v>5637</v>
      </c>
      <c r="H29" s="28"/>
      <c r="I29" s="28"/>
      <c r="J29" s="28"/>
      <c r="K29" s="29"/>
      <c r="L29" s="36"/>
      <c r="M29" s="28"/>
      <c r="N29" s="28"/>
      <c r="O29" s="28"/>
      <c r="P29" s="29"/>
      <c r="Q29" s="28"/>
      <c r="S29" s="31">
        <f>IF(ISBLANK(H29),"",IF(IFERROR(EXACT(H29,'_key'!$A$1680),FALSE),"✓","✗"))</f>
        <v>0</v>
      </c>
      <c r="T29" s="31">
        <f>IF(ISBLANK(I29),"",IF(IFERROR(EXACT(I29,'_key'!$A$1681),FALSE),"✓","✗"))</f>
        <v>0</v>
      </c>
      <c r="U29" s="31">
        <f>IF(ISBLANK(J29),"",IF(IFERROR(EXACT(J29,'_key'!$A$1682),FALSE),"✓","✗"))</f>
        <v>0</v>
      </c>
      <c r="V29" s="31">
        <f>IF(ISBLANK(K29),"",IF(IFERROR(ABS(K29-'_key'!$A$1683)&lt;=0.01,FALSE),"✓","✗"))</f>
        <v>0</v>
      </c>
      <c r="W29" s="31">
        <f>IF(ISBLANK(L29),"",IF(IFERROR(ABS(L29-'_key'!$A$1684)&lt;=0.01,FALSE),"✓","✗"))</f>
        <v>0</v>
      </c>
      <c r="X29" s="31">
        <f>IF(ISBLANK(M29),"",IF(IFERROR(EXACT(M29,'_key'!$A$1685),FALSE),"✓","✗"))</f>
        <v>0</v>
      </c>
      <c r="Y29" s="31">
        <f>IF(ISBLANK(N29),"",IF(IFERROR(EXACT(N29,'_key'!$A$1686),FALSE),"✓","✗"))</f>
        <v>0</v>
      </c>
      <c r="Z29" s="31">
        <f>IF(ISBLANK(O29),"",IF(IFERROR(EXACT(O29,'_key'!$A$1687),FALSE),"✓","✗"))</f>
        <v>0</v>
      </c>
      <c r="AA29" s="31">
        <f>IF(ISBLANK(P29),"",IF(IFERROR(ABS(P29-'_key'!$A$1688)&lt;=0.01,FALSE),"✓","✗"))</f>
        <v>0</v>
      </c>
      <c r="AB29" s="31">
        <f>IF(ISBLANK(Q29),"",IF(IFERROR(ABS(Q29-'_key'!$A$1689)&lt;=0.01,FALSE),"✓","✗"))</f>
        <v>0</v>
      </c>
    </row>
    <row r="30" spans="1:32">
      <c r="A30" s="47" t="s">
        <v>326</v>
      </c>
      <c r="B30" s="47" t="s">
        <v>5638</v>
      </c>
      <c r="C30" s="47" t="s">
        <v>5561</v>
      </c>
      <c r="D30" s="47" t="s">
        <v>5639</v>
      </c>
      <c r="E30" s="47" t="s">
        <v>5640</v>
      </c>
      <c r="F30" s="47" t="s">
        <v>5618</v>
      </c>
      <c r="H30" s="28"/>
      <c r="I30" s="28"/>
      <c r="J30" s="28"/>
      <c r="K30" s="29"/>
      <c r="L30" s="36"/>
      <c r="M30" s="28"/>
      <c r="N30" s="28"/>
      <c r="O30" s="28"/>
      <c r="P30" s="29"/>
      <c r="Q30" s="28"/>
      <c r="S30" s="31">
        <f>IF(ISBLANK(H30),"",IF(IFERROR(EXACT(H30,'_key'!$A$1690),FALSE),"✓","✗"))</f>
        <v>0</v>
      </c>
      <c r="T30" s="31">
        <f>IF(ISBLANK(I30),"",IF(IFERROR(EXACT(I30,'_key'!$A$1691),FALSE),"✓","✗"))</f>
        <v>0</v>
      </c>
      <c r="U30" s="31">
        <f>IF(ISBLANK(J30),"",IF(IFERROR(EXACT(J30,'_key'!$A$1692),FALSE),"✓","✗"))</f>
        <v>0</v>
      </c>
      <c r="V30" s="31">
        <f>IF(ISBLANK(K30),"",IF(IFERROR(ABS(K30-'_key'!$A$1693)&lt;=0.01,FALSE),"✓","✗"))</f>
        <v>0</v>
      </c>
      <c r="W30" s="31">
        <f>IF(ISBLANK(L30),"",IF(IFERROR(ABS(L30-'_key'!$A$1694)&lt;=0.01,FALSE),"✓","✗"))</f>
        <v>0</v>
      </c>
      <c r="X30" s="31">
        <f>IF(ISBLANK(M30),"",IF(IFERROR(EXACT(M30,'_key'!$A$1695),FALSE),"✓","✗"))</f>
        <v>0</v>
      </c>
      <c r="Y30" s="31">
        <f>IF(ISBLANK(N30),"",IF(IFERROR(EXACT(N30,'_key'!$A$1696),FALSE),"✓","✗"))</f>
        <v>0</v>
      </c>
      <c r="Z30" s="31">
        <f>IF(ISBLANK(O30),"",IF(IFERROR(EXACT(O30,'_key'!$A$1697),FALSE),"✓","✗"))</f>
        <v>0</v>
      </c>
      <c r="AA30" s="31">
        <f>IF(ISBLANK(P30),"",IF(IFERROR(ABS(P30-'_key'!$A$1698)&lt;=0.01,FALSE),"✓","✗"))</f>
        <v>0</v>
      </c>
      <c r="AB30" s="31">
        <f>IF(ISBLANK(Q30),"",IF(IFERROR(ABS(Q30-'_key'!$A$1699)&lt;=0.01,FALSE),"✓","✗"))</f>
        <v>0</v>
      </c>
    </row>
    <row r="31" spans="1:32">
      <c r="A31" s="47" t="s">
        <v>5641</v>
      </c>
      <c r="B31" s="47" t="s">
        <v>307</v>
      </c>
      <c r="C31" s="47" t="s">
        <v>25</v>
      </c>
      <c r="D31" s="47" t="s">
        <v>5642</v>
      </c>
      <c r="E31" s="47" t="s">
        <v>5643</v>
      </c>
      <c r="F31" s="47" t="s">
        <v>5549</v>
      </c>
      <c r="H31" s="28"/>
      <c r="I31" s="28"/>
      <c r="J31" s="28"/>
      <c r="K31" s="29"/>
      <c r="L31" s="36"/>
      <c r="M31" s="28"/>
      <c r="N31" s="28"/>
      <c r="O31" s="28"/>
      <c r="P31" s="29"/>
      <c r="Q31" s="28"/>
      <c r="S31" s="31">
        <f>IF(ISBLANK(H31),"",IF(IFERROR(EXACT(H31,'_key'!$A$1700),FALSE),"✓","✗"))</f>
        <v>0</v>
      </c>
      <c r="T31" s="31">
        <f>IF(ISBLANK(I31),"",IF(IFERROR(EXACT(I31,'_key'!$A$1701),FALSE),"✓","✗"))</f>
        <v>0</v>
      </c>
      <c r="U31" s="31">
        <f>IF(ISBLANK(J31),"",IF(IFERROR(EXACT(J31,'_key'!$A$1702),FALSE),"✓","✗"))</f>
        <v>0</v>
      </c>
      <c r="V31" s="31">
        <f>IF(ISBLANK(K31),"",IF(IFERROR(ABS(K31-'_key'!$A$1703)&lt;=0.01,FALSE),"✓","✗"))</f>
        <v>0</v>
      </c>
      <c r="W31" s="31">
        <f>IF(ISBLANK(L31),"",IF(IFERROR(ABS(L31-'_key'!$A$1704)&lt;=0.01,FALSE),"✓","✗"))</f>
        <v>0</v>
      </c>
      <c r="X31" s="31">
        <f>IF(ISBLANK(M31),"",IF(IFERROR(EXACT(M31,'_key'!$A$1705),FALSE),"✓","✗"))</f>
        <v>0</v>
      </c>
      <c r="Y31" s="31">
        <f>IF(ISBLANK(N31),"",IF(IFERROR(EXACT(N31,'_key'!$A$1706),FALSE),"✓","✗"))</f>
        <v>0</v>
      </c>
      <c r="Z31" s="31">
        <f>IF(ISBLANK(O31),"",IF(IFERROR(EXACT(O31,'_key'!$A$1707),FALSE),"✓","✗"))</f>
        <v>0</v>
      </c>
      <c r="AA31" s="31">
        <f>IF(ISBLANK(P31),"",IF(IFERROR(ABS(P31-'_key'!$A$1708)&lt;=0.01,FALSE),"✓","✗"))</f>
        <v>0</v>
      </c>
      <c r="AB31" s="31">
        <f>IF(ISBLANK(Q31),"",IF(IFERROR(ABS(Q31-'_key'!$A$1709)&lt;=0.01,FALSE),"✓","✗"))</f>
        <v>0</v>
      </c>
    </row>
    <row r="32" spans="1:32">
      <c r="A32" s="47" t="s">
        <v>51</v>
      </c>
      <c r="B32" s="47" t="s">
        <v>5644</v>
      </c>
      <c r="C32" s="47" t="s">
        <v>5597</v>
      </c>
      <c r="D32" s="47" t="s">
        <v>5645</v>
      </c>
      <c r="E32" s="47" t="s">
        <v>5646</v>
      </c>
      <c r="F32" s="47" t="s">
        <v>5549</v>
      </c>
      <c r="H32" s="28"/>
      <c r="I32" s="28"/>
      <c r="J32" s="28"/>
      <c r="K32" s="29"/>
      <c r="L32" s="36"/>
      <c r="M32" s="28"/>
      <c r="N32" s="28"/>
      <c r="O32" s="28"/>
      <c r="P32" s="29"/>
      <c r="Q32" s="28"/>
      <c r="S32" s="31">
        <f>IF(ISBLANK(H32),"",IF(IFERROR(EXACT(H32,'_key'!$A$1710),FALSE),"✓","✗"))</f>
        <v>0</v>
      </c>
      <c r="T32" s="31">
        <f>IF(ISBLANK(I32),"",IF(IFERROR(EXACT(I32,'_key'!$A$1711),FALSE),"✓","✗"))</f>
        <v>0</v>
      </c>
      <c r="U32" s="31">
        <f>IF(ISBLANK(J32),"",IF(IFERROR(EXACT(J32,'_key'!$A$1712),FALSE),"✓","✗"))</f>
        <v>0</v>
      </c>
      <c r="V32" s="31">
        <f>IF(ISBLANK(K32),"",IF(IFERROR(ABS(K32-'_key'!$A$1713)&lt;=0.01,FALSE),"✓","✗"))</f>
        <v>0</v>
      </c>
      <c r="W32" s="31">
        <f>IF(ISBLANK(L32),"",IF(IFERROR(ABS(L32-'_key'!$A$1714)&lt;=0.01,FALSE),"✓","✗"))</f>
        <v>0</v>
      </c>
      <c r="X32" s="31">
        <f>IF(ISBLANK(M32),"",IF(IFERROR(EXACT(M32,'_key'!$A$1715),FALSE),"✓","✗"))</f>
        <v>0</v>
      </c>
      <c r="Y32" s="31">
        <f>IF(ISBLANK(N32),"",IF(IFERROR(EXACT(N32,'_key'!$A$1716),FALSE),"✓","✗"))</f>
        <v>0</v>
      </c>
      <c r="Z32" s="31">
        <f>IF(ISBLANK(O32),"",IF(IFERROR(EXACT(O32,'_key'!$A$1717),FALSE),"✓","✗"))</f>
        <v>0</v>
      </c>
      <c r="AA32" s="31">
        <f>IF(ISBLANK(P32),"",IF(IFERROR(ABS(P32-'_key'!$A$1718)&lt;=0.01,FALSE),"✓","✗"))</f>
        <v>0</v>
      </c>
      <c r="AB32" s="31">
        <f>IF(ISBLANK(Q32),"",IF(IFERROR(ABS(Q32-'_key'!$A$1719)&lt;=0.01,FALSE),"✓","✗"))</f>
        <v>0</v>
      </c>
    </row>
    <row r="33" spans="1:28">
      <c r="A33" s="47" t="s">
        <v>5647</v>
      </c>
      <c r="B33" s="47" t="s">
        <v>5648</v>
      </c>
      <c r="C33" s="47" t="s">
        <v>37</v>
      </c>
      <c r="D33" s="47" t="s">
        <v>5631</v>
      </c>
      <c r="E33" s="47" t="s">
        <v>5649</v>
      </c>
      <c r="F33" s="47" t="s">
        <v>5633</v>
      </c>
      <c r="H33" s="28"/>
      <c r="I33" s="28"/>
      <c r="J33" s="28"/>
      <c r="K33" s="29"/>
      <c r="L33" s="36"/>
      <c r="M33" s="28"/>
      <c r="N33" s="28"/>
      <c r="O33" s="28"/>
      <c r="P33" s="29"/>
      <c r="Q33" s="28"/>
      <c r="S33" s="31">
        <f>IF(ISBLANK(H33),"",IF(IFERROR(EXACT(H33,'_key'!$A$1720),FALSE),"✓","✗"))</f>
        <v>0</v>
      </c>
      <c r="T33" s="31">
        <f>IF(ISBLANK(I33),"",IF(IFERROR(EXACT(I33,'_key'!$A$1721),FALSE),"✓","✗"))</f>
        <v>0</v>
      </c>
      <c r="U33" s="31">
        <f>IF(ISBLANK(J33),"",IF(IFERROR(EXACT(J33,'_key'!$A$1722),FALSE),"✓","✗"))</f>
        <v>0</v>
      </c>
      <c r="V33" s="31">
        <f>IF(ISBLANK(K33),"",IF(IFERROR(ABS(K33-'_key'!$A$1723)&lt;=0.01,FALSE),"✓","✗"))</f>
        <v>0</v>
      </c>
      <c r="W33" s="31">
        <f>IF(ISBLANK(L33),"",IF(IFERROR(ABS(L33-'_key'!$A$1724)&lt;=0.01,FALSE),"✓","✗"))</f>
        <v>0</v>
      </c>
      <c r="X33" s="31">
        <f>IF(ISBLANK(M33),"",IF(IFERROR(EXACT(M33,'_key'!$A$1725),FALSE),"✓","✗"))</f>
        <v>0</v>
      </c>
      <c r="Y33" s="31">
        <f>IF(ISBLANK(N33),"",IF(IFERROR(EXACT(N33,'_key'!$A$1726),FALSE),"✓","✗"))</f>
        <v>0</v>
      </c>
      <c r="Z33" s="31">
        <f>IF(ISBLANK(O33),"",IF(IFERROR(EXACT(O33,'_key'!$A$1727),FALSE),"✓","✗"))</f>
        <v>0</v>
      </c>
      <c r="AA33" s="31">
        <f>IF(ISBLANK(P33),"",IF(IFERROR(ABS(P33-'_key'!$A$1728)&lt;=0.01,FALSE),"✓","✗"))</f>
        <v>0</v>
      </c>
      <c r="AB33" s="31">
        <f>IF(ISBLANK(Q33),"",IF(IFERROR(ABS(Q33-'_key'!$A$1729)&lt;=0.01,FALSE),"✓","✗"))</f>
        <v>0</v>
      </c>
    </row>
    <row r="34" spans="1:28">
      <c r="A34" s="47" t="s">
        <v>5650</v>
      </c>
      <c r="B34" s="47" t="s">
        <v>5651</v>
      </c>
      <c r="C34" s="47" t="s">
        <v>16</v>
      </c>
      <c r="D34" s="47" t="s">
        <v>5652</v>
      </c>
      <c r="E34" s="47" t="s">
        <v>5653</v>
      </c>
      <c r="F34" s="47" t="s">
        <v>5637</v>
      </c>
      <c r="H34" s="28"/>
      <c r="I34" s="28"/>
      <c r="J34" s="28"/>
      <c r="K34" s="29"/>
      <c r="L34" s="36"/>
      <c r="M34" s="28"/>
      <c r="N34" s="28"/>
      <c r="O34" s="28"/>
      <c r="P34" s="29"/>
      <c r="Q34" s="28"/>
      <c r="S34" s="31">
        <f>IF(ISBLANK(H34),"",IF(IFERROR(EXACT(H34,'_key'!$A$1730),FALSE),"✓","✗"))</f>
        <v>0</v>
      </c>
      <c r="T34" s="31">
        <f>IF(ISBLANK(I34),"",IF(IFERROR(EXACT(I34,'_key'!$A$1731),FALSE),"✓","✗"))</f>
        <v>0</v>
      </c>
      <c r="U34" s="31">
        <f>IF(ISBLANK(J34),"",IF(IFERROR(EXACT(J34,'_key'!$A$1732),FALSE),"✓","✗"))</f>
        <v>0</v>
      </c>
      <c r="V34" s="31">
        <f>IF(ISBLANK(K34),"",IF(IFERROR(ABS(K34-'_key'!$A$1733)&lt;=0.01,FALSE),"✓","✗"))</f>
        <v>0</v>
      </c>
      <c r="W34" s="31">
        <f>IF(ISBLANK(L34),"",IF(IFERROR(ABS(L34-'_key'!$A$1734)&lt;=0.01,FALSE),"✓","✗"))</f>
        <v>0</v>
      </c>
      <c r="X34" s="31">
        <f>IF(ISBLANK(M34),"",IF(IFERROR(EXACT(M34,'_key'!$A$1735),FALSE),"✓","✗"))</f>
        <v>0</v>
      </c>
      <c r="Y34" s="31">
        <f>IF(ISBLANK(N34),"",IF(IFERROR(EXACT(N34,'_key'!$A$1736),FALSE),"✓","✗"))</f>
        <v>0</v>
      </c>
      <c r="Z34" s="31">
        <f>IF(ISBLANK(O34),"",IF(IFERROR(EXACT(O34,'_key'!$A$1737),FALSE),"✓","✗"))</f>
        <v>0</v>
      </c>
      <c r="AA34" s="31">
        <f>IF(ISBLANK(P34),"",IF(IFERROR(ABS(P34-'_key'!$A$1738)&lt;=0.01,FALSE),"✓","✗"))</f>
        <v>0</v>
      </c>
      <c r="AB34" s="31">
        <f>IF(ISBLANK(Q34),"",IF(IFERROR(ABS(Q34-'_key'!$A$1739)&lt;=0.01,FALSE),"✓","✗"))</f>
        <v>0</v>
      </c>
    </row>
    <row r="35" spans="1:28">
      <c r="A35" s="47" t="s">
        <v>5654</v>
      </c>
      <c r="B35" s="47" t="s">
        <v>5655</v>
      </c>
      <c r="C35" s="47" t="s">
        <v>5573</v>
      </c>
      <c r="D35" s="47" t="s">
        <v>5656</v>
      </c>
      <c r="E35" s="47" t="s">
        <v>5657</v>
      </c>
      <c r="F35" s="47" t="s">
        <v>358</v>
      </c>
      <c r="H35" s="28"/>
      <c r="I35" s="28"/>
      <c r="J35" s="28"/>
      <c r="K35" s="29"/>
      <c r="L35" s="36"/>
      <c r="M35" s="28"/>
      <c r="N35" s="28"/>
      <c r="O35" s="28"/>
      <c r="P35" s="29"/>
      <c r="Q35" s="28"/>
      <c r="S35" s="31">
        <f>IF(ISBLANK(H35),"",IF(IFERROR(EXACT(H35,'_key'!$A$1740),FALSE),"✓","✗"))</f>
        <v>0</v>
      </c>
      <c r="T35" s="31">
        <f>IF(ISBLANK(I35),"",IF(IFERROR(EXACT(I35,'_key'!$A$1741),FALSE),"✓","✗"))</f>
        <v>0</v>
      </c>
      <c r="U35" s="31">
        <f>IF(ISBLANK(J35),"",IF(IFERROR(EXACT(J35,'_key'!$A$1742),FALSE),"✓","✗"))</f>
        <v>0</v>
      </c>
      <c r="V35" s="31">
        <f>IF(ISBLANK(K35),"",IF(IFERROR(ABS(K35-'_key'!$A$1743)&lt;=0.01,FALSE),"✓","✗"))</f>
        <v>0</v>
      </c>
      <c r="W35" s="31">
        <f>IF(ISBLANK(L35),"",IF(IFERROR(ABS(L35-'_key'!$A$1744)&lt;=0.01,FALSE),"✓","✗"))</f>
        <v>0</v>
      </c>
      <c r="X35" s="31">
        <f>IF(ISBLANK(M35),"",IF(IFERROR(EXACT(M35,'_key'!$A$1745),FALSE),"✓","✗"))</f>
        <v>0</v>
      </c>
      <c r="Y35" s="31">
        <f>IF(ISBLANK(N35),"",IF(IFERROR(EXACT(N35,'_key'!$A$1746),FALSE),"✓","✗"))</f>
        <v>0</v>
      </c>
      <c r="Z35" s="31">
        <f>IF(ISBLANK(O35),"",IF(IFERROR(EXACT(O35,'_key'!$A$1747),FALSE),"✓","✗"))</f>
        <v>0</v>
      </c>
      <c r="AA35" s="31">
        <f>IF(ISBLANK(P35),"",IF(IFERROR(ABS(P35-'_key'!$A$1748)&lt;=0.01,FALSE),"✓","✗"))</f>
        <v>0</v>
      </c>
      <c r="AB35" s="31">
        <f>IF(ISBLANK(Q35),"",IF(IFERROR(ABS(Q35-'_key'!$A$1749)&lt;=0.01,FALSE),"✓","✗"))</f>
        <v>0</v>
      </c>
    </row>
    <row r="36" spans="1:28">
      <c r="A36" s="47" t="s">
        <v>198</v>
      </c>
      <c r="B36" s="47" t="s">
        <v>5658</v>
      </c>
      <c r="C36" s="47" t="s">
        <v>5659</v>
      </c>
      <c r="D36" s="47" t="s">
        <v>5660</v>
      </c>
      <c r="E36" s="47" t="s">
        <v>5661</v>
      </c>
      <c r="F36" s="47" t="s">
        <v>5662</v>
      </c>
      <c r="H36" s="28"/>
      <c r="I36" s="28"/>
      <c r="J36" s="28"/>
      <c r="K36" s="29"/>
      <c r="L36" s="36"/>
      <c r="M36" s="28"/>
      <c r="N36" s="28"/>
      <c r="O36" s="28"/>
      <c r="P36" s="29"/>
      <c r="Q36" s="28"/>
      <c r="S36" s="31">
        <f>IF(ISBLANK(H36),"",IF(IFERROR(EXACT(H36,'_key'!$A$1750),FALSE),"✓","✗"))</f>
        <v>0</v>
      </c>
      <c r="T36" s="31">
        <f>IF(ISBLANK(I36),"",IF(IFERROR(EXACT(I36,'_key'!$A$1751),FALSE),"✓","✗"))</f>
        <v>0</v>
      </c>
      <c r="U36" s="31">
        <f>IF(ISBLANK(J36),"",IF(IFERROR(EXACT(J36,'_key'!$A$1752),FALSE),"✓","✗"))</f>
        <v>0</v>
      </c>
      <c r="V36" s="31">
        <f>IF(ISBLANK(K36),"",IF(IFERROR(ABS(K36-'_key'!$A$1753)&lt;=0.01,FALSE),"✓","✗"))</f>
        <v>0</v>
      </c>
      <c r="W36" s="31">
        <f>IF(ISBLANK(L36),"",IF(IFERROR(ABS(L36-'_key'!$A$1754)&lt;=0.01,FALSE),"✓","✗"))</f>
        <v>0</v>
      </c>
      <c r="X36" s="31">
        <f>IF(ISBLANK(M36),"",IF(IFERROR(EXACT(M36,'_key'!$A$1755),FALSE),"✓","✗"))</f>
        <v>0</v>
      </c>
      <c r="Y36" s="31">
        <f>IF(ISBLANK(N36),"",IF(IFERROR(EXACT(N36,'_key'!$A$1756),FALSE),"✓","✗"))</f>
        <v>0</v>
      </c>
      <c r="Z36" s="31">
        <f>IF(ISBLANK(O36),"",IF(IFERROR(EXACT(O36,'_key'!$A$1757),FALSE),"✓","✗"))</f>
        <v>0</v>
      </c>
      <c r="AA36" s="31">
        <f>IF(ISBLANK(P36),"",IF(IFERROR(ABS(P36-'_key'!$A$1758)&lt;=0.01,FALSE),"✓","✗"))</f>
        <v>0</v>
      </c>
      <c r="AB36" s="31">
        <f>IF(ISBLANK(Q36),"",IF(IFERROR(ABS(Q36-'_key'!$A$1759)&lt;=0.01,FALSE),"✓","✗"))</f>
        <v>0</v>
      </c>
    </row>
    <row r="37" spans="1:28">
      <c r="A37" s="47" t="s">
        <v>98</v>
      </c>
      <c r="B37" s="47" t="s">
        <v>99</v>
      </c>
      <c r="C37" s="47" t="s">
        <v>5597</v>
      </c>
      <c r="D37" s="47" t="s">
        <v>5663</v>
      </c>
      <c r="E37" s="47" t="s">
        <v>5664</v>
      </c>
      <c r="F37" s="47" t="s">
        <v>356</v>
      </c>
      <c r="H37" s="28"/>
      <c r="I37" s="28"/>
      <c r="J37" s="28"/>
      <c r="K37" s="29"/>
      <c r="L37" s="36"/>
      <c r="M37" s="28"/>
      <c r="N37" s="28"/>
      <c r="O37" s="28"/>
      <c r="P37" s="29"/>
      <c r="Q37" s="28"/>
      <c r="S37" s="31">
        <f>IF(ISBLANK(H37),"",IF(IFERROR(EXACT(H37,'_key'!$A$1760),FALSE),"✓","✗"))</f>
        <v>0</v>
      </c>
      <c r="T37" s="31">
        <f>IF(ISBLANK(I37),"",IF(IFERROR(EXACT(I37,'_key'!$A$1761),FALSE),"✓","✗"))</f>
        <v>0</v>
      </c>
      <c r="U37" s="31">
        <f>IF(ISBLANK(J37),"",IF(IFERROR(EXACT(J37,'_key'!$A$1762),FALSE),"✓","✗"))</f>
        <v>0</v>
      </c>
      <c r="V37" s="31">
        <f>IF(ISBLANK(K37),"",IF(IFERROR(ABS(K37-'_key'!$A$1763)&lt;=0.01,FALSE),"✓","✗"))</f>
        <v>0</v>
      </c>
      <c r="W37" s="31">
        <f>IF(ISBLANK(L37),"",IF(IFERROR(ABS(L37-'_key'!$A$1764)&lt;=0.01,FALSE),"✓","✗"))</f>
        <v>0</v>
      </c>
      <c r="X37" s="31">
        <f>IF(ISBLANK(M37),"",IF(IFERROR(EXACT(M37,'_key'!$A$1765),FALSE),"✓","✗"))</f>
        <v>0</v>
      </c>
      <c r="Y37" s="31">
        <f>IF(ISBLANK(N37),"",IF(IFERROR(EXACT(N37,'_key'!$A$1766),FALSE),"✓","✗"))</f>
        <v>0</v>
      </c>
      <c r="Z37" s="31">
        <f>IF(ISBLANK(O37),"",IF(IFERROR(EXACT(O37,'_key'!$A$1767),FALSE),"✓","✗"))</f>
        <v>0</v>
      </c>
      <c r="AA37" s="31">
        <f>IF(ISBLANK(P37),"",IF(IFERROR(ABS(P37-'_key'!$A$1768)&lt;=0.01,FALSE),"✓","✗"))</f>
        <v>0</v>
      </c>
      <c r="AB37" s="31">
        <f>IF(ISBLANK(Q37),"",IF(IFERROR(ABS(Q37-'_key'!$A$1769)&lt;=0.01,FALSE),"✓","✗"))</f>
        <v>0</v>
      </c>
    </row>
    <row r="38" spans="1:28">
      <c r="A38" s="47" t="s">
        <v>5665</v>
      </c>
      <c r="B38" s="47" t="s">
        <v>5666</v>
      </c>
      <c r="C38" s="47" t="s">
        <v>5667</v>
      </c>
      <c r="D38" s="47" t="s">
        <v>5668</v>
      </c>
      <c r="E38" s="47" t="s">
        <v>5669</v>
      </c>
      <c r="F38" s="47" t="s">
        <v>353</v>
      </c>
      <c r="H38" s="28"/>
      <c r="I38" s="28"/>
      <c r="J38" s="28"/>
      <c r="K38" s="29"/>
      <c r="L38" s="36"/>
      <c r="M38" s="28"/>
      <c r="N38" s="28"/>
      <c r="O38" s="28"/>
      <c r="P38" s="29"/>
      <c r="Q38" s="28"/>
      <c r="S38" s="31">
        <f>IF(ISBLANK(H38),"",IF(IFERROR(EXACT(H38,'_key'!$A$1770),FALSE),"✓","✗"))</f>
        <v>0</v>
      </c>
      <c r="T38" s="31">
        <f>IF(ISBLANK(I38),"",IF(IFERROR(EXACT(I38,'_key'!$A$1771),FALSE),"✓","✗"))</f>
        <v>0</v>
      </c>
      <c r="U38" s="31">
        <f>IF(ISBLANK(J38),"",IF(IFERROR(EXACT(J38,'_key'!$A$1772),FALSE),"✓","✗"))</f>
        <v>0</v>
      </c>
      <c r="V38" s="31">
        <f>IF(ISBLANK(K38),"",IF(IFERROR(ABS(K38-'_key'!$A$1773)&lt;=0.01,FALSE),"✓","✗"))</f>
        <v>0</v>
      </c>
      <c r="W38" s="31">
        <f>IF(ISBLANK(L38),"",IF(IFERROR(ABS(L38-'_key'!$A$1774)&lt;=0.01,FALSE),"✓","✗"))</f>
        <v>0</v>
      </c>
      <c r="X38" s="31">
        <f>IF(ISBLANK(M38),"",IF(IFERROR(EXACT(M38,'_key'!$A$1775),FALSE),"✓","✗"))</f>
        <v>0</v>
      </c>
      <c r="Y38" s="31">
        <f>IF(ISBLANK(N38),"",IF(IFERROR(EXACT(N38,'_key'!$A$1776),FALSE),"✓","✗"))</f>
        <v>0</v>
      </c>
      <c r="Z38" s="31">
        <f>IF(ISBLANK(O38),"",IF(IFERROR(EXACT(O38,'_key'!$A$1777),FALSE),"✓","✗"))</f>
        <v>0</v>
      </c>
      <c r="AA38" s="31">
        <f>IF(ISBLANK(P38),"",IF(IFERROR(EXACT(P38,'_key'!$A$1778),FALSE),"✓","✗"))</f>
        <v>0</v>
      </c>
      <c r="AB38" s="31">
        <f>IF(ISBLANK(Q38),"",IF(IFERROR(ABS(Q38-'_key'!$A$1779)&lt;=0.01,FALSE),"✓","✗"))</f>
        <v>0</v>
      </c>
    </row>
    <row r="39" spans="1:28">
      <c r="A39" s="47" t="s">
        <v>104</v>
      </c>
      <c r="B39" s="47" t="s">
        <v>5671</v>
      </c>
      <c r="C39" s="47" t="s">
        <v>5566</v>
      </c>
      <c r="D39" s="47" t="s">
        <v>5672</v>
      </c>
      <c r="E39" s="47" t="s">
        <v>5673</v>
      </c>
      <c r="F39" s="47" t="s">
        <v>5674</v>
      </c>
      <c r="H39" s="28"/>
      <c r="I39" s="28"/>
      <c r="J39" s="28"/>
      <c r="K39" s="29"/>
      <c r="L39" s="36"/>
      <c r="M39" s="28"/>
      <c r="N39" s="28"/>
      <c r="O39" s="28"/>
      <c r="P39" s="29"/>
      <c r="Q39" s="28"/>
      <c r="S39" s="31">
        <f>IF(ISBLANK(H39),"",IF(IFERROR(EXACT(H39,'_key'!$A$1780),FALSE),"✓","✗"))</f>
        <v>0</v>
      </c>
      <c r="T39" s="31">
        <f>IF(ISBLANK(I39),"",IF(IFERROR(EXACT(I39,'_key'!$A$1781),FALSE),"✓","✗"))</f>
        <v>0</v>
      </c>
      <c r="U39" s="31">
        <f>IF(ISBLANK(J39),"",IF(IFERROR(EXACT(J39,'_key'!$A$1782),FALSE),"✓","✗"))</f>
        <v>0</v>
      </c>
      <c r="V39" s="31">
        <f>IF(ISBLANK(K39),"",IF(IFERROR(ABS(K39-'_key'!$A$1783)&lt;=0.01,FALSE),"✓","✗"))</f>
        <v>0</v>
      </c>
      <c r="W39" s="31">
        <f>IF(ISBLANK(L39),"",IF(IFERROR(ABS(L39-'_key'!$A$1784)&lt;=0.01,FALSE),"✓","✗"))</f>
        <v>0</v>
      </c>
      <c r="X39" s="31">
        <f>IF(ISBLANK(M39),"",IF(IFERROR(EXACT(M39,'_key'!$A$1785),FALSE),"✓","✗"))</f>
        <v>0</v>
      </c>
      <c r="Y39" s="31">
        <f>IF(ISBLANK(N39),"",IF(IFERROR(EXACT(N39,'_key'!$A$1786),FALSE),"✓","✗"))</f>
        <v>0</v>
      </c>
      <c r="Z39" s="31">
        <f>IF(ISBLANK(O39),"",IF(IFERROR(EXACT(O39,'_key'!$A$1787),FALSE),"✓","✗"))</f>
        <v>0</v>
      </c>
      <c r="AA39" s="31">
        <f>IF(ISBLANK(P39),"",IF(IFERROR(ABS(P39-'_key'!$A$1788)&lt;=0.01,FALSE),"✓","✗"))</f>
        <v>0</v>
      </c>
      <c r="AB39" s="31">
        <f>IF(ISBLANK(Q39),"",IF(IFERROR(ABS(Q39-'_key'!$A$1789)&lt;=0.01,FALSE),"✓","✗"))</f>
        <v>0</v>
      </c>
    </row>
    <row r="40" spans="1:28">
      <c r="A40" s="47" t="s">
        <v>5675</v>
      </c>
      <c r="B40" s="47" t="s">
        <v>5676</v>
      </c>
      <c r="C40" s="47" t="s">
        <v>5573</v>
      </c>
      <c r="D40" s="47" t="s">
        <v>5677</v>
      </c>
      <c r="E40" s="47" t="s">
        <v>5678</v>
      </c>
      <c r="F40" s="47" t="s">
        <v>363</v>
      </c>
      <c r="H40" s="28"/>
      <c r="I40" s="28"/>
      <c r="J40" s="28"/>
      <c r="K40" s="29"/>
      <c r="L40" s="36"/>
      <c r="M40" s="28"/>
      <c r="N40" s="28"/>
      <c r="O40" s="28"/>
      <c r="P40" s="29"/>
      <c r="Q40" s="28"/>
      <c r="S40" s="31">
        <f>IF(ISBLANK(H40),"",IF(IFERROR(EXACT(H40,'_key'!$A$1790),FALSE),"✓","✗"))</f>
        <v>0</v>
      </c>
      <c r="T40" s="31">
        <f>IF(ISBLANK(I40),"",IF(IFERROR(EXACT(I40,'_key'!$A$1791),FALSE),"✓","✗"))</f>
        <v>0</v>
      </c>
      <c r="U40" s="31">
        <f>IF(ISBLANK(J40),"",IF(IFERROR(EXACT(J40,'_key'!$A$1792),FALSE),"✓","✗"))</f>
        <v>0</v>
      </c>
      <c r="V40" s="31">
        <f>IF(ISBLANK(K40),"",IF(IFERROR(ABS(K40-'_key'!$A$1793)&lt;=0.01,FALSE),"✓","✗"))</f>
        <v>0</v>
      </c>
      <c r="W40" s="31">
        <f>IF(ISBLANK(L40),"",IF(IFERROR(ABS(L40-'_key'!$A$1794)&lt;=0.01,FALSE),"✓","✗"))</f>
        <v>0</v>
      </c>
      <c r="X40" s="31">
        <f>IF(ISBLANK(M40),"",IF(IFERROR(EXACT(M40,'_key'!$A$1795),FALSE),"✓","✗"))</f>
        <v>0</v>
      </c>
      <c r="Y40" s="31">
        <f>IF(ISBLANK(N40),"",IF(IFERROR(EXACT(N40,'_key'!$A$1796),FALSE),"✓","✗"))</f>
        <v>0</v>
      </c>
      <c r="Z40" s="31">
        <f>IF(ISBLANK(O40),"",IF(IFERROR(EXACT(O40,'_key'!$A$1797),FALSE),"✓","✗"))</f>
        <v>0</v>
      </c>
      <c r="AA40" s="31">
        <f>IF(ISBLANK(P40),"",IF(IFERROR(ABS(P40-'_key'!$A$1798)&lt;=0.01,FALSE),"✓","✗"))</f>
        <v>0</v>
      </c>
      <c r="AB40" s="31">
        <f>IF(ISBLANK(Q40),"",IF(IFERROR(ABS(Q40-'_key'!$A$1799)&lt;=0.01,FALSE),"✓","✗"))</f>
        <v>0</v>
      </c>
    </row>
    <row r="41" spans="1:28">
      <c r="A41" s="47" t="s">
        <v>5679</v>
      </c>
      <c r="B41" s="47" t="s">
        <v>5680</v>
      </c>
      <c r="C41" s="47" t="s">
        <v>5541</v>
      </c>
      <c r="D41" s="47" t="s">
        <v>5681</v>
      </c>
      <c r="E41" s="47" t="s">
        <v>5586</v>
      </c>
      <c r="F41" s="47" t="s">
        <v>5549</v>
      </c>
      <c r="H41" s="28"/>
      <c r="I41" s="28"/>
      <c r="J41" s="28"/>
      <c r="K41" s="29"/>
      <c r="L41" s="36"/>
      <c r="M41" s="28"/>
      <c r="N41" s="28"/>
      <c r="O41" s="28"/>
      <c r="P41" s="29"/>
      <c r="Q41" s="28"/>
      <c r="S41" s="31">
        <f>IF(ISBLANK(H41),"",IF(IFERROR(EXACT(H41,'_key'!$A$1800),FALSE),"✓","✗"))</f>
        <v>0</v>
      </c>
      <c r="T41" s="31">
        <f>IF(ISBLANK(I41),"",IF(IFERROR(EXACT(I41,'_key'!$A$1801),FALSE),"✓","✗"))</f>
        <v>0</v>
      </c>
      <c r="U41" s="31">
        <f>IF(ISBLANK(J41),"",IF(IFERROR(EXACT(J41,'_key'!$A$1802),FALSE),"✓","✗"))</f>
        <v>0</v>
      </c>
      <c r="V41" s="31">
        <f>IF(ISBLANK(K41),"",IF(IFERROR(ABS(K41-'_key'!$A$1803)&lt;=0.01,FALSE),"✓","✗"))</f>
        <v>0</v>
      </c>
      <c r="W41" s="31">
        <f>IF(ISBLANK(L41),"",IF(IFERROR(ABS(L41-'_key'!$A$1804)&lt;=0.01,FALSE),"✓","✗"))</f>
        <v>0</v>
      </c>
      <c r="X41" s="31">
        <f>IF(ISBLANK(M41),"",IF(IFERROR(EXACT(M41,'_key'!$A$1805),FALSE),"✓","✗"))</f>
        <v>0</v>
      </c>
      <c r="Y41" s="31">
        <f>IF(ISBLANK(N41),"",IF(IFERROR(EXACT(N41,'_key'!$A$1806),FALSE),"✓","✗"))</f>
        <v>0</v>
      </c>
      <c r="Z41" s="31">
        <f>IF(ISBLANK(O41),"",IF(IFERROR(EXACT(O41,'_key'!$A$1807),FALSE),"✓","✗"))</f>
        <v>0</v>
      </c>
      <c r="AA41" s="31">
        <f>IF(ISBLANK(P41),"",IF(IFERROR(ABS(P41-'_key'!$A$1808)&lt;=0.01,FALSE),"✓","✗"))</f>
        <v>0</v>
      </c>
      <c r="AB41" s="31">
        <f>IF(ISBLANK(Q41),"",IF(IFERROR(ABS(Q41-'_key'!$A$1809)&lt;=0.01,FALSE),"✓","✗"))</f>
        <v>0</v>
      </c>
    </row>
    <row r="42" spans="1:28">
      <c r="A42" s="47" t="s">
        <v>5682</v>
      </c>
      <c r="B42" s="47" t="s">
        <v>5683</v>
      </c>
      <c r="C42" s="47" t="s">
        <v>5551</v>
      </c>
      <c r="D42" s="47" t="s">
        <v>5684</v>
      </c>
      <c r="E42" s="47" t="s">
        <v>5685</v>
      </c>
      <c r="F42" s="47" t="s">
        <v>5549</v>
      </c>
      <c r="H42" s="28"/>
      <c r="I42" s="28"/>
      <c r="J42" s="28"/>
      <c r="K42" s="29"/>
      <c r="L42" s="36"/>
      <c r="M42" s="28"/>
      <c r="N42" s="28"/>
      <c r="O42" s="28"/>
      <c r="P42" s="29"/>
      <c r="Q42" s="28"/>
      <c r="S42" s="31">
        <f>IF(ISBLANK(H42),"",IF(IFERROR(EXACT(H42,'_key'!$A$1810),FALSE),"✓","✗"))</f>
        <v>0</v>
      </c>
      <c r="T42" s="31">
        <f>IF(ISBLANK(I42),"",IF(IFERROR(EXACT(I42,'_key'!$A$1811),FALSE),"✓","✗"))</f>
        <v>0</v>
      </c>
      <c r="U42" s="31">
        <f>IF(ISBLANK(J42),"",IF(IFERROR(EXACT(J42,'_key'!$A$1812),FALSE),"✓","✗"))</f>
        <v>0</v>
      </c>
      <c r="V42" s="31">
        <f>IF(ISBLANK(K42),"",IF(IFERROR(ABS(K42-'_key'!$A$1813)&lt;=0.01,FALSE),"✓","✗"))</f>
        <v>0</v>
      </c>
      <c r="W42" s="31">
        <f>IF(ISBLANK(L42),"",IF(IFERROR(ABS(L42-'_key'!$A$1814)&lt;=0.01,FALSE),"✓","✗"))</f>
        <v>0</v>
      </c>
      <c r="X42" s="31">
        <f>IF(ISBLANK(M42),"",IF(IFERROR(EXACT(M42,'_key'!$A$1815),FALSE),"✓","✗"))</f>
        <v>0</v>
      </c>
      <c r="Y42" s="31">
        <f>IF(ISBLANK(N42),"",IF(IFERROR(EXACT(N42,'_key'!$A$1816),FALSE),"✓","✗"))</f>
        <v>0</v>
      </c>
      <c r="Z42" s="31">
        <f>IF(ISBLANK(O42),"",IF(IFERROR(EXACT(O42,'_key'!$A$1817),FALSE),"✓","✗"))</f>
        <v>0</v>
      </c>
      <c r="AA42" s="31">
        <f>IF(ISBLANK(P42),"",IF(IFERROR(ABS(P42-'_key'!$A$1818)&lt;=0.01,FALSE),"✓","✗"))</f>
        <v>0</v>
      </c>
      <c r="AB42" s="31">
        <f>IF(ISBLANK(Q42),"",IF(IFERROR(ABS(Q42-'_key'!$A$1819)&lt;=0.01,FALSE),"✓","✗"))</f>
        <v>0</v>
      </c>
    </row>
    <row r="43" spans="1:28">
      <c r="A43" s="47" t="s">
        <v>5686</v>
      </c>
      <c r="B43" s="47" t="s">
        <v>5615</v>
      </c>
      <c r="C43" s="47" t="s">
        <v>5551</v>
      </c>
      <c r="D43" s="47" t="s">
        <v>5616</v>
      </c>
      <c r="E43" s="47" t="s">
        <v>5617</v>
      </c>
      <c r="F43" s="47" t="s">
        <v>365</v>
      </c>
      <c r="H43" s="28"/>
      <c r="I43" s="28"/>
      <c r="J43" s="28"/>
      <c r="K43" s="29"/>
      <c r="L43" s="36"/>
      <c r="M43" s="28"/>
      <c r="N43" s="28"/>
      <c r="O43" s="28"/>
      <c r="P43" s="29"/>
      <c r="Q43" s="28"/>
      <c r="S43" s="31">
        <f>IF(ISBLANK(H43),"",IF(IFERROR(EXACT(H43,'_key'!$A$1820),FALSE),"✓","✗"))</f>
        <v>0</v>
      </c>
      <c r="T43" s="31">
        <f>IF(ISBLANK(I43),"",IF(IFERROR(EXACT(I43,'_key'!$A$1821),FALSE),"✓","✗"))</f>
        <v>0</v>
      </c>
      <c r="U43" s="31">
        <f>IF(ISBLANK(J43),"",IF(IFERROR(EXACT(J43,'_key'!$A$1822),FALSE),"✓","✗"))</f>
        <v>0</v>
      </c>
      <c r="V43" s="31">
        <f>IF(ISBLANK(K43),"",IF(IFERROR(ABS(K43-'_key'!$A$1823)&lt;=0.01,FALSE),"✓","✗"))</f>
        <v>0</v>
      </c>
      <c r="W43" s="31">
        <f>IF(ISBLANK(L43),"",IF(IFERROR(ABS(L43-'_key'!$A$1824)&lt;=0.01,FALSE),"✓","✗"))</f>
        <v>0</v>
      </c>
      <c r="X43" s="31">
        <f>IF(ISBLANK(M43),"",IF(IFERROR(EXACT(M43,'_key'!$A$1825),FALSE),"✓","✗"))</f>
        <v>0</v>
      </c>
      <c r="Y43" s="31">
        <f>IF(ISBLANK(N43),"",IF(IFERROR(EXACT(N43,'_key'!$A$1826),FALSE),"✓","✗"))</f>
        <v>0</v>
      </c>
      <c r="Z43" s="31">
        <f>IF(ISBLANK(O43),"",IF(IFERROR(EXACT(O43,'_key'!$A$1827),FALSE),"✓","✗"))</f>
        <v>0</v>
      </c>
      <c r="AA43" s="31">
        <f>IF(ISBLANK(P43),"",IF(IFERROR(ABS(P43-'_key'!$A$1828)&lt;=0.01,FALSE),"✓","✗"))</f>
        <v>0</v>
      </c>
      <c r="AB43" s="31">
        <f>IF(ISBLANK(Q43),"",IF(IFERROR(ABS(Q43-'_key'!$A$1829)&lt;=0.01,FALSE),"✓","✗"))</f>
        <v>0</v>
      </c>
    </row>
    <row r="44" spans="1:28">
      <c r="A44" s="47" t="s">
        <v>5687</v>
      </c>
      <c r="B44" s="47" t="s">
        <v>5688</v>
      </c>
      <c r="C44" s="47" t="s">
        <v>5597</v>
      </c>
      <c r="D44" s="47" t="s">
        <v>5689</v>
      </c>
      <c r="E44" s="47" t="s">
        <v>5690</v>
      </c>
      <c r="F44" s="47" t="s">
        <v>353</v>
      </c>
      <c r="H44" s="28"/>
      <c r="I44" s="28"/>
      <c r="J44" s="28"/>
      <c r="K44" s="29"/>
      <c r="L44" s="36"/>
      <c r="M44" s="28"/>
      <c r="N44" s="28"/>
      <c r="O44" s="28"/>
      <c r="P44" s="29"/>
      <c r="Q44" s="28"/>
      <c r="S44" s="31">
        <f>IF(ISBLANK(H44),"",IF(IFERROR(EXACT(H44,'_key'!$A$1830),FALSE),"✓","✗"))</f>
        <v>0</v>
      </c>
      <c r="T44" s="31">
        <f>IF(ISBLANK(I44),"",IF(IFERROR(EXACT(I44,'_key'!$A$1831),FALSE),"✓","✗"))</f>
        <v>0</v>
      </c>
      <c r="U44" s="31">
        <f>IF(ISBLANK(J44),"",IF(IFERROR(EXACT(J44,'_key'!$A$1832),FALSE),"✓","✗"))</f>
        <v>0</v>
      </c>
      <c r="V44" s="31">
        <f>IF(ISBLANK(K44),"",IF(IFERROR(ABS(K44-'_key'!$A$1833)&lt;=0.01,FALSE),"✓","✗"))</f>
        <v>0</v>
      </c>
      <c r="W44" s="31">
        <f>IF(ISBLANK(L44),"",IF(IFERROR(ABS(L44-'_key'!$A$1834)&lt;=0.01,FALSE),"✓","✗"))</f>
        <v>0</v>
      </c>
      <c r="X44" s="31">
        <f>IF(ISBLANK(M44),"",IF(IFERROR(EXACT(M44,'_key'!$A$1835),FALSE),"✓","✗"))</f>
        <v>0</v>
      </c>
      <c r="Y44" s="31">
        <f>IF(ISBLANK(N44),"",IF(IFERROR(EXACT(N44,'_key'!$A$1836),FALSE),"✓","✗"))</f>
        <v>0</v>
      </c>
      <c r="Z44" s="31">
        <f>IF(ISBLANK(O44),"",IF(IFERROR(EXACT(O44,'_key'!$A$1837),FALSE),"✓","✗"))</f>
        <v>0</v>
      </c>
      <c r="AA44" s="31">
        <f>IF(ISBLANK(P44),"",IF(IFERROR(ABS(P44-'_key'!$A$1838)&lt;=0.01,FALSE),"✓","✗"))</f>
        <v>0</v>
      </c>
      <c r="AB44" s="31">
        <f>IF(ISBLANK(Q44),"",IF(IFERROR(ABS(Q44-'_key'!$A$1839)&lt;=0.01,FALSE),"✓","✗"))</f>
        <v>0</v>
      </c>
    </row>
    <row r="45" spans="1:28">
      <c r="A45" s="47" t="s">
        <v>212</v>
      </c>
      <c r="B45" s="47" t="s">
        <v>5691</v>
      </c>
      <c r="C45" s="47" t="s">
        <v>5551</v>
      </c>
      <c r="D45" s="47" t="s">
        <v>5692</v>
      </c>
      <c r="E45" s="47" t="s">
        <v>5693</v>
      </c>
      <c r="F45" s="47" t="s">
        <v>5694</v>
      </c>
      <c r="H45" s="28"/>
      <c r="I45" s="28"/>
      <c r="J45" s="28"/>
      <c r="K45" s="29"/>
      <c r="L45" s="36"/>
      <c r="M45" s="28"/>
      <c r="N45" s="28"/>
      <c r="O45" s="28"/>
      <c r="P45" s="29"/>
      <c r="Q45" s="28"/>
      <c r="S45" s="31">
        <f>IF(ISBLANK(H45),"",IF(IFERROR(EXACT(H45,'_key'!$A$1840),FALSE),"✓","✗"))</f>
        <v>0</v>
      </c>
      <c r="T45" s="31">
        <f>IF(ISBLANK(I45),"",IF(IFERROR(EXACT(I45,'_key'!$A$1841),FALSE),"✓","✗"))</f>
        <v>0</v>
      </c>
      <c r="U45" s="31">
        <f>IF(ISBLANK(J45),"",IF(IFERROR(EXACT(J45,'_key'!$A$1842),FALSE),"✓","✗"))</f>
        <v>0</v>
      </c>
      <c r="V45" s="31">
        <f>IF(ISBLANK(K45),"",IF(IFERROR(ABS(K45-'_key'!$A$1843)&lt;=0.01,FALSE),"✓","✗"))</f>
        <v>0</v>
      </c>
      <c r="W45" s="31">
        <f>IF(ISBLANK(L45),"",IF(IFERROR(ABS(L45-'_key'!$A$1844)&lt;=0.01,FALSE),"✓","✗"))</f>
        <v>0</v>
      </c>
      <c r="X45" s="31">
        <f>IF(ISBLANK(M45),"",IF(IFERROR(EXACT(M45,'_key'!$A$1845),FALSE),"✓","✗"))</f>
        <v>0</v>
      </c>
      <c r="Y45" s="31">
        <f>IF(ISBLANK(N45),"",IF(IFERROR(EXACT(N45,'_key'!$A$1846),FALSE),"✓","✗"))</f>
        <v>0</v>
      </c>
      <c r="Z45" s="31">
        <f>IF(ISBLANK(O45),"",IF(IFERROR(EXACT(O45,'_key'!$A$1847),FALSE),"✓","✗"))</f>
        <v>0</v>
      </c>
      <c r="AA45" s="31">
        <f>IF(ISBLANK(P45),"",IF(IFERROR(ABS(P45-'_key'!$A$1848)&lt;=0.01,FALSE),"✓","✗"))</f>
        <v>0</v>
      </c>
      <c r="AB45" s="31">
        <f>IF(ISBLANK(Q45),"",IF(IFERROR(ABS(Q45-'_key'!$A$1849)&lt;=0.01,FALSE),"✓","✗"))</f>
        <v>0</v>
      </c>
    </row>
    <row r="46" spans="1:28">
      <c r="A46" s="47" t="s">
        <v>152</v>
      </c>
      <c r="B46" s="47" t="s">
        <v>5695</v>
      </c>
      <c r="C46" s="47" t="s">
        <v>5561</v>
      </c>
      <c r="D46" s="47" t="s">
        <v>5696</v>
      </c>
      <c r="E46" s="47" t="s">
        <v>5697</v>
      </c>
      <c r="F46" s="47" t="s">
        <v>5549</v>
      </c>
      <c r="H46" s="28"/>
      <c r="I46" s="28"/>
      <c r="J46" s="28"/>
      <c r="K46" s="29"/>
      <c r="L46" s="36"/>
      <c r="M46" s="28"/>
      <c r="N46" s="28"/>
      <c r="O46" s="28"/>
      <c r="P46" s="29"/>
      <c r="Q46" s="28"/>
      <c r="S46" s="31">
        <f>IF(ISBLANK(H46),"",IF(IFERROR(EXACT(H46,'_key'!$A$1850),FALSE),"✓","✗"))</f>
        <v>0</v>
      </c>
      <c r="T46" s="31">
        <f>IF(ISBLANK(I46),"",IF(IFERROR(EXACT(I46,'_key'!$A$1851),FALSE),"✓","✗"))</f>
        <v>0</v>
      </c>
      <c r="U46" s="31">
        <f>IF(ISBLANK(J46),"",IF(IFERROR(EXACT(J46,'_key'!$A$1852),FALSE),"✓","✗"))</f>
        <v>0</v>
      </c>
      <c r="V46" s="31">
        <f>IF(ISBLANK(K46),"",IF(IFERROR(ABS(K46-'_key'!$A$1853)&lt;=0.01,FALSE),"✓","✗"))</f>
        <v>0</v>
      </c>
      <c r="W46" s="31">
        <f>IF(ISBLANK(L46),"",IF(IFERROR(ABS(L46-'_key'!$A$1854)&lt;=0.01,FALSE),"✓","✗"))</f>
        <v>0</v>
      </c>
      <c r="X46" s="31">
        <f>IF(ISBLANK(M46),"",IF(IFERROR(EXACT(M46,'_key'!$A$1855),FALSE),"✓","✗"))</f>
        <v>0</v>
      </c>
      <c r="Y46" s="31">
        <f>IF(ISBLANK(N46),"",IF(IFERROR(EXACT(N46,'_key'!$A$1856),FALSE),"✓","✗"))</f>
        <v>0</v>
      </c>
      <c r="Z46" s="31">
        <f>IF(ISBLANK(O46),"",IF(IFERROR(EXACT(O46,'_key'!$A$1857),FALSE),"✓","✗"))</f>
        <v>0</v>
      </c>
      <c r="AA46" s="31">
        <f>IF(ISBLANK(P46),"",IF(IFERROR(ABS(P46-'_key'!$A$1858)&lt;=0.01,FALSE),"✓","✗"))</f>
        <v>0</v>
      </c>
      <c r="AB46" s="31">
        <f>IF(ISBLANK(Q46),"",IF(IFERROR(ABS(Q46-'_key'!$A$1859)&lt;=0.01,FALSE),"✓","✗"))</f>
        <v>0</v>
      </c>
    </row>
    <row r="47" spans="1:28">
      <c r="A47" s="47" t="s">
        <v>5698</v>
      </c>
      <c r="B47" s="47" t="s">
        <v>5699</v>
      </c>
      <c r="C47" s="47" t="s">
        <v>5566</v>
      </c>
      <c r="D47" s="47" t="s">
        <v>5700</v>
      </c>
      <c r="E47" s="47" t="s">
        <v>5701</v>
      </c>
      <c r="F47" s="47" t="s">
        <v>5549</v>
      </c>
      <c r="H47" s="28"/>
      <c r="I47" s="28"/>
      <c r="J47" s="28"/>
      <c r="K47" s="29"/>
      <c r="L47" s="36"/>
      <c r="M47" s="28"/>
      <c r="N47" s="28"/>
      <c r="O47" s="28"/>
      <c r="P47" s="29"/>
      <c r="Q47" s="28"/>
      <c r="S47" s="31">
        <f>IF(ISBLANK(H47),"",IF(IFERROR(EXACT(H47,'_key'!$A$1860),FALSE),"✓","✗"))</f>
        <v>0</v>
      </c>
      <c r="T47" s="31">
        <f>IF(ISBLANK(I47),"",IF(IFERROR(EXACT(I47,'_key'!$A$1861),FALSE),"✓","✗"))</f>
        <v>0</v>
      </c>
      <c r="U47" s="31">
        <f>IF(ISBLANK(J47),"",IF(IFERROR(EXACT(J47,'_key'!$A$1862),FALSE),"✓","✗"))</f>
        <v>0</v>
      </c>
      <c r="V47" s="31">
        <f>IF(ISBLANK(K47),"",IF(IFERROR(ABS(K47-'_key'!$A$1863)&lt;=0.01,FALSE),"✓","✗"))</f>
        <v>0</v>
      </c>
      <c r="W47" s="31">
        <f>IF(ISBLANK(L47),"",IF(IFERROR(ABS(L47-'_key'!$A$1864)&lt;=0.01,FALSE),"✓","✗"))</f>
        <v>0</v>
      </c>
      <c r="X47" s="31">
        <f>IF(ISBLANK(M47),"",IF(IFERROR(EXACT(M47,'_key'!$A$1865),FALSE),"✓","✗"))</f>
        <v>0</v>
      </c>
      <c r="Y47" s="31">
        <f>IF(ISBLANK(N47),"",IF(IFERROR(EXACT(N47,'_key'!$A$1866),FALSE),"✓","✗"))</f>
        <v>0</v>
      </c>
      <c r="Z47" s="31">
        <f>IF(ISBLANK(O47),"",IF(IFERROR(EXACT(O47,'_key'!$A$1867),FALSE),"✓","✗"))</f>
        <v>0</v>
      </c>
      <c r="AA47" s="31">
        <f>IF(ISBLANK(P47),"",IF(IFERROR(ABS(P47-'_key'!$A$1868)&lt;=0.01,FALSE),"✓","✗"))</f>
        <v>0</v>
      </c>
      <c r="AB47" s="31">
        <f>IF(ISBLANK(Q47),"",IF(IFERROR(ABS(Q47-'_key'!$A$1869)&lt;=0.01,FALSE),"✓","✗"))</f>
        <v>0</v>
      </c>
    </row>
    <row r="48" spans="1:28">
      <c r="A48" s="47" t="s">
        <v>5702</v>
      </c>
      <c r="B48" s="47" t="s">
        <v>5703</v>
      </c>
      <c r="C48" s="47" t="s">
        <v>5551</v>
      </c>
      <c r="D48" s="47" t="s">
        <v>5704</v>
      </c>
      <c r="E48" s="47" t="s">
        <v>5705</v>
      </c>
      <c r="F48" s="47" t="s">
        <v>5674</v>
      </c>
      <c r="H48" s="28"/>
      <c r="I48" s="28"/>
      <c r="J48" s="28"/>
      <c r="K48" s="29"/>
      <c r="L48" s="36"/>
      <c r="M48" s="28"/>
      <c r="N48" s="28"/>
      <c r="O48" s="28"/>
      <c r="P48" s="29"/>
      <c r="Q48" s="28"/>
      <c r="S48" s="31">
        <f>IF(ISBLANK(H48),"",IF(IFERROR(EXACT(H48,'_key'!$A$1870),FALSE),"✓","✗"))</f>
        <v>0</v>
      </c>
      <c r="T48" s="31">
        <f>IF(ISBLANK(I48),"",IF(IFERROR(EXACT(I48,'_key'!$A$1871),FALSE),"✓","✗"))</f>
        <v>0</v>
      </c>
      <c r="U48" s="31">
        <f>IF(ISBLANK(J48),"",IF(IFERROR(EXACT(J48,'_key'!$A$1872),FALSE),"✓","✗"))</f>
        <v>0</v>
      </c>
      <c r="V48" s="31">
        <f>IF(ISBLANK(K48),"",IF(IFERROR(ABS(K48-'_key'!$A$1873)&lt;=0.01,FALSE),"✓","✗"))</f>
        <v>0</v>
      </c>
      <c r="W48" s="31">
        <f>IF(ISBLANK(L48),"",IF(IFERROR(ABS(L48-'_key'!$A$1874)&lt;=0.01,FALSE),"✓","✗"))</f>
        <v>0</v>
      </c>
      <c r="X48" s="31">
        <f>IF(ISBLANK(M48),"",IF(IFERROR(EXACT(M48,'_key'!$A$1875),FALSE),"✓","✗"))</f>
        <v>0</v>
      </c>
      <c r="Y48" s="31">
        <f>IF(ISBLANK(N48),"",IF(IFERROR(EXACT(N48,'_key'!$A$1876),FALSE),"✓","✗"))</f>
        <v>0</v>
      </c>
      <c r="Z48" s="31">
        <f>IF(ISBLANK(O48),"",IF(IFERROR(EXACT(O48,'_key'!$A$1877),FALSE),"✓","✗"))</f>
        <v>0</v>
      </c>
      <c r="AA48" s="31">
        <f>IF(ISBLANK(P48),"",IF(IFERROR(ABS(P48-'_key'!$A$1878)&lt;=0.01,FALSE),"✓","✗"))</f>
        <v>0</v>
      </c>
      <c r="AB48" s="31">
        <f>IF(ISBLANK(Q48),"",IF(IFERROR(ABS(Q48-'_key'!$A$1879)&lt;=0.01,FALSE),"✓","✗"))</f>
        <v>0</v>
      </c>
    </row>
    <row r="49" spans="1:28">
      <c r="A49" s="47" t="s">
        <v>5702</v>
      </c>
      <c r="B49" s="47" t="s">
        <v>209</v>
      </c>
      <c r="C49" s="47" t="s">
        <v>37</v>
      </c>
      <c r="D49" s="47" t="s">
        <v>5706</v>
      </c>
      <c r="E49" s="47" t="s">
        <v>5705</v>
      </c>
      <c r="F49" s="47" t="s">
        <v>5707</v>
      </c>
      <c r="H49" s="28"/>
      <c r="I49" s="28"/>
      <c r="J49" s="28"/>
      <c r="K49" s="29"/>
      <c r="L49" s="36"/>
      <c r="M49" s="28"/>
      <c r="N49" s="28"/>
      <c r="O49" s="28"/>
      <c r="P49" s="29"/>
      <c r="Q49" s="28"/>
      <c r="S49" s="31">
        <f>IF(ISBLANK(H49),"",IF(IFERROR(EXACT(H49,'_key'!$A$1880),FALSE),"✓","✗"))</f>
        <v>0</v>
      </c>
      <c r="T49" s="31">
        <f>IF(ISBLANK(I49),"",IF(IFERROR(EXACT(I49,'_key'!$A$1881),FALSE),"✓","✗"))</f>
        <v>0</v>
      </c>
      <c r="U49" s="31">
        <f>IF(ISBLANK(J49),"",IF(IFERROR(EXACT(J49,'_key'!$A$1882),FALSE),"✓","✗"))</f>
        <v>0</v>
      </c>
      <c r="V49" s="31">
        <f>IF(ISBLANK(K49),"",IF(IFERROR(ABS(K49-'_key'!$A$1883)&lt;=0.01,FALSE),"✓","✗"))</f>
        <v>0</v>
      </c>
      <c r="W49" s="31">
        <f>IF(ISBLANK(L49),"",IF(IFERROR(ABS(L49-'_key'!$A$1884)&lt;=0.01,FALSE),"✓","✗"))</f>
        <v>0</v>
      </c>
      <c r="X49" s="31">
        <f>IF(ISBLANK(M49),"",IF(IFERROR(EXACT(M49,'_key'!$A$1885),FALSE),"✓","✗"))</f>
        <v>0</v>
      </c>
      <c r="Y49" s="31">
        <f>IF(ISBLANK(N49),"",IF(IFERROR(EXACT(N49,'_key'!$A$1886),FALSE),"✓","✗"))</f>
        <v>0</v>
      </c>
      <c r="Z49" s="31">
        <f>IF(ISBLANK(O49),"",IF(IFERROR(EXACT(O49,'_key'!$A$1887),FALSE),"✓","✗"))</f>
        <v>0</v>
      </c>
      <c r="AA49" s="31">
        <f>IF(ISBLANK(P49),"",IF(IFERROR(ABS(P49-'_key'!$A$1888)&lt;=0.01,FALSE),"✓","✗"))</f>
        <v>0</v>
      </c>
      <c r="AB49" s="31">
        <f>IF(ISBLANK(Q49),"",IF(IFERROR(ABS(Q49-'_key'!$A$1889)&lt;=0.01,FALSE),"✓","✗"))</f>
        <v>0</v>
      </c>
    </row>
    <row r="50" spans="1:28">
      <c r="A50" s="47" t="s">
        <v>81</v>
      </c>
      <c r="B50" s="47" t="s">
        <v>82</v>
      </c>
      <c r="C50" s="47" t="s">
        <v>5561</v>
      </c>
      <c r="D50" s="47" t="s">
        <v>5708</v>
      </c>
      <c r="E50" s="47" t="s">
        <v>5709</v>
      </c>
      <c r="F50" s="47" t="s">
        <v>369</v>
      </c>
      <c r="H50" s="28"/>
      <c r="I50" s="28"/>
      <c r="J50" s="28"/>
      <c r="K50" s="29"/>
      <c r="L50" s="36"/>
      <c r="M50" s="28"/>
      <c r="N50" s="28"/>
      <c r="O50" s="28"/>
      <c r="P50" s="29"/>
      <c r="Q50" s="28"/>
      <c r="S50" s="31">
        <f>IF(ISBLANK(H50),"",IF(IFERROR(EXACT(H50,'_key'!$A$1890),FALSE),"✓","✗"))</f>
        <v>0</v>
      </c>
      <c r="T50" s="31">
        <f>IF(ISBLANK(I50),"",IF(IFERROR(EXACT(I50,'_key'!$A$1891),FALSE),"✓","✗"))</f>
        <v>0</v>
      </c>
      <c r="U50" s="31">
        <f>IF(ISBLANK(J50),"",IF(IFERROR(EXACT(J50,'_key'!$A$1892),FALSE),"✓","✗"))</f>
        <v>0</v>
      </c>
      <c r="V50" s="31">
        <f>IF(ISBLANK(K50),"",IF(IFERROR(ABS(K50-'_key'!$A$1893)&lt;=0.01,FALSE),"✓","✗"))</f>
        <v>0</v>
      </c>
      <c r="W50" s="31">
        <f>IF(ISBLANK(L50),"",IF(IFERROR(ABS(L50-'_key'!$A$1894)&lt;=0.01,FALSE),"✓","✗"))</f>
        <v>0</v>
      </c>
      <c r="X50" s="31">
        <f>IF(ISBLANK(M50),"",IF(IFERROR(EXACT(M50,'_key'!$A$1895),FALSE),"✓","✗"))</f>
        <v>0</v>
      </c>
      <c r="Y50" s="31">
        <f>IF(ISBLANK(N50),"",IF(IFERROR(EXACT(N50,'_key'!$A$1896),FALSE),"✓","✗"))</f>
        <v>0</v>
      </c>
      <c r="Z50" s="31">
        <f>IF(ISBLANK(O50),"",IF(IFERROR(EXACT(O50,'_key'!$A$1897),FALSE),"✓","✗"))</f>
        <v>0</v>
      </c>
      <c r="AA50" s="31">
        <f>IF(ISBLANK(P50),"",IF(IFERROR(ABS(P50-'_key'!$A$1898)&lt;=0.01,FALSE),"✓","✗"))</f>
        <v>0</v>
      </c>
      <c r="AB50" s="31">
        <f>IF(ISBLANK(Q50),"",IF(IFERROR(ABS(Q50-'_key'!$A$1899)&lt;=0.01,FALSE),"✓","✗"))</f>
        <v>0</v>
      </c>
    </row>
    <row r="51" spans="1:28">
      <c r="A51" s="47" t="s">
        <v>5710</v>
      </c>
      <c r="B51" s="47" t="s">
        <v>5711</v>
      </c>
      <c r="C51" s="47" t="s">
        <v>37</v>
      </c>
      <c r="D51" s="47" t="s">
        <v>5712</v>
      </c>
      <c r="E51" s="47" t="s">
        <v>5713</v>
      </c>
      <c r="F51" s="47" t="s">
        <v>5714</v>
      </c>
      <c r="H51" s="28"/>
      <c r="I51" s="28"/>
      <c r="J51" s="28"/>
      <c r="K51" s="29"/>
      <c r="L51" s="36"/>
      <c r="M51" s="28"/>
      <c r="N51" s="28"/>
      <c r="O51" s="28"/>
      <c r="P51" s="29"/>
      <c r="Q51" s="28"/>
      <c r="S51" s="31">
        <f>IF(ISBLANK(H51),"",IF(IFERROR(EXACT(H51,'_key'!$A$1900),FALSE),"✓","✗"))</f>
        <v>0</v>
      </c>
      <c r="T51" s="31">
        <f>IF(ISBLANK(I51),"",IF(IFERROR(EXACT(I51,'_key'!$A$1901),FALSE),"✓","✗"))</f>
        <v>0</v>
      </c>
      <c r="U51" s="31">
        <f>IF(ISBLANK(J51),"",IF(IFERROR(EXACT(J51,'_key'!$A$1902),FALSE),"✓","✗"))</f>
        <v>0</v>
      </c>
      <c r="V51" s="31">
        <f>IF(ISBLANK(K51),"",IF(IFERROR(ABS(K51-'_key'!$A$1903)&lt;=0.01,FALSE),"✓","✗"))</f>
        <v>0</v>
      </c>
      <c r="W51" s="31">
        <f>IF(ISBLANK(L51),"",IF(IFERROR(ABS(L51-'_key'!$A$1904)&lt;=0.01,FALSE),"✓","✗"))</f>
        <v>0</v>
      </c>
      <c r="X51" s="31">
        <f>IF(ISBLANK(M51),"",IF(IFERROR(EXACT(M51,'_key'!$A$1905),FALSE),"✓","✗"))</f>
        <v>0</v>
      </c>
      <c r="Y51" s="31">
        <f>IF(ISBLANK(N51),"",IF(IFERROR(EXACT(N51,'_key'!$A$1906),FALSE),"✓","✗"))</f>
        <v>0</v>
      </c>
      <c r="Z51" s="31">
        <f>IF(ISBLANK(O51),"",IF(IFERROR(EXACT(O51,'_key'!$A$1907),FALSE),"✓","✗"))</f>
        <v>0</v>
      </c>
      <c r="AA51" s="31">
        <f>IF(ISBLANK(P51),"",IF(IFERROR(ABS(P51-'_key'!$A$1908)&lt;=0.01,FALSE),"✓","✗"))</f>
        <v>0</v>
      </c>
      <c r="AB51" s="31">
        <f>IF(ISBLANK(Q51),"",IF(IFERROR(ABS(Q51-'_key'!$A$1909)&lt;=0.01,FALSE),"✓","✗"))</f>
        <v>0</v>
      </c>
    </row>
    <row r="52" spans="1:28">
      <c r="A52" s="47" t="s">
        <v>5715</v>
      </c>
      <c r="B52" s="47" t="s">
        <v>343</v>
      </c>
      <c r="C52" s="47" t="s">
        <v>5551</v>
      </c>
      <c r="D52" s="47" t="s">
        <v>5716</v>
      </c>
      <c r="E52" s="47" t="s">
        <v>5717</v>
      </c>
      <c r="F52" s="47" t="s">
        <v>5549</v>
      </c>
      <c r="H52" s="28"/>
      <c r="I52" s="28"/>
      <c r="J52" s="28"/>
      <c r="K52" s="29"/>
      <c r="L52" s="36"/>
      <c r="M52" s="28"/>
      <c r="N52" s="28"/>
      <c r="O52" s="28"/>
      <c r="P52" s="29"/>
      <c r="Q52" s="28"/>
      <c r="S52" s="31">
        <f>IF(ISBLANK(H52),"",IF(IFERROR(EXACT(H52,'_key'!$A$1910),FALSE),"✓","✗"))</f>
        <v>0</v>
      </c>
      <c r="T52" s="31">
        <f>IF(ISBLANK(I52),"",IF(IFERROR(EXACT(I52,'_key'!$A$1911),FALSE),"✓","✗"))</f>
        <v>0</v>
      </c>
      <c r="U52" s="31">
        <f>IF(ISBLANK(J52),"",IF(IFERROR(EXACT(J52,'_key'!$A$1912),FALSE),"✓","✗"))</f>
        <v>0</v>
      </c>
      <c r="V52" s="31">
        <f>IF(ISBLANK(K52),"",IF(IFERROR(ABS(K52-'_key'!$A$1913)&lt;=0.01,FALSE),"✓","✗"))</f>
        <v>0</v>
      </c>
      <c r="W52" s="31">
        <f>IF(ISBLANK(L52),"",IF(IFERROR(ABS(L52-'_key'!$A$1914)&lt;=0.01,FALSE),"✓","✗"))</f>
        <v>0</v>
      </c>
      <c r="X52" s="31">
        <f>IF(ISBLANK(M52),"",IF(IFERROR(EXACT(M52,'_key'!$A$1915),FALSE),"✓","✗"))</f>
        <v>0</v>
      </c>
      <c r="Y52" s="31">
        <f>IF(ISBLANK(N52),"",IF(IFERROR(EXACT(N52,'_key'!$A$1916),FALSE),"✓","✗"))</f>
        <v>0</v>
      </c>
      <c r="Z52" s="31">
        <f>IF(ISBLANK(O52),"",IF(IFERROR(EXACT(O52,'_key'!$A$1917),FALSE),"✓","✗"))</f>
        <v>0</v>
      </c>
      <c r="AA52" s="31">
        <f>IF(ISBLANK(P52),"",IF(IFERROR(ABS(P52-'_key'!$A$1918)&lt;=0.01,FALSE),"✓","✗"))</f>
        <v>0</v>
      </c>
      <c r="AB52" s="31">
        <f>IF(ISBLANK(Q52),"",IF(IFERROR(ABS(Q52-'_key'!$A$1919)&lt;=0.01,FALSE),"✓","✗"))</f>
        <v>0</v>
      </c>
    </row>
    <row r="53" spans="1:28">
      <c r="A53" s="47" t="s">
        <v>178</v>
      </c>
      <c r="B53" s="47" t="s">
        <v>5718</v>
      </c>
      <c r="C53" s="47" t="s">
        <v>5561</v>
      </c>
      <c r="D53" s="47" t="s">
        <v>5719</v>
      </c>
      <c r="E53" s="47" t="s">
        <v>5720</v>
      </c>
      <c r="F53" s="47" t="s">
        <v>5549</v>
      </c>
      <c r="H53" s="28"/>
      <c r="I53" s="28"/>
      <c r="J53" s="28"/>
      <c r="K53" s="29"/>
      <c r="L53" s="36"/>
      <c r="M53" s="28"/>
      <c r="N53" s="28"/>
      <c r="O53" s="28"/>
      <c r="P53" s="29"/>
      <c r="Q53" s="28"/>
      <c r="S53" s="31">
        <f>IF(ISBLANK(H53),"",IF(IFERROR(EXACT(H53,'_key'!$A$1920),FALSE),"✓","✗"))</f>
        <v>0</v>
      </c>
      <c r="T53" s="31">
        <f>IF(ISBLANK(I53),"",IF(IFERROR(EXACT(I53,'_key'!$A$1921),FALSE),"✓","✗"))</f>
        <v>0</v>
      </c>
      <c r="U53" s="31">
        <f>IF(ISBLANK(J53),"",IF(IFERROR(EXACT(J53,'_key'!$A$1922),FALSE),"✓","✗"))</f>
        <v>0</v>
      </c>
      <c r="V53" s="31">
        <f>IF(ISBLANK(K53),"",IF(IFERROR(ABS(K53-'_key'!$A$1923)&lt;=0.01,FALSE),"✓","✗"))</f>
        <v>0</v>
      </c>
      <c r="W53" s="31">
        <f>IF(ISBLANK(L53),"",IF(IFERROR(ABS(L53-'_key'!$A$1924)&lt;=0.01,FALSE),"✓","✗"))</f>
        <v>0</v>
      </c>
      <c r="X53" s="31">
        <f>IF(ISBLANK(M53),"",IF(IFERROR(EXACT(M53,'_key'!$A$1925),FALSE),"✓","✗"))</f>
        <v>0</v>
      </c>
      <c r="Y53" s="31">
        <f>IF(ISBLANK(N53),"",IF(IFERROR(EXACT(N53,'_key'!$A$1926),FALSE),"✓","✗"))</f>
        <v>0</v>
      </c>
      <c r="Z53" s="31">
        <f>IF(ISBLANK(O53),"",IF(IFERROR(EXACT(O53,'_key'!$A$1927),FALSE),"✓","✗"))</f>
        <v>0</v>
      </c>
      <c r="AA53" s="31">
        <f>IF(ISBLANK(P53),"",IF(IFERROR(ABS(P53-'_key'!$A$1928)&lt;=0.01,FALSE),"✓","✗"))</f>
        <v>0</v>
      </c>
      <c r="AB53" s="31">
        <f>IF(ISBLANK(Q53),"",IF(IFERROR(ABS(Q53-'_key'!$A$1929)&lt;=0.01,FALSE),"✓","✗"))</f>
        <v>0</v>
      </c>
    </row>
    <row r="54" spans="1:28">
      <c r="A54" s="47" t="s">
        <v>110</v>
      </c>
      <c r="B54" s="47" t="s">
        <v>5721</v>
      </c>
      <c r="C54" s="47" t="s">
        <v>25</v>
      </c>
      <c r="D54" s="47" t="s">
        <v>5722</v>
      </c>
      <c r="E54" s="47" t="s">
        <v>5723</v>
      </c>
      <c r="F54" s="47" t="s">
        <v>5724</v>
      </c>
      <c r="H54" s="28"/>
      <c r="I54" s="28"/>
      <c r="J54" s="28"/>
      <c r="K54" s="29"/>
      <c r="L54" s="36"/>
      <c r="M54" s="28"/>
      <c r="N54" s="28"/>
      <c r="O54" s="28"/>
      <c r="P54" s="29"/>
      <c r="Q54" s="28"/>
      <c r="S54" s="31">
        <f>IF(ISBLANK(H54),"",IF(IFERROR(EXACT(H54,'_key'!$A$1930),FALSE),"✓","✗"))</f>
        <v>0</v>
      </c>
      <c r="T54" s="31">
        <f>IF(ISBLANK(I54),"",IF(IFERROR(EXACT(I54,'_key'!$A$1931),FALSE),"✓","✗"))</f>
        <v>0</v>
      </c>
      <c r="U54" s="31">
        <f>IF(ISBLANK(J54),"",IF(IFERROR(EXACT(J54,'_key'!$A$1932),FALSE),"✓","✗"))</f>
        <v>0</v>
      </c>
      <c r="V54" s="31">
        <f>IF(ISBLANK(K54),"",IF(IFERROR(ABS(K54-'_key'!$A$1933)&lt;=0.01,FALSE),"✓","✗"))</f>
        <v>0</v>
      </c>
      <c r="W54" s="31">
        <f>IF(ISBLANK(L54),"",IF(IFERROR(ABS(L54-'_key'!$A$1934)&lt;=0.01,FALSE),"✓","✗"))</f>
        <v>0</v>
      </c>
      <c r="X54" s="31">
        <f>IF(ISBLANK(M54),"",IF(IFERROR(EXACT(M54,'_key'!$A$1935),FALSE),"✓","✗"))</f>
        <v>0</v>
      </c>
      <c r="Y54" s="31">
        <f>IF(ISBLANK(N54),"",IF(IFERROR(EXACT(N54,'_key'!$A$1936),FALSE),"✓","✗"))</f>
        <v>0</v>
      </c>
      <c r="Z54" s="31">
        <f>IF(ISBLANK(O54),"",IF(IFERROR(EXACT(O54,'_key'!$A$1937),FALSE),"✓","✗"))</f>
        <v>0</v>
      </c>
      <c r="AA54" s="31">
        <f>IF(ISBLANK(P54),"",IF(IFERROR(ABS(P54-'_key'!$A$1938)&lt;=0.01,FALSE),"✓","✗"))</f>
        <v>0</v>
      </c>
      <c r="AB54" s="31">
        <f>IF(ISBLANK(Q54),"",IF(IFERROR(ABS(Q54-'_key'!$A$1939)&lt;=0.01,FALSE),"✓","✗"))</f>
        <v>0</v>
      </c>
    </row>
    <row r="55" spans="1:28">
      <c r="A55" s="47" t="s">
        <v>172</v>
      </c>
      <c r="B55" s="47" t="s">
        <v>5725</v>
      </c>
      <c r="C55" s="47" t="s">
        <v>5561</v>
      </c>
      <c r="D55" s="47" t="s">
        <v>5726</v>
      </c>
      <c r="E55" s="47" t="s">
        <v>5727</v>
      </c>
      <c r="F55" s="47" t="s">
        <v>5674</v>
      </c>
      <c r="H55" s="28"/>
      <c r="I55" s="28"/>
      <c r="J55" s="28"/>
      <c r="K55" s="29"/>
      <c r="L55" s="36"/>
      <c r="M55" s="28"/>
      <c r="N55" s="28"/>
      <c r="O55" s="28"/>
      <c r="P55" s="29"/>
      <c r="Q55" s="28"/>
      <c r="S55" s="31">
        <f>IF(ISBLANK(H55),"",IF(IFERROR(EXACT(H55,'_key'!$A$1940),FALSE),"✓","✗"))</f>
        <v>0</v>
      </c>
      <c r="T55" s="31">
        <f>IF(ISBLANK(I55),"",IF(IFERROR(EXACT(I55,'_key'!$A$1941),FALSE),"✓","✗"))</f>
        <v>0</v>
      </c>
      <c r="U55" s="31">
        <f>IF(ISBLANK(J55),"",IF(IFERROR(EXACT(J55,'_key'!$A$1942),FALSE),"✓","✗"))</f>
        <v>0</v>
      </c>
      <c r="V55" s="31">
        <f>IF(ISBLANK(K55),"",IF(IFERROR(ABS(K55-'_key'!$A$1943)&lt;=0.01,FALSE),"✓","✗"))</f>
        <v>0</v>
      </c>
      <c r="W55" s="31">
        <f>IF(ISBLANK(L55),"",IF(IFERROR(ABS(L55-'_key'!$A$1944)&lt;=0.01,FALSE),"✓","✗"))</f>
        <v>0</v>
      </c>
      <c r="X55" s="31">
        <f>IF(ISBLANK(M55),"",IF(IFERROR(EXACT(M55,'_key'!$A$1945),FALSE),"✓","✗"))</f>
        <v>0</v>
      </c>
      <c r="Y55" s="31">
        <f>IF(ISBLANK(N55),"",IF(IFERROR(EXACT(N55,'_key'!$A$1946),FALSE),"✓","✗"))</f>
        <v>0</v>
      </c>
      <c r="Z55" s="31">
        <f>IF(ISBLANK(O55),"",IF(IFERROR(EXACT(O55,'_key'!$A$1947),FALSE),"✓","✗"))</f>
        <v>0</v>
      </c>
      <c r="AA55" s="31">
        <f>IF(ISBLANK(P55),"",IF(IFERROR(ABS(P55-'_key'!$A$1948)&lt;=0.01,FALSE),"✓","✗"))</f>
        <v>0</v>
      </c>
      <c r="AB55" s="31">
        <f>IF(ISBLANK(Q55),"",IF(IFERROR(ABS(Q55-'_key'!$A$1949)&lt;=0.01,FALSE),"✓","✗"))</f>
        <v>0</v>
      </c>
    </row>
    <row r="56" spans="1:28">
      <c r="A56" s="47" t="s">
        <v>214</v>
      </c>
      <c r="B56" s="47" t="s">
        <v>215</v>
      </c>
      <c r="C56" s="47" t="s">
        <v>5541</v>
      </c>
      <c r="D56" s="47" t="s">
        <v>5728</v>
      </c>
      <c r="E56" s="47" t="s">
        <v>5729</v>
      </c>
      <c r="F56" s="47" t="s">
        <v>5544</v>
      </c>
      <c r="H56" s="28"/>
      <c r="I56" s="28"/>
      <c r="J56" s="28"/>
      <c r="K56" s="29"/>
      <c r="L56" s="36"/>
      <c r="M56" s="28"/>
      <c r="N56" s="28"/>
      <c r="O56" s="28"/>
      <c r="P56" s="29"/>
      <c r="Q56" s="28"/>
      <c r="S56" s="31">
        <f>IF(ISBLANK(H56),"",IF(IFERROR(EXACT(H56,'_key'!$A$1950),FALSE),"✓","✗"))</f>
        <v>0</v>
      </c>
      <c r="T56" s="31">
        <f>IF(ISBLANK(I56),"",IF(IFERROR(EXACT(I56,'_key'!$A$1951),FALSE),"✓","✗"))</f>
        <v>0</v>
      </c>
      <c r="U56" s="31">
        <f>IF(ISBLANK(J56),"",IF(IFERROR(EXACT(J56,'_key'!$A$1952),FALSE),"✓","✗"))</f>
        <v>0</v>
      </c>
      <c r="V56" s="31">
        <f>IF(ISBLANK(K56),"",IF(IFERROR(ABS(K56-'_key'!$A$1953)&lt;=0.01,FALSE),"✓","✗"))</f>
        <v>0</v>
      </c>
      <c r="W56" s="31">
        <f>IF(ISBLANK(L56),"",IF(IFERROR(ABS(L56-'_key'!$A$1954)&lt;=0.01,FALSE),"✓","✗"))</f>
        <v>0</v>
      </c>
      <c r="X56" s="31">
        <f>IF(ISBLANK(M56),"",IF(IFERROR(EXACT(M56,'_key'!$A$1955),FALSE),"✓","✗"))</f>
        <v>0</v>
      </c>
      <c r="Y56" s="31">
        <f>IF(ISBLANK(N56),"",IF(IFERROR(EXACT(N56,'_key'!$A$1956),FALSE),"✓","✗"))</f>
        <v>0</v>
      </c>
      <c r="Z56" s="31">
        <f>IF(ISBLANK(O56),"",IF(IFERROR(EXACT(O56,'_key'!$A$1957),FALSE),"✓","✗"))</f>
        <v>0</v>
      </c>
      <c r="AA56" s="31">
        <f>IF(ISBLANK(P56),"",IF(IFERROR(ABS(P56-'_key'!$A$1958)&lt;=0.01,FALSE),"✓","✗"))</f>
        <v>0</v>
      </c>
      <c r="AB56" s="31">
        <f>IF(ISBLANK(Q56),"",IF(IFERROR(ABS(Q56-'_key'!$A$1959)&lt;=0.01,FALSE),"✓","✗"))</f>
        <v>0</v>
      </c>
    </row>
    <row r="57" spans="1:28">
      <c r="A57" s="47" t="s">
        <v>5730</v>
      </c>
      <c r="B57" s="47" t="s">
        <v>5625</v>
      </c>
      <c r="C57" s="47" t="s">
        <v>5659</v>
      </c>
      <c r="D57" s="47" t="s">
        <v>5731</v>
      </c>
      <c r="E57" s="47" t="s">
        <v>5732</v>
      </c>
      <c r="F57" s="47" t="s">
        <v>5549</v>
      </c>
      <c r="H57" s="28"/>
      <c r="I57" s="28"/>
      <c r="J57" s="28"/>
      <c r="K57" s="29"/>
      <c r="L57" s="36"/>
      <c r="M57" s="28"/>
      <c r="N57" s="28"/>
      <c r="O57" s="28"/>
      <c r="P57" s="29"/>
      <c r="Q57" s="28"/>
      <c r="S57" s="31">
        <f>IF(ISBLANK(H57),"",IF(IFERROR(EXACT(H57,'_key'!$A$1960),FALSE),"✓","✗"))</f>
        <v>0</v>
      </c>
      <c r="T57" s="31">
        <f>IF(ISBLANK(I57),"",IF(IFERROR(EXACT(I57,'_key'!$A$1961),FALSE),"✓","✗"))</f>
        <v>0</v>
      </c>
      <c r="U57" s="31">
        <f>IF(ISBLANK(J57),"",IF(IFERROR(EXACT(J57,'_key'!$A$1962),FALSE),"✓","✗"))</f>
        <v>0</v>
      </c>
      <c r="V57" s="31">
        <f>IF(ISBLANK(K57),"",IF(IFERROR(ABS(K57-'_key'!$A$1963)&lt;=0.01,FALSE),"✓","✗"))</f>
        <v>0</v>
      </c>
      <c r="W57" s="31">
        <f>IF(ISBLANK(L57),"",IF(IFERROR(ABS(L57-'_key'!$A$1964)&lt;=0.01,FALSE),"✓","✗"))</f>
        <v>0</v>
      </c>
      <c r="X57" s="31">
        <f>IF(ISBLANK(M57),"",IF(IFERROR(EXACT(M57,'_key'!$A$1965),FALSE),"✓","✗"))</f>
        <v>0</v>
      </c>
      <c r="Y57" s="31">
        <f>IF(ISBLANK(N57),"",IF(IFERROR(EXACT(N57,'_key'!$A$1966),FALSE),"✓","✗"))</f>
        <v>0</v>
      </c>
      <c r="Z57" s="31">
        <f>IF(ISBLANK(O57),"",IF(IFERROR(EXACT(O57,'_key'!$A$1967),FALSE),"✓","✗"))</f>
        <v>0</v>
      </c>
      <c r="AA57" s="31">
        <f>IF(ISBLANK(P57),"",IF(IFERROR(EXACT(P57,'_key'!$A$1968),FALSE),"✓","✗"))</f>
        <v>0</v>
      </c>
      <c r="AB57" s="31">
        <f>IF(ISBLANK(Q57),"",IF(IFERROR(ABS(Q57-'_key'!$A$1969)&lt;=0.01,FALSE),"✓","✗"))</f>
        <v>0</v>
      </c>
    </row>
    <row r="58" spans="1:28">
      <c r="A58" s="47" t="s">
        <v>5733</v>
      </c>
      <c r="B58" s="47" t="s">
        <v>5734</v>
      </c>
      <c r="C58" s="47" t="s">
        <v>5541</v>
      </c>
      <c r="D58" s="47" t="s">
        <v>5735</v>
      </c>
      <c r="E58" s="47" t="s">
        <v>5736</v>
      </c>
      <c r="F58" s="47" t="s">
        <v>5558</v>
      </c>
      <c r="H58" s="28"/>
      <c r="I58" s="28"/>
      <c r="J58" s="28"/>
      <c r="K58" s="29"/>
      <c r="L58" s="36"/>
      <c r="M58" s="28"/>
      <c r="N58" s="28"/>
      <c r="O58" s="28"/>
      <c r="P58" s="29"/>
      <c r="Q58" s="28"/>
      <c r="S58" s="31">
        <f>IF(ISBLANK(H58),"",IF(IFERROR(EXACT(H58,'_key'!$A$1970),FALSE),"✓","✗"))</f>
        <v>0</v>
      </c>
      <c r="T58" s="31">
        <f>IF(ISBLANK(I58),"",IF(IFERROR(EXACT(I58,'_key'!$A$1971),FALSE),"✓","✗"))</f>
        <v>0</v>
      </c>
      <c r="U58" s="31">
        <f>IF(ISBLANK(J58),"",IF(IFERROR(EXACT(J58,'_key'!$A$1972),FALSE),"✓","✗"))</f>
        <v>0</v>
      </c>
      <c r="V58" s="31">
        <f>IF(ISBLANK(K58),"",IF(IFERROR(ABS(K58-'_key'!$A$1973)&lt;=0.01,FALSE),"✓","✗"))</f>
        <v>0</v>
      </c>
      <c r="W58" s="31">
        <f>IF(ISBLANK(L58),"",IF(IFERROR(ABS(L58-'_key'!$A$1974)&lt;=0.01,FALSE),"✓","✗"))</f>
        <v>0</v>
      </c>
      <c r="X58" s="31">
        <f>IF(ISBLANK(M58),"",IF(IFERROR(EXACT(M58,'_key'!$A$1975),FALSE),"✓","✗"))</f>
        <v>0</v>
      </c>
      <c r="Y58" s="31">
        <f>IF(ISBLANK(N58),"",IF(IFERROR(EXACT(N58,'_key'!$A$1976),FALSE),"✓","✗"))</f>
        <v>0</v>
      </c>
      <c r="Z58" s="31">
        <f>IF(ISBLANK(O58),"",IF(IFERROR(EXACT(O58,'_key'!$A$1977),FALSE),"✓","✗"))</f>
        <v>0</v>
      </c>
      <c r="AA58" s="31">
        <f>IF(ISBLANK(P58),"",IF(IFERROR(ABS(P58-'_key'!$A$1978)&lt;=0.01,FALSE),"✓","✗"))</f>
        <v>0</v>
      </c>
      <c r="AB58" s="31">
        <f>IF(ISBLANK(Q58),"",IF(IFERROR(ABS(Q58-'_key'!$A$1979)&lt;=0.01,FALSE),"✓","✗"))</f>
        <v>0</v>
      </c>
    </row>
    <row r="59" spans="1:28">
      <c r="A59" s="47" t="s">
        <v>5737</v>
      </c>
      <c r="B59" s="47" t="s">
        <v>5738</v>
      </c>
      <c r="C59" s="47" t="s">
        <v>5659</v>
      </c>
      <c r="D59" s="47" t="s">
        <v>5739</v>
      </c>
      <c r="E59" s="47" t="s">
        <v>5740</v>
      </c>
      <c r="F59" s="47" t="s">
        <v>5741</v>
      </c>
      <c r="H59" s="28"/>
      <c r="I59" s="28"/>
      <c r="J59" s="28"/>
      <c r="K59" s="29"/>
      <c r="L59" s="36"/>
      <c r="M59" s="28"/>
      <c r="N59" s="28"/>
      <c r="O59" s="28"/>
      <c r="P59" s="29"/>
      <c r="Q59" s="28"/>
      <c r="S59" s="31">
        <f>IF(ISBLANK(H59),"",IF(IFERROR(EXACT(H59,'_key'!$A$1980),FALSE),"✓","✗"))</f>
        <v>0</v>
      </c>
      <c r="T59" s="31">
        <f>IF(ISBLANK(I59),"",IF(IFERROR(EXACT(I59,'_key'!$A$1981),FALSE),"✓","✗"))</f>
        <v>0</v>
      </c>
      <c r="U59" s="31">
        <f>IF(ISBLANK(J59),"",IF(IFERROR(EXACT(J59,'_key'!$A$1982),FALSE),"✓","✗"))</f>
        <v>0</v>
      </c>
      <c r="V59" s="31">
        <f>IF(ISBLANK(K59),"",IF(IFERROR(ABS(K59-'_key'!$A$1983)&lt;=0.01,FALSE),"✓","✗"))</f>
        <v>0</v>
      </c>
      <c r="W59" s="31">
        <f>IF(ISBLANK(L59),"",IF(IFERROR(ABS(L59-'_key'!$A$1984)&lt;=0.01,FALSE),"✓","✗"))</f>
        <v>0</v>
      </c>
      <c r="X59" s="31">
        <f>IF(ISBLANK(M59),"",IF(IFERROR(EXACT(M59,'_key'!$A$1985),FALSE),"✓","✗"))</f>
        <v>0</v>
      </c>
      <c r="Y59" s="31">
        <f>IF(ISBLANK(N59),"",IF(IFERROR(EXACT(N59,'_key'!$A$1986),FALSE),"✓","✗"))</f>
        <v>0</v>
      </c>
      <c r="Z59" s="31">
        <f>IF(ISBLANK(O59),"",IF(IFERROR(EXACT(O59,'_key'!$A$1987),FALSE),"✓","✗"))</f>
        <v>0</v>
      </c>
      <c r="AA59" s="31">
        <f>IF(ISBLANK(P59),"",IF(IFERROR(ABS(P59-'_key'!$A$1988)&lt;=0.01,FALSE),"✓","✗"))</f>
        <v>0</v>
      </c>
      <c r="AB59" s="31">
        <f>IF(ISBLANK(Q59),"",IF(IFERROR(ABS(Q59-'_key'!$A$1989)&lt;=0.01,FALSE),"✓","✗"))</f>
        <v>0</v>
      </c>
    </row>
    <row r="60" spans="1:28">
      <c r="A60" s="47" t="s">
        <v>5742</v>
      </c>
      <c r="B60" s="47" t="s">
        <v>5743</v>
      </c>
      <c r="C60" s="47" t="s">
        <v>5597</v>
      </c>
      <c r="D60" s="47" t="s">
        <v>5744</v>
      </c>
      <c r="E60" s="47" t="s">
        <v>5653</v>
      </c>
      <c r="F60" s="47" t="s">
        <v>5745</v>
      </c>
      <c r="H60" s="28"/>
      <c r="I60" s="28"/>
      <c r="J60" s="28"/>
      <c r="K60" s="29"/>
      <c r="L60" s="36"/>
      <c r="M60" s="28"/>
      <c r="N60" s="28"/>
      <c r="O60" s="28"/>
      <c r="P60" s="29"/>
      <c r="Q60" s="28"/>
      <c r="S60" s="31">
        <f>IF(ISBLANK(H60),"",IF(IFERROR(EXACT(H60,'_key'!$A$1990),FALSE),"✓","✗"))</f>
        <v>0</v>
      </c>
      <c r="T60" s="31">
        <f>IF(ISBLANK(I60),"",IF(IFERROR(EXACT(I60,'_key'!$A$1991),FALSE),"✓","✗"))</f>
        <v>0</v>
      </c>
      <c r="U60" s="31">
        <f>IF(ISBLANK(J60),"",IF(IFERROR(EXACT(J60,'_key'!$A$1992),FALSE),"✓","✗"))</f>
        <v>0</v>
      </c>
      <c r="V60" s="31">
        <f>IF(ISBLANK(K60),"",IF(IFERROR(ABS(K60-'_key'!$A$1993)&lt;=0.01,FALSE),"✓","✗"))</f>
        <v>0</v>
      </c>
      <c r="W60" s="31">
        <f>IF(ISBLANK(L60),"",IF(IFERROR(ABS(L60-'_key'!$A$1994)&lt;=0.01,FALSE),"✓","✗"))</f>
        <v>0</v>
      </c>
      <c r="X60" s="31">
        <f>IF(ISBLANK(M60),"",IF(IFERROR(EXACT(M60,'_key'!$A$1995),FALSE),"✓","✗"))</f>
        <v>0</v>
      </c>
      <c r="Y60" s="31">
        <f>IF(ISBLANK(N60),"",IF(IFERROR(EXACT(N60,'_key'!$A$1996),FALSE),"✓","✗"))</f>
        <v>0</v>
      </c>
      <c r="Z60" s="31">
        <f>IF(ISBLANK(O60),"",IF(IFERROR(EXACT(O60,'_key'!$A$1997),FALSE),"✓","✗"))</f>
        <v>0</v>
      </c>
      <c r="AA60" s="31">
        <f>IF(ISBLANK(P60),"",IF(IFERROR(ABS(P60-'_key'!$A$1998)&lt;=0.01,FALSE),"✓","✗"))</f>
        <v>0</v>
      </c>
      <c r="AB60" s="31">
        <f>IF(ISBLANK(Q60),"",IF(IFERROR(ABS(Q60-'_key'!$A$1999)&lt;=0.01,FALSE),"✓","✗"))</f>
        <v>0</v>
      </c>
    </row>
    <row r="61" spans="1:28">
      <c r="A61" s="47" t="s">
        <v>236</v>
      </c>
      <c r="B61" s="47" t="s">
        <v>5746</v>
      </c>
      <c r="C61" s="47" t="s">
        <v>5573</v>
      </c>
      <c r="D61" s="47" t="s">
        <v>5747</v>
      </c>
      <c r="E61" s="47" t="s">
        <v>5748</v>
      </c>
      <c r="F61" s="47" t="s">
        <v>5544</v>
      </c>
      <c r="H61" s="28"/>
      <c r="I61" s="28"/>
      <c r="J61" s="28"/>
      <c r="K61" s="29"/>
      <c r="L61" s="36"/>
      <c r="M61" s="28"/>
      <c r="N61" s="28"/>
      <c r="O61" s="28"/>
      <c r="P61" s="29"/>
      <c r="Q61" s="28"/>
      <c r="S61" s="31">
        <f>IF(ISBLANK(H61),"",IF(IFERROR(EXACT(H61,'_key'!$A$2000),FALSE),"✓","✗"))</f>
        <v>0</v>
      </c>
      <c r="T61" s="31">
        <f>IF(ISBLANK(I61),"",IF(IFERROR(EXACT(I61,'_key'!$A$2001),FALSE),"✓","✗"))</f>
        <v>0</v>
      </c>
      <c r="U61" s="31">
        <f>IF(ISBLANK(J61),"",IF(IFERROR(EXACT(J61,'_key'!$A$2002),FALSE),"✓","✗"))</f>
        <v>0</v>
      </c>
      <c r="V61" s="31">
        <f>IF(ISBLANK(K61),"",IF(IFERROR(ABS(K61-'_key'!$A$2003)&lt;=0.01,FALSE),"✓","✗"))</f>
        <v>0</v>
      </c>
      <c r="W61" s="31">
        <f>IF(ISBLANK(L61),"",IF(IFERROR(ABS(L61-'_key'!$A$2004)&lt;=0.01,FALSE),"✓","✗"))</f>
        <v>0</v>
      </c>
      <c r="X61" s="31">
        <f>IF(ISBLANK(M61),"",IF(IFERROR(EXACT(M61,'_key'!$A$2005),FALSE),"✓","✗"))</f>
        <v>0</v>
      </c>
      <c r="Y61" s="31">
        <f>IF(ISBLANK(N61),"",IF(IFERROR(EXACT(N61,'_key'!$A$2006),FALSE),"✓","✗"))</f>
        <v>0</v>
      </c>
      <c r="Z61" s="31">
        <f>IF(ISBLANK(O61),"",IF(IFERROR(EXACT(O61,'_key'!$A$2007),FALSE),"✓","✗"))</f>
        <v>0</v>
      </c>
      <c r="AA61" s="31">
        <f>IF(ISBLANK(P61),"",IF(IFERROR(ABS(P61-'_key'!$A$2008)&lt;=0.01,FALSE),"✓","✗"))</f>
        <v>0</v>
      </c>
      <c r="AB61" s="31">
        <f>IF(ISBLANK(Q61),"",IF(IFERROR(ABS(Q61-'_key'!$A$2009)&lt;=0.01,FALSE),"✓","✗"))</f>
        <v>0</v>
      </c>
    </row>
    <row r="62" spans="1:28">
      <c r="A62" s="47" t="s">
        <v>242</v>
      </c>
      <c r="B62" s="47" t="s">
        <v>5749</v>
      </c>
      <c r="C62" s="47" t="s">
        <v>5597</v>
      </c>
      <c r="D62" s="47" t="s">
        <v>5750</v>
      </c>
      <c r="E62" s="47" t="s">
        <v>5751</v>
      </c>
      <c r="F62" s="47" t="s">
        <v>5549</v>
      </c>
      <c r="H62" s="28"/>
      <c r="I62" s="28"/>
      <c r="J62" s="28"/>
      <c r="K62" s="29"/>
      <c r="L62" s="36"/>
      <c r="M62" s="28"/>
      <c r="N62" s="28"/>
      <c r="O62" s="28"/>
      <c r="P62" s="29"/>
      <c r="Q62" s="28"/>
      <c r="S62" s="31">
        <f>IF(ISBLANK(H62),"",IF(IFERROR(EXACT(H62,'_key'!$A$2010),FALSE),"✓","✗"))</f>
        <v>0</v>
      </c>
      <c r="T62" s="31">
        <f>IF(ISBLANK(I62),"",IF(IFERROR(EXACT(I62,'_key'!$A$2011),FALSE),"✓","✗"))</f>
        <v>0</v>
      </c>
      <c r="U62" s="31">
        <f>IF(ISBLANK(J62),"",IF(IFERROR(EXACT(J62,'_key'!$A$2012),FALSE),"✓","✗"))</f>
        <v>0</v>
      </c>
      <c r="V62" s="31">
        <f>IF(ISBLANK(K62),"",IF(IFERROR(ABS(K62-'_key'!$A$2013)&lt;=0.01,FALSE),"✓","✗"))</f>
        <v>0</v>
      </c>
      <c r="W62" s="31">
        <f>IF(ISBLANK(L62),"",IF(IFERROR(ABS(L62-'_key'!$A$2014)&lt;=0.01,FALSE),"✓","✗"))</f>
        <v>0</v>
      </c>
      <c r="X62" s="31">
        <f>IF(ISBLANK(M62),"",IF(IFERROR(EXACT(M62,'_key'!$A$2015),FALSE),"✓","✗"))</f>
        <v>0</v>
      </c>
      <c r="Y62" s="31">
        <f>IF(ISBLANK(N62),"",IF(IFERROR(EXACT(N62,'_key'!$A$2016),FALSE),"✓","✗"))</f>
        <v>0</v>
      </c>
      <c r="Z62" s="31">
        <f>IF(ISBLANK(O62),"",IF(IFERROR(EXACT(O62,'_key'!$A$2017),FALSE),"✓","✗"))</f>
        <v>0</v>
      </c>
      <c r="AA62" s="31">
        <f>IF(ISBLANK(P62),"",IF(IFERROR(ABS(P62-'_key'!$A$2018)&lt;=0.01,FALSE),"✓","✗"))</f>
        <v>0</v>
      </c>
      <c r="AB62" s="31">
        <f>IF(ISBLANK(Q62),"",IF(IFERROR(ABS(Q62-'_key'!$A$2019)&lt;=0.01,FALSE),"✓","✗"))</f>
        <v>0</v>
      </c>
    </row>
    <row r="63" spans="1:28">
      <c r="A63" s="47" t="s">
        <v>5752</v>
      </c>
      <c r="B63" s="47" t="s">
        <v>5753</v>
      </c>
      <c r="C63" s="47" t="s">
        <v>5551</v>
      </c>
      <c r="D63" s="47" t="s">
        <v>5754</v>
      </c>
      <c r="E63" s="47" t="s">
        <v>5755</v>
      </c>
      <c r="F63" s="47" t="s">
        <v>365</v>
      </c>
      <c r="H63" s="28"/>
      <c r="I63" s="28"/>
      <c r="J63" s="28"/>
      <c r="K63" s="29"/>
      <c r="L63" s="36"/>
      <c r="M63" s="28"/>
      <c r="N63" s="28"/>
      <c r="O63" s="28"/>
      <c r="P63" s="29"/>
      <c r="Q63" s="28"/>
      <c r="S63" s="31">
        <f>IF(ISBLANK(H63),"",IF(IFERROR(EXACT(H63,'_key'!$A$2020),FALSE),"✓","✗"))</f>
        <v>0</v>
      </c>
      <c r="T63" s="31">
        <f>IF(ISBLANK(I63),"",IF(IFERROR(EXACT(I63,'_key'!$A$2021),FALSE),"✓","✗"))</f>
        <v>0</v>
      </c>
      <c r="U63" s="31">
        <f>IF(ISBLANK(J63),"",IF(IFERROR(EXACT(J63,'_key'!$A$2022),FALSE),"✓","✗"))</f>
        <v>0</v>
      </c>
      <c r="V63" s="31">
        <f>IF(ISBLANK(K63),"",IF(IFERROR(ABS(K63-'_key'!$A$2023)&lt;=0.01,FALSE),"✓","✗"))</f>
        <v>0</v>
      </c>
      <c r="W63" s="31">
        <f>IF(ISBLANK(L63),"",IF(IFERROR(ABS(L63-'_key'!$A$2024)&lt;=0.01,FALSE),"✓","✗"))</f>
        <v>0</v>
      </c>
      <c r="X63" s="31">
        <f>IF(ISBLANK(M63),"",IF(IFERROR(EXACT(M63,'_key'!$A$2025),FALSE),"✓","✗"))</f>
        <v>0</v>
      </c>
      <c r="Y63" s="31">
        <f>IF(ISBLANK(N63),"",IF(IFERROR(EXACT(N63,'_key'!$A$2026),FALSE),"✓","✗"))</f>
        <v>0</v>
      </c>
      <c r="Z63" s="31">
        <f>IF(ISBLANK(O63),"",IF(IFERROR(EXACT(O63,'_key'!$A$2027),FALSE),"✓","✗"))</f>
        <v>0</v>
      </c>
      <c r="AA63" s="31">
        <f>IF(ISBLANK(P63),"",IF(IFERROR(ABS(P63-'_key'!$A$2028)&lt;=0.01,FALSE),"✓","✗"))</f>
        <v>0</v>
      </c>
      <c r="AB63" s="31">
        <f>IF(ISBLANK(Q63),"",IF(IFERROR(ABS(Q63-'_key'!$A$2029)&lt;=0.01,FALSE),"✓","✗"))</f>
        <v>0</v>
      </c>
    </row>
    <row r="64" spans="1:28">
      <c r="A64" s="47" t="s">
        <v>5756</v>
      </c>
      <c r="B64" s="47" t="s">
        <v>5757</v>
      </c>
      <c r="C64" s="47" t="s">
        <v>5566</v>
      </c>
      <c r="D64" s="47" t="s">
        <v>5758</v>
      </c>
      <c r="E64" s="47" t="s">
        <v>5759</v>
      </c>
      <c r="F64" s="47" t="s">
        <v>369</v>
      </c>
      <c r="H64" s="28"/>
      <c r="I64" s="28"/>
      <c r="J64" s="28"/>
      <c r="K64" s="29"/>
      <c r="L64" s="36"/>
      <c r="M64" s="28"/>
      <c r="N64" s="28"/>
      <c r="O64" s="28"/>
      <c r="P64" s="29"/>
      <c r="Q64" s="28"/>
      <c r="S64" s="31">
        <f>IF(ISBLANK(H64),"",IF(IFERROR(EXACT(H64,'_key'!$A$2030),FALSE),"✓","✗"))</f>
        <v>0</v>
      </c>
      <c r="T64" s="31">
        <f>IF(ISBLANK(I64),"",IF(IFERROR(EXACT(I64,'_key'!$A$2031),FALSE),"✓","✗"))</f>
        <v>0</v>
      </c>
      <c r="U64" s="31">
        <f>IF(ISBLANK(J64),"",IF(IFERROR(EXACT(J64,'_key'!$A$2032),FALSE),"✓","✗"))</f>
        <v>0</v>
      </c>
      <c r="V64" s="31">
        <f>IF(ISBLANK(K64),"",IF(IFERROR(ABS(K64-'_key'!$A$2033)&lt;=0.01,FALSE),"✓","✗"))</f>
        <v>0</v>
      </c>
      <c r="W64" s="31">
        <f>IF(ISBLANK(L64),"",IF(IFERROR(ABS(L64-'_key'!$A$2034)&lt;=0.01,FALSE),"✓","✗"))</f>
        <v>0</v>
      </c>
      <c r="X64" s="31">
        <f>IF(ISBLANK(M64),"",IF(IFERROR(EXACT(M64,'_key'!$A$2035),FALSE),"✓","✗"))</f>
        <v>0</v>
      </c>
      <c r="Y64" s="31">
        <f>IF(ISBLANK(N64),"",IF(IFERROR(EXACT(N64,'_key'!$A$2036),FALSE),"✓","✗"))</f>
        <v>0</v>
      </c>
      <c r="Z64" s="31">
        <f>IF(ISBLANK(O64),"",IF(IFERROR(EXACT(O64,'_key'!$A$2037),FALSE),"✓","✗"))</f>
        <v>0</v>
      </c>
      <c r="AA64" s="31">
        <f>IF(ISBLANK(P64),"",IF(IFERROR(ABS(P64-'_key'!$A$2038)&lt;=0.01,FALSE),"✓","✗"))</f>
        <v>0</v>
      </c>
      <c r="AB64" s="31">
        <f>IF(ISBLANK(Q64),"",IF(IFERROR(ABS(Q64-'_key'!$A$2039)&lt;=0.01,FALSE),"✓","✗"))</f>
        <v>0</v>
      </c>
    </row>
    <row r="65" spans="1:28">
      <c r="A65" s="47" t="s">
        <v>5760</v>
      </c>
      <c r="B65" s="47" t="s">
        <v>5761</v>
      </c>
      <c r="C65" s="47" t="s">
        <v>5541</v>
      </c>
      <c r="D65" s="47" t="s">
        <v>5762</v>
      </c>
      <c r="E65" s="47" t="s">
        <v>5763</v>
      </c>
      <c r="F65" s="47" t="s">
        <v>5724</v>
      </c>
      <c r="H65" s="28"/>
      <c r="I65" s="28"/>
      <c r="J65" s="28"/>
      <c r="K65" s="29"/>
      <c r="L65" s="36"/>
      <c r="M65" s="28"/>
      <c r="N65" s="28"/>
      <c r="O65" s="28"/>
      <c r="P65" s="29"/>
      <c r="Q65" s="28"/>
      <c r="S65" s="31">
        <f>IF(ISBLANK(H65),"",IF(IFERROR(EXACT(H65,'_key'!$A$2040),FALSE),"✓","✗"))</f>
        <v>0</v>
      </c>
      <c r="T65" s="31">
        <f>IF(ISBLANK(I65),"",IF(IFERROR(EXACT(I65,'_key'!$A$2041),FALSE),"✓","✗"))</f>
        <v>0</v>
      </c>
      <c r="U65" s="31">
        <f>IF(ISBLANK(J65),"",IF(IFERROR(EXACT(J65,'_key'!$A$2042),FALSE),"✓","✗"))</f>
        <v>0</v>
      </c>
      <c r="V65" s="31">
        <f>IF(ISBLANK(K65),"",IF(IFERROR(ABS(K65-'_key'!$A$2043)&lt;=0.01,FALSE),"✓","✗"))</f>
        <v>0</v>
      </c>
      <c r="W65" s="31">
        <f>IF(ISBLANK(L65),"",IF(IFERROR(ABS(L65-'_key'!$A$2044)&lt;=0.01,FALSE),"✓","✗"))</f>
        <v>0</v>
      </c>
      <c r="X65" s="31">
        <f>IF(ISBLANK(M65),"",IF(IFERROR(EXACT(M65,'_key'!$A$2045),FALSE),"✓","✗"))</f>
        <v>0</v>
      </c>
      <c r="Y65" s="31">
        <f>IF(ISBLANK(N65),"",IF(IFERROR(EXACT(N65,'_key'!$A$2046),FALSE),"✓","✗"))</f>
        <v>0</v>
      </c>
      <c r="Z65" s="31">
        <f>IF(ISBLANK(O65),"",IF(IFERROR(EXACT(O65,'_key'!$A$2047),FALSE),"✓","✗"))</f>
        <v>0</v>
      </c>
      <c r="AA65" s="31">
        <f>IF(ISBLANK(P65),"",IF(IFERROR(ABS(P65-'_key'!$A$2048)&lt;=0.01,FALSE),"✓","✗"))</f>
        <v>0</v>
      </c>
      <c r="AB65" s="31">
        <f>IF(ISBLANK(Q65),"",IF(IFERROR(ABS(Q65-'_key'!$A$2049)&lt;=0.01,FALSE),"✓","✗"))</f>
        <v>0</v>
      </c>
    </row>
  </sheetData>
  <mergeCells count="4">
    <mergeCell ref="A1:AB1"/>
    <mergeCell ref="A2:AB2"/>
    <mergeCell ref="A3:AB3"/>
    <mergeCell ref="AD15:AF18"/>
  </mergeCells>
  <conditionalFormatting sqref="AF7:AF13">
    <cfRule type="cellIs" dxfId="5" priority="7" operator="equal">
      <formula>"✓"</formula>
    </cfRule>
    <cfRule type="cellIs" dxfId="6" priority="8" operator="equal">
      <formula>"✗"</formula>
    </cfRule>
  </conditionalFormatting>
  <conditionalFormatting sqref="J8:J65">
    <cfRule type="cellIs" dxfId="14" priority="6" operator="equal">
      <formula>"Revisar"</formula>
    </cfRule>
  </conditionalFormatting>
  <conditionalFormatting sqref="N8:N65">
    <cfRule type="cellIs" dxfId="6" priority="3" operator="equal">
      <formula>"Duplicado"</formula>
    </cfRule>
  </conditionalFormatting>
  <conditionalFormatting sqref="O8:O65">
    <cfRule type="cellIs" dxfId="6" priority="4" operator="equal">
      <formula>"No"</formula>
    </cfRule>
  </conditionalFormatting>
  <conditionalFormatting sqref="Q8:Q65">
    <cfRule type="cellIs" dxfId="6" priority="5" operator="greaterThan">
      <formula>0</formula>
    </cfRule>
  </conditionalFormatting>
  <conditionalFormatting sqref="S8:AB65">
    <cfRule type="cellIs" dxfId="5" priority="1" operator="equal">
      <formula>"✓"</formula>
    </cfRule>
    <cfRule type="cellIs" dxfId="6" priority="2" operator="equal">
      <formula>"✗"</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sheetPr>
    <tabColor rgb="FFFFC000"/>
  </sheetPr>
  <dimension ref="A1:O70"/>
  <sheetViews>
    <sheetView workbookViewId="0"/>
  </sheetViews>
  <sheetFormatPr defaultRowHeight="15"/>
  <cols>
    <col min="1" max="1" width="24.7109375" customWidth="1"/>
    <col min="2" max="9" width="13.7109375" customWidth="1"/>
    <col min="10" max="10" width="2.7109375" customWidth="1"/>
    <col min="11" max="18" width="4.7109375" customWidth="1"/>
  </cols>
  <sheetData>
    <row r="1" spans="1:15" ht="26" customHeight="1">
      <c r="A1" s="18" t="s">
        <v>5773</v>
      </c>
      <c r="B1" s="18"/>
      <c r="C1" s="18"/>
      <c r="D1" s="18"/>
      <c r="E1" s="18"/>
      <c r="F1" s="18"/>
      <c r="G1" s="18"/>
      <c r="H1" s="18"/>
      <c r="I1" s="18"/>
      <c r="J1" s="18"/>
      <c r="K1" s="18"/>
      <c r="L1" s="18"/>
      <c r="M1" s="18"/>
      <c r="N1" s="18"/>
      <c r="O1" s="18"/>
    </row>
    <row r="2" spans="1:15" ht="45" customHeight="1">
      <c r="A2" s="3" t="s">
        <v>5774</v>
      </c>
      <c r="B2" s="3"/>
      <c r="C2" s="3"/>
      <c r="D2" s="3"/>
      <c r="E2" s="3"/>
      <c r="F2" s="3"/>
      <c r="G2" s="3"/>
      <c r="H2" s="3"/>
      <c r="I2" s="3"/>
      <c r="J2" s="3"/>
      <c r="K2" s="3"/>
      <c r="L2" s="3"/>
      <c r="M2" s="3"/>
      <c r="N2" s="3"/>
      <c r="O2" s="3"/>
    </row>
    <row r="3" spans="1:15" ht="45" customHeight="1">
      <c r="A3" s="25" t="s">
        <v>5775</v>
      </c>
      <c r="B3" s="25"/>
      <c r="C3" s="25"/>
      <c r="D3" s="25"/>
      <c r="E3" s="25"/>
      <c r="F3" s="25"/>
      <c r="G3" s="25"/>
      <c r="H3" s="25"/>
      <c r="I3" s="25"/>
      <c r="J3" s="25"/>
      <c r="K3" s="25"/>
      <c r="L3" s="25"/>
      <c r="M3" s="25"/>
      <c r="N3" s="25"/>
      <c r="O3" s="25"/>
    </row>
    <row r="5" spans="1:15">
      <c r="A5" s="48" t="s">
        <v>5776</v>
      </c>
      <c r="B5" s="48"/>
      <c r="C5" s="48"/>
      <c r="D5" s="48"/>
      <c r="E5" s="48"/>
      <c r="F5" s="48"/>
      <c r="G5" s="48"/>
      <c r="H5" s="48"/>
      <c r="I5" s="48"/>
    </row>
    <row r="6" spans="1:15" ht="58" customHeight="1">
      <c r="A6" s="49" t="s">
        <v>5777</v>
      </c>
      <c r="B6" s="49"/>
      <c r="C6" s="49"/>
      <c r="D6" s="49"/>
      <c r="E6" s="49"/>
      <c r="F6" s="49"/>
      <c r="G6" s="49"/>
      <c r="H6" s="49"/>
      <c r="I6" s="49"/>
    </row>
    <row r="7" spans="1:15">
      <c r="A7" s="7" t="s">
        <v>5</v>
      </c>
      <c r="B7" s="7" t="s">
        <v>5380</v>
      </c>
      <c r="C7" s="7" t="s">
        <v>5382</v>
      </c>
      <c r="D7" s="7" t="s">
        <v>5778</v>
      </c>
      <c r="K7" s="7" t="s">
        <v>5348</v>
      </c>
      <c r="L7" s="7" t="s">
        <v>5349</v>
      </c>
      <c r="M7" s="7" t="s">
        <v>5350</v>
      </c>
    </row>
    <row r="8" spans="1:15">
      <c r="A8" s="17" t="s">
        <v>34</v>
      </c>
      <c r="B8" s="28"/>
      <c r="C8" s="29"/>
      <c r="D8" s="37"/>
      <c r="K8" s="31">
        <f>IF(ISBLANK(B8),"",IF(IFERROR(ABS(B8-'_key'!$A$2057)&lt;=0.005,FALSE),"✓","✗"))</f>
        <v>0</v>
      </c>
      <c r="L8" s="31">
        <f>IF(ISBLANK(C8),"",IF(IFERROR(ABS(C8-'_key'!$A$2058)&lt;=0.005,FALSE),"✓","✗"))</f>
        <v>0</v>
      </c>
      <c r="M8" s="31">
        <f>IF(ISBLANK(D8),"",IF(IFERROR(ABS(D8-'_key'!$A$2059)&lt;=0.0005,FALSE),"✓","✗"))</f>
        <v>0</v>
      </c>
    </row>
    <row r="9" spans="1:15">
      <c r="A9" s="17" t="s">
        <v>39</v>
      </c>
      <c r="B9" s="28"/>
      <c r="C9" s="29"/>
      <c r="D9" s="37"/>
      <c r="K9" s="31">
        <f>IF(ISBLANK(B9),"",IF(IFERROR(ABS(B9-'_key'!$A$2060)&lt;=0.005,FALSE),"✓","✗"))</f>
        <v>0</v>
      </c>
      <c r="L9" s="31">
        <f>IF(ISBLANK(C9),"",IF(IFERROR(ABS(C9-'_key'!$A$2061)&lt;=0.005,FALSE),"✓","✗"))</f>
        <v>0</v>
      </c>
      <c r="M9" s="31">
        <f>IF(ISBLANK(D9),"",IF(IFERROR(ABS(D9-'_key'!$A$2062)&lt;=0.0005,FALSE),"✓","✗"))</f>
        <v>0</v>
      </c>
    </row>
    <row r="10" spans="1:15">
      <c r="A10" s="17" t="s">
        <v>61</v>
      </c>
      <c r="B10" s="28"/>
      <c r="C10" s="29"/>
      <c r="D10" s="37"/>
      <c r="K10" s="31">
        <f>IF(ISBLANK(B10),"",IF(IFERROR(ABS(B10-'_key'!$A$2063)&lt;=0.005,FALSE),"✓","✗"))</f>
        <v>0</v>
      </c>
      <c r="L10" s="31">
        <f>IF(ISBLANK(C10),"",IF(IFERROR(ABS(C10-'_key'!$A$2064)&lt;=0.005,FALSE),"✓","✗"))</f>
        <v>0</v>
      </c>
      <c r="M10" s="31">
        <f>IF(ISBLANK(D10),"",IF(IFERROR(ABS(D10-'_key'!$A$2065)&lt;=0.0005,FALSE),"✓","✗"))</f>
        <v>0</v>
      </c>
    </row>
    <row r="11" spans="1:15">
      <c r="A11" s="17" t="s">
        <v>65</v>
      </c>
      <c r="B11" s="28"/>
      <c r="C11" s="29"/>
      <c r="D11" s="37"/>
      <c r="K11" s="31">
        <f>IF(ISBLANK(B11),"",IF(IFERROR(ABS(B11-'_key'!$A$2066)&lt;=0.005,FALSE),"✓","✗"))</f>
        <v>0</v>
      </c>
      <c r="L11" s="31">
        <f>IF(ISBLANK(C11),"",IF(IFERROR(ABS(C11-'_key'!$A$2067)&lt;=0.005,FALSE),"✓","✗"))</f>
        <v>0</v>
      </c>
      <c r="M11" s="31">
        <f>IF(ISBLANK(D11),"",IF(IFERROR(ABS(D11-'_key'!$A$2068)&lt;=0.0005,FALSE),"✓","✗"))</f>
        <v>0</v>
      </c>
    </row>
    <row r="12" spans="1:15">
      <c r="A12" s="17" t="s">
        <v>19</v>
      </c>
      <c r="B12" s="28"/>
      <c r="C12" s="29"/>
      <c r="D12" s="37"/>
      <c r="K12" s="31">
        <f>IF(ISBLANK(B12),"",IF(IFERROR(ABS(B12-'_key'!$A$2069)&lt;=0.005,FALSE),"✓","✗"))</f>
        <v>0</v>
      </c>
      <c r="L12" s="31">
        <f>IF(ISBLANK(C12),"",IF(IFERROR(ABS(C12-'_key'!$A$2070)&lt;=0.005,FALSE),"✓","✗"))</f>
        <v>0</v>
      </c>
      <c r="M12" s="31">
        <f>IF(ISBLANK(D12),"",IF(IFERROR(ABS(D12-'_key'!$A$2071)&lt;=0.0005,FALSE),"✓","✗"))</f>
        <v>0</v>
      </c>
    </row>
    <row r="13" spans="1:15">
      <c r="A13" s="17" t="s">
        <v>68</v>
      </c>
      <c r="B13" s="28"/>
      <c r="C13" s="29"/>
      <c r="D13" s="37"/>
      <c r="K13" s="31">
        <f>IF(ISBLANK(B13),"",IF(IFERROR(ABS(B13-'_key'!$A$2072)&lt;=0.005,FALSE),"✓","✗"))</f>
        <v>0</v>
      </c>
      <c r="L13" s="31">
        <f>IF(ISBLANK(C13),"",IF(IFERROR(ABS(C13-'_key'!$A$2073)&lt;=0.005,FALSE),"✓","✗"))</f>
        <v>0</v>
      </c>
      <c r="M13" s="31">
        <f>IF(ISBLANK(D13),"",IF(IFERROR(ABS(D13-'_key'!$A$2074)&lt;=0.0005,FALSE),"✓","✗"))</f>
        <v>0</v>
      </c>
    </row>
    <row r="15" spans="1:15">
      <c r="A15" s="48" t="s">
        <v>5779</v>
      </c>
      <c r="B15" s="48"/>
      <c r="C15" s="48"/>
      <c r="D15" s="48"/>
      <c r="E15" s="48"/>
      <c r="F15" s="48"/>
      <c r="G15" s="48"/>
      <c r="H15" s="48"/>
      <c r="I15" s="48"/>
    </row>
    <row r="16" spans="1:15" ht="58" customHeight="1">
      <c r="A16" s="49" t="s">
        <v>5780</v>
      </c>
      <c r="B16" s="49"/>
      <c r="C16" s="49"/>
      <c r="D16" s="49"/>
      <c r="E16" s="49"/>
      <c r="F16" s="49"/>
      <c r="G16" s="49"/>
      <c r="H16" s="49"/>
      <c r="I16" s="49"/>
    </row>
    <row r="17" spans="1:13">
      <c r="A17" s="7" t="s">
        <v>370</v>
      </c>
      <c r="B17" s="7" t="s">
        <v>16</v>
      </c>
      <c r="C17" s="7" t="s">
        <v>25</v>
      </c>
      <c r="D17" s="7" t="s">
        <v>37</v>
      </c>
      <c r="K17" s="7" t="s">
        <v>5348</v>
      </c>
      <c r="L17" s="7" t="s">
        <v>5349</v>
      </c>
      <c r="M17" s="7" t="s">
        <v>5350</v>
      </c>
    </row>
    <row r="18" spans="1:13">
      <c r="A18" s="50">
        <v>45931</v>
      </c>
      <c r="B18" s="30"/>
      <c r="C18" s="30"/>
      <c r="D18" s="30"/>
      <c r="K18" s="31">
        <f>IF(ISBLANK(B18),"",IF(IFERROR(ABS(B18-'_key'!$A$2075)&lt;=0.005,FALSE),"✓","✗"))</f>
        <v>0</v>
      </c>
      <c r="L18" s="31">
        <f>IF(ISBLANK(C18),"",IF(IFERROR(ABS(C18-'_key'!$A$2076)&lt;=0.005,FALSE),"✓","✗"))</f>
        <v>0</v>
      </c>
      <c r="M18" s="31">
        <f>IF(ISBLANK(D18),"",IF(IFERROR(ABS(D18-'_key'!$A$2077)&lt;=0.005,FALSE),"✓","✗"))</f>
        <v>0</v>
      </c>
    </row>
    <row r="19" spans="1:13">
      <c r="A19" s="50">
        <v>45962</v>
      </c>
      <c r="B19" s="30"/>
      <c r="C19" s="30"/>
      <c r="D19" s="30"/>
      <c r="K19" s="31">
        <f>IF(ISBLANK(B19),"",IF(IFERROR(ABS(B19-'_key'!$A$2078)&lt;=0.005,FALSE),"✓","✗"))</f>
        <v>0</v>
      </c>
      <c r="L19" s="31">
        <f>IF(ISBLANK(C19),"",IF(IFERROR(ABS(C19-'_key'!$A$2079)&lt;=0.005,FALSE),"✓","✗"))</f>
        <v>0</v>
      </c>
      <c r="M19" s="31">
        <f>IF(ISBLANK(D19),"",IF(IFERROR(ABS(D19-'_key'!$A$2080)&lt;=0.005,FALSE),"✓","✗"))</f>
        <v>0</v>
      </c>
    </row>
    <row r="20" spans="1:13">
      <c r="A20" s="50">
        <v>45992</v>
      </c>
      <c r="B20" s="30"/>
      <c r="C20" s="30"/>
      <c r="D20" s="30"/>
      <c r="K20" s="31">
        <f>IF(ISBLANK(B20),"",IF(IFERROR(ABS(B20-'_key'!$A$2081)&lt;=0.005,FALSE),"✓","✗"))</f>
        <v>0</v>
      </c>
      <c r="L20" s="31">
        <f>IF(ISBLANK(C20),"",IF(IFERROR(ABS(C20-'_key'!$A$2082)&lt;=0.005,FALSE),"✓","✗"))</f>
        <v>0</v>
      </c>
      <c r="M20" s="31">
        <f>IF(ISBLANK(D20),"",IF(IFERROR(ABS(D20-'_key'!$A$2083)&lt;=0.005,FALSE),"✓","✗"))</f>
        <v>0</v>
      </c>
    </row>
    <row r="21" spans="1:13">
      <c r="A21" s="50">
        <v>46023</v>
      </c>
      <c r="B21" s="30"/>
      <c r="C21" s="30"/>
      <c r="D21" s="30"/>
      <c r="K21" s="31">
        <f>IF(ISBLANK(B21),"",IF(IFERROR(ABS(B21-'_key'!$A$2084)&lt;=0.005,FALSE),"✓","✗"))</f>
        <v>0</v>
      </c>
      <c r="L21" s="31">
        <f>IF(ISBLANK(C21),"",IF(IFERROR(ABS(C21-'_key'!$A$2085)&lt;=0.005,FALSE),"✓","✗"))</f>
        <v>0</v>
      </c>
      <c r="M21" s="31">
        <f>IF(ISBLANK(D21),"",IF(IFERROR(ABS(D21-'_key'!$A$2086)&lt;=0.005,FALSE),"✓","✗"))</f>
        <v>0</v>
      </c>
    </row>
    <row r="22" spans="1:13">
      <c r="A22" s="50">
        <v>46054</v>
      </c>
      <c r="B22" s="30"/>
      <c r="C22" s="30"/>
      <c r="D22" s="30"/>
      <c r="K22" s="31">
        <f>IF(ISBLANK(B22),"",IF(IFERROR(ABS(B22-'_key'!$A$2087)&lt;=0.005,FALSE),"✓","✗"))</f>
        <v>0</v>
      </c>
      <c r="L22" s="31">
        <f>IF(ISBLANK(C22),"",IF(IFERROR(ABS(C22-'_key'!$A$2088)&lt;=0.005,FALSE),"✓","✗"))</f>
        <v>0</v>
      </c>
      <c r="M22" s="31">
        <f>IF(ISBLANK(D22),"",IF(IFERROR(ABS(D22-'_key'!$A$2089)&lt;=0.005,FALSE),"✓","✗"))</f>
        <v>0</v>
      </c>
    </row>
    <row r="23" spans="1:13">
      <c r="A23" s="50">
        <v>46082</v>
      </c>
      <c r="B23" s="30"/>
      <c r="C23" s="30"/>
      <c r="D23" s="30"/>
      <c r="K23" s="31">
        <f>IF(ISBLANK(B23),"",IF(IFERROR(ABS(B23-'_key'!$A$2090)&lt;=0.005,FALSE),"✓","✗"))</f>
        <v>0</v>
      </c>
      <c r="L23" s="31">
        <f>IF(ISBLANK(C23),"",IF(IFERROR(ABS(C23-'_key'!$A$2091)&lt;=0.005,FALSE),"✓","✗"))</f>
        <v>0</v>
      </c>
      <c r="M23" s="31">
        <f>IF(ISBLANK(D23),"",IF(IFERROR(ABS(D23-'_key'!$A$2092)&lt;=0.005,FALSE),"✓","✗"))</f>
        <v>0</v>
      </c>
    </row>
    <row r="24" spans="1:13">
      <c r="A24" s="50">
        <v>46113</v>
      </c>
      <c r="B24" s="30"/>
      <c r="C24" s="30"/>
      <c r="D24" s="30"/>
      <c r="K24" s="31">
        <f>IF(ISBLANK(B24),"",IF(IFERROR(ABS(B24-'_key'!$A$2093)&lt;=0.005,FALSE),"✓","✗"))</f>
        <v>0</v>
      </c>
      <c r="L24" s="31">
        <f>IF(ISBLANK(C24),"",IF(IFERROR(ABS(C24-'_key'!$A$2094)&lt;=0.005,FALSE),"✓","✗"))</f>
        <v>0</v>
      </c>
      <c r="M24" s="31">
        <f>IF(ISBLANK(D24),"",IF(IFERROR(ABS(D24-'_key'!$A$2095)&lt;=0.005,FALSE),"✓","✗"))</f>
        <v>0</v>
      </c>
    </row>
    <row r="25" spans="1:13">
      <c r="A25" s="50">
        <v>46143</v>
      </c>
      <c r="B25" s="30"/>
      <c r="C25" s="30"/>
      <c r="D25" s="30"/>
      <c r="K25" s="31">
        <f>IF(ISBLANK(B25),"",IF(IFERROR(ABS(B25-'_key'!$A$2096)&lt;=0.005,FALSE),"✓","✗"))</f>
        <v>0</v>
      </c>
      <c r="L25" s="31">
        <f>IF(ISBLANK(C25),"",IF(IFERROR(ABS(C25-'_key'!$A$2097)&lt;=0.005,FALSE),"✓","✗"))</f>
        <v>0</v>
      </c>
      <c r="M25" s="31">
        <f>IF(ISBLANK(D25),"",IF(IFERROR(ABS(D25-'_key'!$A$2098)&lt;=0.005,FALSE),"✓","✗"))</f>
        <v>0</v>
      </c>
    </row>
    <row r="26" spans="1:13">
      <c r="A26" s="50">
        <v>46174</v>
      </c>
      <c r="B26" s="30"/>
      <c r="C26" s="30"/>
      <c r="D26" s="30"/>
      <c r="K26" s="31">
        <f>IF(ISBLANK(B26),"",IF(IFERROR(ABS(B26-'_key'!$A$2099)&lt;=0.005,FALSE),"✓","✗"))</f>
        <v>0</v>
      </c>
      <c r="L26" s="31">
        <f>IF(ISBLANK(C26),"",IF(IFERROR(ABS(C26-'_key'!$A$2100)&lt;=0.005,FALSE),"✓","✗"))</f>
        <v>0</v>
      </c>
      <c r="M26" s="31">
        <f>IF(ISBLANK(D26),"",IF(IFERROR(ABS(D26-'_key'!$A$2101)&lt;=0.005,FALSE),"✓","✗"))</f>
        <v>0</v>
      </c>
    </row>
    <row r="27" spans="1:13">
      <c r="A27" s="50">
        <v>46204</v>
      </c>
      <c r="B27" s="30"/>
      <c r="C27" s="30"/>
      <c r="D27" s="30"/>
      <c r="K27" s="31">
        <f>IF(ISBLANK(B27),"",IF(IFERROR(ABS(B27-'_key'!$A$2102)&lt;=0.005,FALSE),"✓","✗"))</f>
        <v>0</v>
      </c>
      <c r="L27" s="31">
        <f>IF(ISBLANK(C27),"",IF(IFERROR(ABS(C27-'_key'!$A$2103)&lt;=0.005,FALSE),"✓","✗"))</f>
        <v>0</v>
      </c>
      <c r="M27" s="31">
        <f>IF(ISBLANK(D27),"",IF(IFERROR(ABS(D27-'_key'!$A$2104)&lt;=0.005,FALSE),"✓","✗"))</f>
        <v>0</v>
      </c>
    </row>
    <row r="28" spans="1:13">
      <c r="A28" s="50">
        <v>46235</v>
      </c>
      <c r="B28" s="30"/>
      <c r="C28" s="30"/>
      <c r="D28" s="30"/>
      <c r="K28" s="31">
        <f>IF(ISBLANK(B28),"",IF(IFERROR(ABS(B28-'_key'!$A$2105)&lt;=0.005,FALSE),"✓","✗"))</f>
        <v>0</v>
      </c>
      <c r="L28" s="31">
        <f>IF(ISBLANK(C28),"",IF(IFERROR(ABS(C28-'_key'!$A$2106)&lt;=0.005,FALSE),"✓","✗"))</f>
        <v>0</v>
      </c>
      <c r="M28" s="31">
        <f>IF(ISBLANK(D28),"",IF(IFERROR(ABS(D28-'_key'!$A$2107)&lt;=0.005,FALSE),"✓","✗"))</f>
        <v>0</v>
      </c>
    </row>
    <row r="29" spans="1:13">
      <c r="A29" s="50">
        <v>46266</v>
      </c>
      <c r="B29" s="30"/>
      <c r="C29" s="30"/>
      <c r="D29" s="30"/>
      <c r="K29" s="31">
        <f>IF(ISBLANK(B29),"",IF(IFERROR(ABS(B29-'_key'!$A$2108)&lt;=0.005,FALSE),"✓","✗"))</f>
        <v>0</v>
      </c>
      <c r="L29" s="31">
        <f>IF(ISBLANK(C29),"",IF(IFERROR(ABS(C29-'_key'!$A$2109)&lt;=0.005,FALSE),"✓","✗"))</f>
        <v>0</v>
      </c>
      <c r="M29" s="31">
        <f>IF(ISBLANK(D29),"",IF(IFERROR(ABS(D29-'_key'!$A$2110)&lt;=0.005,FALSE),"✓","✗"))</f>
        <v>0</v>
      </c>
    </row>
    <row r="31" spans="1:13">
      <c r="A31" s="48" t="s">
        <v>5781</v>
      </c>
      <c r="B31" s="48"/>
      <c r="C31" s="48"/>
      <c r="D31" s="48"/>
      <c r="E31" s="48"/>
      <c r="F31" s="48"/>
      <c r="G31" s="48"/>
      <c r="H31" s="48"/>
      <c r="I31" s="48"/>
    </row>
    <row r="32" spans="1:13" ht="58" customHeight="1">
      <c r="A32" s="49" t="s">
        <v>5782</v>
      </c>
      <c r="B32" s="49"/>
      <c r="C32" s="49"/>
      <c r="D32" s="49"/>
      <c r="E32" s="49"/>
      <c r="F32" s="49"/>
      <c r="G32" s="49"/>
      <c r="H32" s="49"/>
      <c r="I32" s="49"/>
    </row>
    <row r="33" spans="1:15">
      <c r="A33" s="7" t="s">
        <v>380</v>
      </c>
      <c r="B33" s="7" t="s">
        <v>398</v>
      </c>
      <c r="C33" s="7" t="s">
        <v>404</v>
      </c>
      <c r="D33" s="7" t="s">
        <v>383</v>
      </c>
      <c r="E33" s="7" t="s">
        <v>390</v>
      </c>
      <c r="F33" s="7" t="s">
        <v>5399</v>
      </c>
      <c r="K33" s="7" t="s">
        <v>5348</v>
      </c>
      <c r="L33" s="7" t="s">
        <v>5349</v>
      </c>
      <c r="M33" s="7" t="s">
        <v>5350</v>
      </c>
      <c r="N33" s="7" t="s">
        <v>5351</v>
      </c>
      <c r="O33" s="7" t="s">
        <v>5352</v>
      </c>
    </row>
    <row r="34" spans="1:15">
      <c r="A34" s="17" t="s">
        <v>394</v>
      </c>
      <c r="B34" s="28"/>
      <c r="C34" s="28"/>
      <c r="D34" s="28"/>
      <c r="E34" s="28"/>
      <c r="F34" s="39"/>
      <c r="K34" s="31">
        <f>IF(ISBLANK(B34),"",IF(IFERROR(ABS(B34-'_key'!$A$2111)&lt;=0.005,FALSE),"✓","✗"))</f>
        <v>0</v>
      </c>
      <c r="L34" s="31">
        <f>IF(ISBLANK(C34),"",IF(IFERROR(ABS(C34-'_key'!$A$2112)&lt;=0.005,FALSE),"✓","✗"))</f>
        <v>0</v>
      </c>
      <c r="M34" s="31">
        <f>IF(ISBLANK(D34),"",IF(IFERROR(ABS(D34-'_key'!$A$2113)&lt;=0.005,FALSE),"✓","✗"))</f>
        <v>0</v>
      </c>
      <c r="N34" s="31">
        <f>IF(ISBLANK(E34),"",IF(IFERROR(ABS(E34-'_key'!$A$2114)&lt;=0.005,FALSE),"✓","✗"))</f>
        <v>0</v>
      </c>
      <c r="O34" s="31">
        <f>IF(ISBLANK(F34),"",IF(IFERROR(ABS(F34-'_key'!$A$2115)&lt;=0.005,FALSE),"✓","✗"))</f>
        <v>0</v>
      </c>
    </row>
    <row r="35" spans="1:15">
      <c r="A35" s="17" t="s">
        <v>408</v>
      </c>
      <c r="B35" s="28"/>
      <c r="C35" s="28"/>
      <c r="D35" s="28"/>
      <c r="E35" s="28"/>
      <c r="F35" s="39"/>
      <c r="K35" s="31">
        <f>IF(ISBLANK(B35),"",IF(IFERROR(ABS(B35-'_key'!$A$2116)&lt;=0.005,FALSE),"✓","✗"))</f>
        <v>0</v>
      </c>
      <c r="L35" s="31">
        <f>IF(ISBLANK(C35),"",IF(IFERROR(ABS(C35-'_key'!$A$2117)&lt;=0.005,FALSE),"✓","✗"))</f>
        <v>0</v>
      </c>
      <c r="M35" s="31">
        <f>IF(ISBLANK(D35),"",IF(IFERROR(ABS(D35-'_key'!$A$2118)&lt;=0.005,FALSE),"✓","✗"))</f>
        <v>0</v>
      </c>
      <c r="N35" s="31">
        <f>IF(ISBLANK(E35),"",IF(IFERROR(ABS(E35-'_key'!$A$2119)&lt;=0.005,FALSE),"✓","✗"))</f>
        <v>0</v>
      </c>
      <c r="O35" s="31">
        <f>IF(ISBLANK(F35),"",IF(IFERROR(ABS(F35-'_key'!$A$2120)&lt;=0.005,FALSE),"✓","✗"))</f>
        <v>0</v>
      </c>
    </row>
    <row r="36" spans="1:15">
      <c r="A36" s="17" t="s">
        <v>392</v>
      </c>
      <c r="B36" s="28"/>
      <c r="C36" s="28"/>
      <c r="D36" s="28"/>
      <c r="E36" s="28"/>
      <c r="F36" s="39"/>
      <c r="K36" s="31">
        <f>IF(ISBLANK(B36),"",IF(IFERROR(ABS(B36-'_key'!$A$2121)&lt;=0.005,FALSE),"✓","✗"))</f>
        <v>0</v>
      </c>
      <c r="L36" s="31">
        <f>IF(ISBLANK(C36),"",IF(IFERROR(ABS(C36-'_key'!$A$2122)&lt;=0.005,FALSE),"✓","✗"))</f>
        <v>0</v>
      </c>
      <c r="M36" s="31">
        <f>IF(ISBLANK(D36),"",IF(IFERROR(ABS(D36-'_key'!$A$2123)&lt;=0.005,FALSE),"✓","✗"))</f>
        <v>0</v>
      </c>
      <c r="N36" s="31">
        <f>IF(ISBLANK(E36),"",IF(IFERROR(ABS(E36-'_key'!$A$2124)&lt;=0.005,FALSE),"✓","✗"))</f>
        <v>0</v>
      </c>
      <c r="O36" s="31">
        <f>IF(ISBLANK(F36),"",IF(IFERROR(ABS(F36-'_key'!$A$2125)&lt;=0.005,FALSE),"✓","✗"))</f>
        <v>0</v>
      </c>
    </row>
    <row r="37" spans="1:15">
      <c r="A37" s="17" t="s">
        <v>386</v>
      </c>
      <c r="B37" s="28"/>
      <c r="C37" s="28"/>
      <c r="D37" s="28"/>
      <c r="E37" s="28"/>
      <c r="F37" s="39"/>
      <c r="K37" s="31">
        <f>IF(ISBLANK(B37),"",IF(IFERROR(ABS(B37-'_key'!$A$2126)&lt;=0.005,FALSE),"✓","✗"))</f>
        <v>0</v>
      </c>
      <c r="L37" s="31">
        <f>IF(ISBLANK(C37),"",IF(IFERROR(ABS(C37-'_key'!$A$2127)&lt;=0.005,FALSE),"✓","✗"))</f>
        <v>0</v>
      </c>
      <c r="M37" s="31">
        <f>IF(ISBLANK(D37),"",IF(IFERROR(ABS(D37-'_key'!$A$2128)&lt;=0.005,FALSE),"✓","✗"))</f>
        <v>0</v>
      </c>
      <c r="N37" s="31">
        <f>IF(ISBLANK(E37),"",IF(IFERROR(ABS(E37-'_key'!$A$2129)&lt;=0.005,FALSE),"✓","✗"))</f>
        <v>0</v>
      </c>
      <c r="O37" s="31">
        <f>IF(ISBLANK(F37),"",IF(IFERROR(ABS(F37-'_key'!$A$2130)&lt;=0.005,FALSE),"✓","✗"))</f>
        <v>0</v>
      </c>
    </row>
    <row r="38" spans="1:15">
      <c r="A38" s="17" t="s">
        <v>388</v>
      </c>
      <c r="B38" s="28"/>
      <c r="C38" s="28"/>
      <c r="D38" s="28"/>
      <c r="E38" s="28"/>
      <c r="F38" s="39"/>
      <c r="K38" s="31">
        <f>IF(ISBLANK(B38),"",IF(IFERROR(ABS(B38-'_key'!$A$2131)&lt;=0.005,FALSE),"✓","✗"))</f>
        <v>0</v>
      </c>
      <c r="L38" s="31">
        <f>IF(ISBLANK(C38),"",IF(IFERROR(ABS(C38-'_key'!$A$2132)&lt;=0.005,FALSE),"✓","✗"))</f>
        <v>0</v>
      </c>
      <c r="M38" s="31">
        <f>IF(ISBLANK(D38),"",IF(IFERROR(ABS(D38-'_key'!$A$2133)&lt;=0.005,FALSE),"✓","✗"))</f>
        <v>0</v>
      </c>
      <c r="N38" s="31">
        <f>IF(ISBLANK(E38),"",IF(IFERROR(ABS(E38-'_key'!$A$2134)&lt;=0.005,FALSE),"✓","✗"))</f>
        <v>0</v>
      </c>
      <c r="O38" s="31">
        <f>IF(ISBLANK(F38),"",IF(IFERROR(ABS(F38-'_key'!$A$2135)&lt;=0.005,FALSE),"✓","✗"))</f>
        <v>0</v>
      </c>
    </row>
    <row r="39" spans="1:15">
      <c r="A39" s="17" t="s">
        <v>384</v>
      </c>
      <c r="B39" s="28"/>
      <c r="C39" s="28"/>
      <c r="D39" s="28"/>
      <c r="E39" s="28"/>
      <c r="F39" s="39"/>
      <c r="K39" s="31">
        <f>IF(ISBLANK(B39),"",IF(IFERROR(ABS(B39-'_key'!$A$2136)&lt;=0.005,FALSE),"✓","✗"))</f>
        <v>0</v>
      </c>
      <c r="L39" s="31">
        <f>IF(ISBLANK(C39),"",IF(IFERROR(ABS(C39-'_key'!$A$2137)&lt;=0.005,FALSE),"✓","✗"))</f>
        <v>0</v>
      </c>
      <c r="M39" s="31">
        <f>IF(ISBLANK(D39),"",IF(IFERROR(ABS(D39-'_key'!$A$2138)&lt;=0.005,FALSE),"✓","✗"))</f>
        <v>0</v>
      </c>
      <c r="N39" s="31">
        <f>IF(ISBLANK(E39),"",IF(IFERROR(ABS(E39-'_key'!$A$2139)&lt;=0.005,FALSE),"✓","✗"))</f>
        <v>0</v>
      </c>
      <c r="O39" s="31">
        <f>IF(ISBLANK(F39),"",IF(IFERROR(ABS(F39-'_key'!$A$2140)&lt;=0.005,FALSE),"✓","✗"))</f>
        <v>0</v>
      </c>
    </row>
    <row r="40" spans="1:15">
      <c r="A40" s="17" t="s">
        <v>396</v>
      </c>
      <c r="B40" s="28"/>
      <c r="C40" s="28"/>
      <c r="D40" s="28"/>
      <c r="E40" s="28"/>
      <c r="F40" s="39"/>
      <c r="K40" s="31">
        <f>IF(ISBLANK(B40),"",IF(IFERROR(ABS(B40-'_key'!$A$2141)&lt;=0.005,FALSE),"✓","✗"))</f>
        <v>0</v>
      </c>
      <c r="L40" s="31">
        <f>IF(ISBLANK(C40),"",IF(IFERROR(ABS(C40-'_key'!$A$2142)&lt;=0.005,FALSE),"✓","✗"))</f>
        <v>0</v>
      </c>
      <c r="M40" s="31">
        <f>IF(ISBLANK(D40),"",IF(IFERROR(ABS(D40-'_key'!$A$2143)&lt;=0.005,FALSE),"✓","✗"))</f>
        <v>0</v>
      </c>
      <c r="N40" s="31">
        <f>IF(ISBLANK(E40),"",IF(IFERROR(ABS(E40-'_key'!$A$2144)&lt;=0.005,FALSE),"✓","✗"))</f>
        <v>0</v>
      </c>
      <c r="O40" s="31">
        <f>IF(ISBLANK(F40),"",IF(IFERROR(ABS(F40-'_key'!$A$2145)&lt;=0.005,FALSE),"✓","✗"))</f>
        <v>0</v>
      </c>
    </row>
    <row r="42" spans="1:15">
      <c r="A42" s="48" t="s">
        <v>5783</v>
      </c>
      <c r="B42" s="48"/>
      <c r="C42" s="48"/>
      <c r="D42" s="48"/>
      <c r="E42" s="48"/>
      <c r="F42" s="48"/>
      <c r="G42" s="48"/>
      <c r="H42" s="48"/>
      <c r="I42" s="48"/>
    </row>
    <row r="43" spans="1:15" ht="58" customHeight="1">
      <c r="A43" s="49" t="s">
        <v>5784</v>
      </c>
      <c r="B43" s="49"/>
      <c r="C43" s="49"/>
      <c r="D43" s="49"/>
      <c r="E43" s="49"/>
      <c r="F43" s="49"/>
      <c r="G43" s="49"/>
      <c r="H43" s="49"/>
      <c r="I43" s="49"/>
    </row>
    <row r="44" spans="1:15">
      <c r="A44" s="7" t="s">
        <v>5785</v>
      </c>
      <c r="B44" s="7" t="s">
        <v>1348</v>
      </c>
      <c r="C44" s="7" t="s">
        <v>5500</v>
      </c>
      <c r="K44" s="7" t="s">
        <v>5348</v>
      </c>
      <c r="L44" s="7" t="s">
        <v>5349</v>
      </c>
    </row>
    <row r="45" spans="1:15">
      <c r="A45" s="17">
        <v>1</v>
      </c>
      <c r="B45" s="28"/>
      <c r="C45" s="30"/>
      <c r="K45" s="31">
        <f>IF(ISBLANK(B45),"",IF(IFERROR(COUNTIFS(tbl_ReportLog[ReportID],B45,tbl_ReportLog[Action],"View")='_key'!$A$2146,FALSE),"✓","✗"))</f>
        <v>0</v>
      </c>
      <c r="L45" s="31">
        <f>IF(ISBLANK(C45),"",IF(IFERROR(ABS(C45-'_key'!$A$2147)&lt;=0.005,FALSE),"✓","✗"))</f>
        <v>0</v>
      </c>
    </row>
    <row r="46" spans="1:15">
      <c r="A46" s="17">
        <v>2</v>
      </c>
      <c r="B46" s="28"/>
      <c r="C46" s="30"/>
      <c r="K46" s="31">
        <f>IF(ISBLANK(B46),"",IF(IFERROR(COUNTIFS(tbl_ReportLog[ReportID],B46,tbl_ReportLog[Action],"View")='_key'!$A$2148,FALSE),"✓","✗"))</f>
        <v>0</v>
      </c>
      <c r="L46" s="31">
        <f>IF(ISBLANK(C46),"",IF(IFERROR(ABS(C46-'_key'!$A$2149)&lt;=0.005,FALSE),"✓","✗"))</f>
        <v>0</v>
      </c>
    </row>
    <row r="47" spans="1:15">
      <c r="A47" s="17">
        <v>3</v>
      </c>
      <c r="B47" s="28"/>
      <c r="C47" s="30"/>
      <c r="K47" s="31">
        <f>IF(ISBLANK(B47),"",IF(IFERROR(COUNTIFS(tbl_ReportLog[ReportID],B47,tbl_ReportLog[Action],"View")='_key'!$A$2150,FALSE),"✓","✗"))</f>
        <v>0</v>
      </c>
      <c r="L47" s="31">
        <f>IF(ISBLANK(C47),"",IF(IFERROR(ABS(C47-'_key'!$A$2151)&lt;=0.005,FALSE),"✓","✗"))</f>
        <v>0</v>
      </c>
    </row>
    <row r="48" spans="1:15">
      <c r="A48" s="17">
        <v>4</v>
      </c>
      <c r="B48" s="28"/>
      <c r="C48" s="30"/>
      <c r="K48" s="31">
        <f>IF(ISBLANK(B48),"",IF(IFERROR(COUNTIFS(tbl_ReportLog[ReportID],B48,tbl_ReportLog[Action],"View")='_key'!$A$2152,FALSE),"✓","✗"))</f>
        <v>0</v>
      </c>
      <c r="L48" s="31">
        <f>IF(ISBLANK(C48),"",IF(IFERROR(ABS(C48-'_key'!$A$2153)&lt;=0.005,FALSE),"✓","✗"))</f>
        <v>0</v>
      </c>
    </row>
    <row r="49" spans="1:12">
      <c r="A49" s="17">
        <v>5</v>
      </c>
      <c r="B49" s="28"/>
      <c r="C49" s="30"/>
      <c r="K49" s="31">
        <f>IF(ISBLANK(B49),"",IF(IFERROR(COUNTIFS(tbl_ReportLog[ReportID],B49,tbl_ReportLog[Action],"View")='_key'!$A$2154,FALSE),"✓","✗"))</f>
        <v>0</v>
      </c>
      <c r="L49" s="31">
        <f>IF(ISBLANK(C49),"",IF(IFERROR(ABS(C49-'_key'!$A$2155)&lt;=0.005,FALSE),"✓","✗"))</f>
        <v>0</v>
      </c>
    </row>
    <row r="51" spans="1:12">
      <c r="A51" s="48" t="s">
        <v>5786</v>
      </c>
      <c r="B51" s="48"/>
      <c r="C51" s="48"/>
      <c r="D51" s="48"/>
      <c r="E51" s="48"/>
      <c r="F51" s="48"/>
      <c r="G51" s="48"/>
      <c r="H51" s="48"/>
      <c r="I51" s="48"/>
    </row>
    <row r="52" spans="1:12" ht="58" customHeight="1">
      <c r="A52" s="49" t="s">
        <v>5787</v>
      </c>
      <c r="B52" s="49"/>
      <c r="C52" s="49"/>
      <c r="D52" s="49"/>
      <c r="E52" s="49"/>
      <c r="F52" s="49"/>
      <c r="G52" s="49"/>
      <c r="H52" s="49"/>
      <c r="I52" s="49"/>
    </row>
    <row r="53" spans="1:12">
      <c r="A53" s="7" t="s">
        <v>1455</v>
      </c>
      <c r="B53" s="7" t="s">
        <v>5500</v>
      </c>
      <c r="K53" s="7" t="s">
        <v>5348</v>
      </c>
    </row>
    <row r="54" spans="1:12">
      <c r="A54" s="17" t="s">
        <v>1368</v>
      </c>
      <c r="B54" s="30"/>
      <c r="K54" s="31">
        <f>IF(ISBLANK(B54),"",IF(IFERROR(ABS(B54-'_key'!$A$2156)&lt;=0.005,FALSE),"✓","✗"))</f>
        <v>0</v>
      </c>
    </row>
    <row r="55" spans="1:12">
      <c r="A55" s="17" t="s">
        <v>1470</v>
      </c>
      <c r="B55" s="30"/>
      <c r="K55" s="31">
        <f>IF(ISBLANK(B55),"",IF(IFERROR(ABS(B55-'_key'!$A$2157)&lt;=0.005,FALSE),"✓","✗"))</f>
        <v>0</v>
      </c>
    </row>
    <row r="56" spans="1:12">
      <c r="A56" s="17" t="s">
        <v>1362</v>
      </c>
      <c r="B56" s="30"/>
      <c r="K56" s="31">
        <f>IF(ISBLANK(B56),"",IF(IFERROR(ABS(B56-'_key'!$A$2158)&lt;=0.005,FALSE),"✓","✗"))</f>
        <v>0</v>
      </c>
    </row>
    <row r="57" spans="1:12">
      <c r="A57" s="17" t="s">
        <v>1386</v>
      </c>
      <c r="B57" s="30"/>
      <c r="K57" s="31">
        <f>IF(ISBLANK(B57),"",IF(IFERROR(ABS(B57-'_key'!$A$2159)&lt;=0.005,FALSE),"✓","✗"))</f>
        <v>0</v>
      </c>
    </row>
    <row r="58" spans="1:12">
      <c r="A58" s="17" t="s">
        <v>1410</v>
      </c>
      <c r="B58" s="30"/>
      <c r="K58" s="31">
        <f>IF(ISBLANK(B58),"",IF(IFERROR(ABS(B58-'_key'!$A$2160)&lt;=0.005,FALSE),"✓","✗"))</f>
        <v>0</v>
      </c>
    </row>
    <row r="59" spans="1:12">
      <c r="A59" s="17" t="s">
        <v>5</v>
      </c>
      <c r="B59" s="30"/>
      <c r="K59" s="31">
        <f>IF(ISBLANK(B59),"",IF(IFERROR(ABS(B59-'_key'!$A$2161)&lt;=0.005,FALSE),"✓","✗"))</f>
        <v>0</v>
      </c>
    </row>
    <row r="60" spans="1:12">
      <c r="A60" s="17" t="s">
        <v>1433</v>
      </c>
      <c r="B60" s="30"/>
      <c r="K60" s="31">
        <f>IF(ISBLANK(B60),"",IF(IFERROR(ABS(B60-'_key'!$A$2162)&lt;=0.005,FALSE),"✓","✗"))</f>
        <v>0</v>
      </c>
    </row>
    <row r="61" spans="1:12">
      <c r="A61" s="17" t="s">
        <v>1482</v>
      </c>
      <c r="B61" s="30"/>
      <c r="K61" s="31">
        <f>IF(ISBLANK(B61),"",IF(IFERROR(ABS(B61-'_key'!$A$2163)&lt;=0.005,FALSE),"✓","✗"))</f>
        <v>0</v>
      </c>
    </row>
    <row r="63" spans="1:12">
      <c r="A63" s="48" t="s">
        <v>5788</v>
      </c>
      <c r="B63" s="48"/>
      <c r="C63" s="48"/>
      <c r="D63" s="48"/>
      <c r="E63" s="48"/>
      <c r="F63" s="48"/>
      <c r="G63" s="48"/>
      <c r="H63" s="48"/>
      <c r="I63" s="48"/>
    </row>
    <row r="64" spans="1:12" ht="58" customHeight="1">
      <c r="A64" s="49" t="s">
        <v>5789</v>
      </c>
      <c r="B64" s="49"/>
      <c r="C64" s="49"/>
      <c r="D64" s="49"/>
      <c r="E64" s="49"/>
      <c r="F64" s="49"/>
      <c r="G64" s="49"/>
      <c r="H64" s="49"/>
      <c r="I64" s="49"/>
    </row>
    <row r="65" spans="1:14">
      <c r="A65" s="7" t="s">
        <v>2</v>
      </c>
      <c r="B65" s="7" t="s">
        <v>5790</v>
      </c>
      <c r="C65" s="7" t="s">
        <v>5791</v>
      </c>
      <c r="D65" s="7" t="s">
        <v>5792</v>
      </c>
      <c r="E65" s="7" t="s">
        <v>5306</v>
      </c>
      <c r="K65" s="7" t="s">
        <v>5348</v>
      </c>
      <c r="L65" s="7" t="s">
        <v>5349</v>
      </c>
      <c r="M65" s="7" t="s">
        <v>5350</v>
      </c>
      <c r="N65" s="7" t="s">
        <v>5351</v>
      </c>
    </row>
    <row r="66" spans="1:14">
      <c r="A66" s="17" t="s">
        <v>16</v>
      </c>
      <c r="B66" s="28"/>
      <c r="C66" s="28"/>
      <c r="D66" s="28"/>
      <c r="E66" s="38"/>
      <c r="K66" s="31">
        <f>IF(ISBLANK(B66),"",IF(IFERROR(ABS(B66-'_key'!$A$2164)&lt;=0.005,FALSE),"✓","✗"))</f>
        <v>0</v>
      </c>
      <c r="L66" s="31">
        <f>IF(ISBLANK(C66),"",IF(IFERROR(ABS(C66-'_key'!$A$2165)&lt;=0.005,FALSE),"✓","✗"))</f>
        <v>0</v>
      </c>
      <c r="M66" s="31">
        <f>IF(ISBLANK(D66),"",IF(IFERROR(ABS(D66-'_key'!$A$2166)&lt;=0.005,FALSE),"✓","✗"))</f>
        <v>0</v>
      </c>
      <c r="N66" s="31">
        <f>IF(ISBLANK(E66),"",IF(IFERROR(ABS(E66-'_key'!$A$2167)&lt;=0.05,FALSE),"✓","✗"))</f>
        <v>0</v>
      </c>
    </row>
    <row r="67" spans="1:14">
      <c r="A67" s="17" t="s">
        <v>25</v>
      </c>
      <c r="B67" s="28"/>
      <c r="C67" s="28"/>
      <c r="D67" s="28"/>
      <c r="E67" s="38"/>
      <c r="K67" s="31">
        <f>IF(ISBLANK(B67),"",IF(IFERROR(ABS(B67-'_key'!$A$2168)&lt;=0.005,FALSE),"✓","✗"))</f>
        <v>0</v>
      </c>
      <c r="L67" s="31">
        <f>IF(ISBLANK(C67),"",IF(IFERROR(ABS(C67-'_key'!$A$2169)&lt;=0.005,FALSE),"✓","✗"))</f>
        <v>0</v>
      </c>
      <c r="M67" s="31">
        <f>IF(ISBLANK(D67),"",IF(IFERROR(ABS(D67-'_key'!$A$2170)&lt;=0.005,FALSE),"✓","✗"))</f>
        <v>0</v>
      </c>
      <c r="N67" s="31">
        <f>IF(ISBLANK(E67),"",IF(IFERROR(ABS(E67-'_key'!$A$2171)&lt;=0.05,FALSE),"✓","✗"))</f>
        <v>0</v>
      </c>
    </row>
    <row r="68" spans="1:14">
      <c r="A68" s="17" t="s">
        <v>37</v>
      </c>
      <c r="B68" s="28"/>
      <c r="C68" s="28"/>
      <c r="D68" s="28"/>
      <c r="E68" s="38"/>
      <c r="K68" s="31">
        <f>IF(ISBLANK(B68),"",IF(IFERROR(ABS(B68-'_key'!$A$2172)&lt;=0.005,FALSE),"✓","✗"))</f>
        <v>0</v>
      </c>
      <c r="L68" s="31">
        <f>IF(ISBLANK(C68),"",IF(IFERROR(ABS(C68-'_key'!$A$2173)&lt;=0.005,FALSE),"✓","✗"))</f>
        <v>0</v>
      </c>
      <c r="M68" s="31">
        <f>IF(ISBLANK(D68),"",IF(IFERROR(ABS(D68-'_key'!$A$2174)&lt;=0.005,FALSE),"✓","✗"))</f>
        <v>0</v>
      </c>
      <c r="N68" s="31">
        <f>IF(ISBLANK(E68),"",IF(IFERROR(ABS(E68-'_key'!$A$2175)&lt;=0.05,FALSE),"✓","✗"))</f>
        <v>0</v>
      </c>
    </row>
    <row r="70" spans="1:14" ht="45" customHeight="1">
      <c r="A70" s="33" t="s">
        <v>5793</v>
      </c>
      <c r="B70" s="33"/>
      <c r="C70" s="33"/>
      <c r="D70" s="33"/>
      <c r="E70" s="33"/>
      <c r="F70" s="33"/>
      <c r="G70" s="33"/>
      <c r="H70" s="33"/>
      <c r="I70" s="33"/>
    </row>
  </sheetData>
  <mergeCells count="16">
    <mergeCell ref="A1:O1"/>
    <mergeCell ref="A2:O2"/>
    <mergeCell ref="A3:O3"/>
    <mergeCell ref="A5:I5"/>
    <mergeCell ref="A6:I6"/>
    <mergeCell ref="A15:I15"/>
    <mergeCell ref="A16:I16"/>
    <mergeCell ref="A31:I31"/>
    <mergeCell ref="A32:I32"/>
    <mergeCell ref="A42:I42"/>
    <mergeCell ref="A43:I43"/>
    <mergeCell ref="A51:I51"/>
    <mergeCell ref="A52:I52"/>
    <mergeCell ref="A63:I63"/>
    <mergeCell ref="A64:I64"/>
    <mergeCell ref="A70:I70"/>
  </mergeCells>
  <conditionalFormatting sqref="K18:M29">
    <cfRule type="cellIs" dxfId="5" priority="3" operator="equal">
      <formula>"✓"</formula>
    </cfRule>
    <cfRule type="cellIs" dxfId="6" priority="4" operator="equal">
      <formula>"✗"</formula>
    </cfRule>
  </conditionalFormatting>
  <conditionalFormatting sqref="K34:O40">
    <cfRule type="cellIs" dxfId="5" priority="5" operator="equal">
      <formula>"✓"</formula>
    </cfRule>
    <cfRule type="cellIs" dxfId="6" priority="6" operator="equal">
      <formula>"✗"</formula>
    </cfRule>
  </conditionalFormatting>
  <conditionalFormatting sqref="K45:L49">
    <cfRule type="cellIs" dxfId="5" priority="7" operator="equal">
      <formula>"✓"</formula>
    </cfRule>
    <cfRule type="cellIs" dxfId="6" priority="8" operator="equal">
      <formula>"✗"</formula>
    </cfRule>
  </conditionalFormatting>
  <conditionalFormatting sqref="K54:K61">
    <cfRule type="cellIs" dxfId="5" priority="9" operator="equal">
      <formula>"✓"</formula>
    </cfRule>
    <cfRule type="cellIs" dxfId="6" priority="10" operator="equal">
      <formula>"✗"</formula>
    </cfRule>
  </conditionalFormatting>
  <conditionalFormatting sqref="K66:N68">
    <cfRule type="cellIs" dxfId="5" priority="11" operator="equal">
      <formula>"✓"</formula>
    </cfRule>
    <cfRule type="cellIs" dxfId="6" priority="12" operator="equal">
      <formula>"✗"</formula>
    </cfRule>
  </conditionalFormatting>
  <conditionalFormatting sqref="K8:M13">
    <cfRule type="cellIs" dxfId="5" priority="1" operator="equal">
      <formula>"✓"</formula>
    </cfRule>
    <cfRule type="cellIs" dxfId="6" priority="2" operator="equal">
      <formula>"✗"</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sheetPr>
    <tabColor rgb="FFFFC000"/>
  </sheetPr>
  <dimension ref="A1:M74"/>
  <sheetViews>
    <sheetView workbookViewId="0"/>
  </sheetViews>
  <sheetFormatPr defaultRowHeight="15"/>
  <cols>
    <col min="1" max="1" width="4.7109375" customWidth="1"/>
    <col min="2" max="2" width="16.7109375" customWidth="1"/>
    <col min="3" max="14" width="14.7109375" customWidth="1"/>
  </cols>
  <sheetData>
    <row r="1" spans="1:13" ht="26" customHeight="1">
      <c r="A1" s="18" t="s">
        <v>5794</v>
      </c>
      <c r="B1" s="18"/>
      <c r="C1" s="18"/>
      <c r="D1" s="18"/>
      <c r="E1" s="18"/>
      <c r="F1" s="18"/>
      <c r="G1" s="18"/>
      <c r="H1" s="18"/>
      <c r="I1" s="18"/>
      <c r="J1" s="18"/>
      <c r="K1" s="18"/>
      <c r="L1" s="18"/>
      <c r="M1" s="18"/>
    </row>
    <row r="2" spans="1:13" ht="45" customHeight="1">
      <c r="A2" s="3" t="s">
        <v>5795</v>
      </c>
      <c r="B2" s="3"/>
      <c r="C2" s="3"/>
      <c r="D2" s="3"/>
      <c r="E2" s="3"/>
      <c r="F2" s="3"/>
      <c r="G2" s="3"/>
      <c r="H2" s="3"/>
      <c r="I2" s="3"/>
      <c r="J2" s="3"/>
      <c r="K2" s="3"/>
      <c r="L2" s="3"/>
      <c r="M2" s="3"/>
    </row>
    <row r="3" spans="1:13" ht="45" customHeight="1">
      <c r="A3" s="25" t="s">
        <v>5796</v>
      </c>
      <c r="B3" s="25"/>
      <c r="C3" s="25"/>
      <c r="D3" s="25"/>
      <c r="E3" s="25"/>
      <c r="F3" s="25"/>
      <c r="G3" s="25"/>
      <c r="H3" s="25"/>
      <c r="I3" s="25"/>
      <c r="J3" s="25"/>
      <c r="K3" s="25"/>
      <c r="L3" s="25"/>
      <c r="M3" s="25"/>
    </row>
    <row r="5" spans="1:13" ht="32" customHeight="1">
      <c r="A5" s="51" t="s">
        <v>5797</v>
      </c>
      <c r="B5" s="24" t="s">
        <v>5798</v>
      </c>
      <c r="C5" s="24"/>
      <c r="D5" s="24"/>
      <c r="E5" s="24"/>
      <c r="F5" s="24"/>
      <c r="G5" s="24"/>
      <c r="H5" s="24"/>
      <c r="I5" s="24"/>
      <c r="J5" s="24"/>
      <c r="K5" s="24"/>
      <c r="L5" s="24"/>
      <c r="M5" s="24"/>
    </row>
    <row r="6" spans="1:13" ht="28" customHeight="1">
      <c r="B6" s="52" t="s">
        <v>5799</v>
      </c>
      <c r="C6" s="52"/>
      <c r="D6" s="52"/>
      <c r="E6" s="52"/>
      <c r="F6" s="52"/>
      <c r="G6" s="52"/>
      <c r="H6" s="52"/>
      <c r="I6" s="52"/>
      <c r="J6" s="52"/>
      <c r="K6" s="52"/>
      <c r="L6" s="52"/>
      <c r="M6" s="52"/>
    </row>
    <row r="7" spans="1:13">
      <c r="B7" s="28"/>
      <c r="D7" s="13" t="s">
        <v>5800</v>
      </c>
      <c r="E7" s="13"/>
      <c r="F7" s="13"/>
      <c r="G7" s="28"/>
      <c r="H7" s="31">
        <f>IF(ISBLANK(G7),"",IF(IFERROR(ABS(G7-'_key'!$A$2176)&lt;=0.005,FALSE),"✓","✗"))</f>
        <v>0</v>
      </c>
    </row>
    <row r="8" spans="1:13">
      <c r="B8" s="53"/>
      <c r="D8" s="54" t="s">
        <v>5801</v>
      </c>
    </row>
    <row r="9" spans="1:13">
      <c r="B9" s="53"/>
    </row>
    <row r="10" spans="1:13">
      <c r="B10" s="53"/>
    </row>
    <row r="11" spans="1:13">
      <c r="B11" s="53"/>
    </row>
    <row r="12" spans="1:13">
      <c r="B12" s="53"/>
    </row>
    <row r="13" spans="1:13">
      <c r="B13" s="53"/>
    </row>
    <row r="14" spans="1:13">
      <c r="B14" s="53"/>
    </row>
    <row r="16" spans="1:13" ht="32" customHeight="1">
      <c r="A16" s="51" t="s">
        <v>5802</v>
      </c>
      <c r="B16" s="24" t="s">
        <v>5803</v>
      </c>
      <c r="C16" s="24"/>
      <c r="D16" s="24"/>
      <c r="E16" s="24"/>
      <c r="F16" s="24"/>
      <c r="G16" s="24"/>
      <c r="H16" s="24"/>
      <c r="I16" s="24"/>
      <c r="J16" s="24"/>
      <c r="K16" s="24"/>
      <c r="L16" s="24"/>
      <c r="M16" s="24"/>
    </row>
    <row r="17" spans="2:13" ht="28" customHeight="1">
      <c r="B17" s="52" t="s">
        <v>5804</v>
      </c>
      <c r="C17" s="52"/>
      <c r="D17" s="52"/>
      <c r="E17" s="52"/>
      <c r="F17" s="52"/>
      <c r="G17" s="52"/>
      <c r="H17" s="52"/>
      <c r="I17" s="52"/>
      <c r="J17" s="52"/>
      <c r="K17" s="52"/>
      <c r="L17" s="52"/>
      <c r="M17" s="52"/>
    </row>
    <row r="18" spans="2:13">
      <c r="B18" s="7" t="s">
        <v>0</v>
      </c>
      <c r="C18" s="7" t="s">
        <v>1</v>
      </c>
      <c r="D18" s="7" t="s">
        <v>2</v>
      </c>
      <c r="E18" s="7" t="s">
        <v>3</v>
      </c>
      <c r="F18" s="7" t="s">
        <v>4</v>
      </c>
      <c r="G18" s="7" t="s">
        <v>5</v>
      </c>
      <c r="H18" s="7" t="s">
        <v>6</v>
      </c>
      <c r="I18" s="7" t="s">
        <v>7</v>
      </c>
      <c r="L18" s="13" t="s">
        <v>5805</v>
      </c>
      <c r="M18" s="55">
        <v>250000</v>
      </c>
    </row>
    <row r="19" spans="2:13">
      <c r="B19" s="28"/>
      <c r="C19" s="53"/>
      <c r="D19" s="53"/>
      <c r="E19" s="53"/>
      <c r="F19" s="53"/>
      <c r="G19" s="53"/>
      <c r="H19" s="53"/>
      <c r="I19" s="56"/>
    </row>
    <row r="20" spans="2:13">
      <c r="B20" s="53"/>
      <c r="C20" s="53"/>
      <c r="D20" s="53"/>
      <c r="E20" s="53"/>
      <c r="F20" s="53"/>
      <c r="G20" s="53"/>
      <c r="H20" s="53"/>
      <c r="I20" s="56"/>
    </row>
    <row r="21" spans="2:13">
      <c r="B21" s="53"/>
      <c r="C21" s="53"/>
      <c r="D21" s="53"/>
      <c r="E21" s="53"/>
      <c r="F21" s="53"/>
      <c r="G21" s="53"/>
      <c r="H21" s="53"/>
      <c r="I21" s="56"/>
    </row>
    <row r="22" spans="2:13">
      <c r="B22" s="53"/>
      <c r="C22" s="53"/>
      <c r="D22" s="53"/>
      <c r="E22" s="53"/>
      <c r="F22" s="53"/>
      <c r="G22" s="53"/>
      <c r="H22" s="53"/>
      <c r="I22" s="56"/>
    </row>
    <row r="23" spans="2:13">
      <c r="B23" s="53"/>
      <c r="C23" s="53"/>
      <c r="D23" s="53"/>
      <c r="E23" s="53"/>
      <c r="F23" s="53"/>
      <c r="G23" s="53"/>
      <c r="H23" s="53"/>
      <c r="I23" s="56"/>
    </row>
    <row r="24" spans="2:13">
      <c r="B24" s="53"/>
      <c r="C24" s="53"/>
      <c r="D24" s="53"/>
      <c r="E24" s="53"/>
      <c r="F24" s="53"/>
      <c r="G24" s="53"/>
      <c r="H24" s="53"/>
      <c r="I24" s="56"/>
    </row>
    <row r="25" spans="2:13">
      <c r="B25" s="53"/>
      <c r="C25" s="53"/>
      <c r="D25" s="53"/>
      <c r="E25" s="53"/>
      <c r="F25" s="53"/>
      <c r="G25" s="53"/>
      <c r="H25" s="53"/>
      <c r="I25" s="56"/>
    </row>
    <row r="26" spans="2:13">
      <c r="B26" s="53"/>
      <c r="C26" s="53"/>
      <c r="D26" s="53"/>
      <c r="E26" s="53"/>
      <c r="F26" s="53"/>
      <c r="G26" s="53"/>
      <c r="H26" s="53"/>
      <c r="I26" s="56"/>
    </row>
    <row r="27" spans="2:13">
      <c r="B27" s="53"/>
      <c r="C27" s="53"/>
      <c r="D27" s="53"/>
      <c r="E27" s="53"/>
      <c r="F27" s="53"/>
      <c r="G27" s="53"/>
      <c r="H27" s="53"/>
      <c r="I27" s="56"/>
    </row>
    <row r="28" spans="2:13">
      <c r="B28" s="53"/>
      <c r="C28" s="53"/>
      <c r="D28" s="53"/>
      <c r="E28" s="53"/>
      <c r="F28" s="53"/>
      <c r="G28" s="53"/>
      <c r="H28" s="53"/>
      <c r="I28" s="56"/>
    </row>
    <row r="29" spans="2:13">
      <c r="B29" s="53"/>
      <c r="C29" s="53"/>
      <c r="D29" s="53"/>
      <c r="E29" s="53"/>
      <c r="F29" s="53"/>
      <c r="G29" s="53"/>
      <c r="H29" s="53"/>
      <c r="I29" s="56"/>
    </row>
    <row r="30" spans="2:13">
      <c r="B30" s="53"/>
      <c r="C30" s="53"/>
      <c r="D30" s="53"/>
      <c r="E30" s="53"/>
      <c r="F30" s="53"/>
      <c r="G30" s="53"/>
      <c r="H30" s="53"/>
      <c r="I30" s="56"/>
    </row>
    <row r="31" spans="2:13">
      <c r="B31" s="53"/>
      <c r="C31" s="53"/>
      <c r="D31" s="53"/>
      <c r="E31" s="53"/>
      <c r="F31" s="53"/>
      <c r="G31" s="53"/>
      <c r="H31" s="53"/>
      <c r="I31" s="56"/>
    </row>
    <row r="32" spans="2:13">
      <c r="B32" s="53"/>
      <c r="C32" s="53"/>
      <c r="D32" s="53"/>
      <c r="E32" s="53"/>
      <c r="F32" s="53"/>
      <c r="G32" s="53"/>
      <c r="H32" s="53"/>
      <c r="I32" s="56"/>
    </row>
    <row r="33" spans="1:13">
      <c r="B33" s="53"/>
      <c r="C33" s="53"/>
      <c r="D33" s="53"/>
      <c r="E33" s="53"/>
      <c r="F33" s="53"/>
      <c r="G33" s="53"/>
      <c r="H33" s="53"/>
      <c r="I33" s="56"/>
    </row>
    <row r="34" spans="1:13">
      <c r="B34" s="53"/>
      <c r="C34" s="53"/>
      <c r="D34" s="53"/>
      <c r="E34" s="53"/>
      <c r="F34" s="53"/>
      <c r="G34" s="53"/>
      <c r="H34" s="53"/>
      <c r="I34" s="56"/>
    </row>
    <row r="35" spans="1:13">
      <c r="B35" s="53"/>
      <c r="C35" s="53"/>
      <c r="D35" s="53"/>
      <c r="E35" s="53"/>
      <c r="F35" s="53"/>
      <c r="G35" s="53"/>
      <c r="H35" s="53"/>
      <c r="I35" s="56"/>
    </row>
    <row r="36" spans="1:13">
      <c r="B36" s="53"/>
      <c r="C36" s="53"/>
      <c r="D36" s="53"/>
      <c r="E36" s="53"/>
      <c r="F36" s="53"/>
      <c r="G36" s="53"/>
      <c r="H36" s="53"/>
      <c r="I36" s="56"/>
    </row>
    <row r="37" spans="1:13">
      <c r="B37" s="53"/>
      <c r="C37" s="53"/>
      <c r="D37" s="53"/>
      <c r="E37" s="53"/>
      <c r="F37" s="53"/>
      <c r="G37" s="53"/>
      <c r="H37" s="53"/>
      <c r="I37" s="56"/>
    </row>
    <row r="39" spans="1:13">
      <c r="B39" s="13" t="s">
        <v>5806</v>
      </c>
      <c r="C39" s="13"/>
      <c r="D39" s="13"/>
      <c r="E39" s="13"/>
      <c r="F39" s="28"/>
      <c r="G39" s="31">
        <f>IF(ISBLANK(F39),"",IF(IFERROR(ABS(F39-'_key'!$A$2177)&lt;=0.005,FALSE),"✓","✗"))</f>
        <v>0</v>
      </c>
      <c r="H39" s="54" t="s">
        <v>5807</v>
      </c>
    </row>
    <row r="41" spans="1:13" ht="32" customHeight="1">
      <c r="A41" s="51" t="s">
        <v>5808</v>
      </c>
      <c r="B41" s="24" t="s">
        <v>5809</v>
      </c>
      <c r="C41" s="24"/>
      <c r="D41" s="24"/>
      <c r="E41" s="24"/>
      <c r="F41" s="24"/>
      <c r="G41" s="24"/>
      <c r="H41" s="24"/>
      <c r="I41" s="24"/>
      <c r="J41" s="24"/>
      <c r="K41" s="24"/>
      <c r="L41" s="24"/>
      <c r="M41" s="24"/>
    </row>
    <row r="42" spans="1:13" ht="28" customHeight="1">
      <c r="B42" s="52" t="s">
        <v>5810</v>
      </c>
      <c r="C42" s="52"/>
      <c r="D42" s="52"/>
      <c r="E42" s="52"/>
      <c r="F42" s="52"/>
      <c r="G42" s="52"/>
      <c r="H42" s="52"/>
      <c r="I42" s="52"/>
      <c r="J42" s="52"/>
      <c r="K42" s="52"/>
      <c r="L42" s="52"/>
      <c r="M42" s="52"/>
    </row>
    <row r="43" spans="1:13">
      <c r="B43" s="6" t="s">
        <v>27</v>
      </c>
      <c r="C43" s="54" t="s">
        <v>5811</v>
      </c>
    </row>
    <row r="44" spans="1:13" ht="30" customHeight="1">
      <c r="B44" s="28"/>
      <c r="M44" s="31">
        <f>IF(ISBLANK(B44),"",IF(IFERROR(EXACT(B44,'_key'!$A$2178),FALSE),"✓","✗"))</f>
        <v>0</v>
      </c>
    </row>
    <row r="46" spans="1:13" ht="32" customHeight="1">
      <c r="A46" s="51" t="s">
        <v>5813</v>
      </c>
      <c r="B46" s="24" t="s">
        <v>5814</v>
      </c>
      <c r="C46" s="24"/>
      <c r="D46" s="24"/>
      <c r="E46" s="24"/>
      <c r="F46" s="24"/>
      <c r="G46" s="24"/>
      <c r="H46" s="24"/>
      <c r="I46" s="24"/>
      <c r="J46" s="24"/>
      <c r="K46" s="24"/>
      <c r="L46" s="24"/>
      <c r="M46" s="24"/>
    </row>
    <row r="47" spans="1:13" ht="28" customHeight="1">
      <c r="B47" s="52" t="s">
        <v>5815</v>
      </c>
      <c r="C47" s="52"/>
      <c r="D47" s="52"/>
      <c r="E47" s="52"/>
      <c r="F47" s="52"/>
      <c r="G47" s="52"/>
      <c r="H47" s="52"/>
      <c r="I47" s="52"/>
      <c r="J47" s="52"/>
      <c r="K47" s="52"/>
      <c r="L47" s="52"/>
      <c r="M47" s="52"/>
    </row>
    <row r="48" spans="1:13">
      <c r="B48" s="38"/>
      <c r="C48" s="31">
        <f>IF(ISBLANK(B48),"",IF(IFERROR(ABS(B48-'_key'!$A$2179)&lt;=0.05,FALSE),"✓","✗"))</f>
        <v>0</v>
      </c>
    </row>
    <row r="50" spans="1:13" ht="32" customHeight="1">
      <c r="A50" s="51" t="s">
        <v>5816</v>
      </c>
      <c r="B50" s="24" t="s">
        <v>5817</v>
      </c>
      <c r="C50" s="24"/>
      <c r="D50" s="24"/>
      <c r="E50" s="24"/>
      <c r="F50" s="24"/>
      <c r="G50" s="24"/>
      <c r="H50" s="24"/>
      <c r="I50" s="24"/>
      <c r="J50" s="24"/>
      <c r="K50" s="24"/>
      <c r="L50" s="24"/>
      <c r="M50" s="24"/>
    </row>
    <row r="51" spans="1:13" ht="28" customHeight="1">
      <c r="B51" s="52" t="s">
        <v>5818</v>
      </c>
      <c r="C51" s="52"/>
      <c r="D51" s="52"/>
      <c r="E51" s="52"/>
      <c r="F51" s="52"/>
      <c r="G51" s="52"/>
      <c r="H51" s="52"/>
      <c r="I51" s="52"/>
      <c r="J51" s="52"/>
      <c r="K51" s="52"/>
      <c r="L51" s="52"/>
      <c r="M51" s="52"/>
    </row>
    <row r="52" spans="1:13">
      <c r="B52" s="6" t="s">
        <v>192</v>
      </c>
      <c r="C52" s="7" t="s">
        <v>2</v>
      </c>
      <c r="D52" s="7" t="s">
        <v>3</v>
      </c>
      <c r="E52" s="7" t="s">
        <v>4</v>
      </c>
      <c r="F52" s="7" t="s">
        <v>5</v>
      </c>
    </row>
    <row r="53" spans="1:13">
      <c r="C53" s="28"/>
      <c r="D53" s="53"/>
      <c r="E53" s="53"/>
      <c r="F53" s="53"/>
    </row>
    <row r="55" spans="1:13" ht="32" customHeight="1">
      <c r="A55" s="51" t="s">
        <v>5819</v>
      </c>
      <c r="B55" s="24" t="s">
        <v>5820</v>
      </c>
      <c r="C55" s="24"/>
      <c r="D55" s="24"/>
      <c r="E55" s="24"/>
      <c r="F55" s="24"/>
      <c r="G55" s="24"/>
      <c r="H55" s="24"/>
      <c r="I55" s="24"/>
      <c r="J55" s="24"/>
      <c r="K55" s="24"/>
      <c r="L55" s="24"/>
      <c r="M55" s="24"/>
    </row>
    <row r="56" spans="1:13" ht="28" customHeight="1">
      <c r="B56" s="52" t="s">
        <v>5821</v>
      </c>
      <c r="C56" s="52"/>
      <c r="D56" s="52"/>
      <c r="E56" s="52"/>
      <c r="F56" s="52"/>
      <c r="G56" s="52"/>
      <c r="H56" s="52"/>
      <c r="I56" s="52"/>
      <c r="J56" s="52"/>
      <c r="K56" s="52"/>
      <c r="L56" s="52"/>
      <c r="M56" s="52"/>
    </row>
    <row r="57" spans="1:13">
      <c r="B57" s="7" t="s">
        <v>0</v>
      </c>
      <c r="C57" s="7" t="s">
        <v>1</v>
      </c>
      <c r="D57" s="7" t="s">
        <v>5382</v>
      </c>
      <c r="E57" s="7" t="s">
        <v>5346</v>
      </c>
    </row>
    <row r="58" spans="1:13">
      <c r="B58" s="28"/>
      <c r="C58" s="53"/>
      <c r="D58" s="53"/>
      <c r="E58" s="53"/>
    </row>
    <row r="59" spans="1:13">
      <c r="B59" s="53"/>
      <c r="C59" s="53"/>
      <c r="D59" s="53"/>
      <c r="E59" s="53"/>
    </row>
    <row r="60" spans="1:13">
      <c r="B60" s="53"/>
      <c r="C60" s="53"/>
      <c r="D60" s="53"/>
      <c r="E60" s="53"/>
    </row>
    <row r="61" spans="1:13">
      <c r="B61" s="53"/>
      <c r="C61" s="53"/>
      <c r="D61" s="53"/>
      <c r="E61" s="53"/>
    </row>
    <row r="62" spans="1:13">
      <c r="B62" s="53"/>
      <c r="C62" s="53"/>
      <c r="D62" s="53"/>
      <c r="E62" s="53"/>
    </row>
    <row r="63" spans="1:13">
      <c r="B63" s="53"/>
      <c r="C63" s="53"/>
      <c r="D63" s="53"/>
      <c r="E63" s="53"/>
    </row>
    <row r="64" spans="1:13">
      <c r="B64" s="53"/>
      <c r="C64" s="53"/>
      <c r="D64" s="53"/>
      <c r="E64" s="53"/>
    </row>
    <row r="65" spans="1:13">
      <c r="B65" s="53"/>
      <c r="C65" s="53"/>
      <c r="D65" s="53"/>
      <c r="E65" s="53"/>
    </row>
    <row r="66" spans="1:13">
      <c r="B66" s="53"/>
      <c r="C66" s="53"/>
      <c r="D66" s="53"/>
      <c r="E66" s="53"/>
    </row>
    <row r="67" spans="1:13">
      <c r="B67" s="53"/>
      <c r="C67" s="53"/>
      <c r="D67" s="53"/>
      <c r="E67" s="53"/>
    </row>
    <row r="68" spans="1:13">
      <c r="B68" s="53"/>
      <c r="C68" s="53"/>
      <c r="D68" s="53"/>
      <c r="E68" s="53"/>
    </row>
    <row r="69" spans="1:13">
      <c r="B69" s="53"/>
      <c r="C69" s="53"/>
      <c r="D69" s="53"/>
      <c r="E69" s="53"/>
    </row>
    <row r="70" spans="1:13">
      <c r="B70" s="53"/>
      <c r="C70" s="53"/>
      <c r="D70" s="53"/>
      <c r="E70" s="53"/>
    </row>
    <row r="72" spans="1:13" ht="32" customHeight="1">
      <c r="A72" s="51" t="s">
        <v>5822</v>
      </c>
      <c r="B72" s="24" t="s">
        <v>5823</v>
      </c>
      <c r="C72" s="24"/>
      <c r="D72" s="24"/>
      <c r="E72" s="24"/>
      <c r="F72" s="24"/>
      <c r="G72" s="24"/>
      <c r="H72" s="24"/>
      <c r="I72" s="24"/>
      <c r="J72" s="24"/>
      <c r="K72" s="24"/>
      <c r="L72" s="24"/>
      <c r="M72" s="24"/>
    </row>
    <row r="73" spans="1:13" ht="28" customHeight="1">
      <c r="B73" s="52" t="s">
        <v>5824</v>
      </c>
      <c r="C73" s="52"/>
      <c r="D73" s="52"/>
      <c r="E73" s="52"/>
      <c r="F73" s="52"/>
      <c r="G73" s="52"/>
      <c r="H73" s="52"/>
      <c r="I73" s="52"/>
      <c r="J73" s="52"/>
      <c r="K73" s="52"/>
      <c r="L73" s="52"/>
      <c r="M73" s="52"/>
    </row>
    <row r="74" spans="1:13">
      <c r="B74" s="57"/>
      <c r="C74" s="58"/>
      <c r="D74" s="58"/>
      <c r="E74" s="58"/>
      <c r="F74" s="58"/>
      <c r="G74" s="58"/>
      <c r="H74" s="58"/>
      <c r="I74" s="58"/>
      <c r="J74" s="58"/>
      <c r="K74" s="58"/>
      <c r="L74" s="58"/>
      <c r="M74" s="58"/>
    </row>
  </sheetData>
  <mergeCells count="19">
    <mergeCell ref="A1:M1"/>
    <mergeCell ref="A2:M2"/>
    <mergeCell ref="A3:M3"/>
    <mergeCell ref="B5:M5"/>
    <mergeCell ref="B6:M6"/>
    <mergeCell ref="D7:F7"/>
    <mergeCell ref="B16:M16"/>
    <mergeCell ref="B17:M17"/>
    <mergeCell ref="B39:E39"/>
    <mergeCell ref="B41:M41"/>
    <mergeCell ref="B42:M42"/>
    <mergeCell ref="B46:M46"/>
    <mergeCell ref="B47:M47"/>
    <mergeCell ref="B50:M50"/>
    <mergeCell ref="B51:M51"/>
    <mergeCell ref="B55:M55"/>
    <mergeCell ref="B56:M56"/>
    <mergeCell ref="B72:M72"/>
    <mergeCell ref="B73:M73"/>
  </mergeCells>
  <conditionalFormatting sqref="C48">
    <cfRule type="cellIs" dxfId="5" priority="7" operator="equal">
      <formula>"✓"</formula>
    </cfRule>
    <cfRule type="cellIs" dxfId="6" priority="8" operator="equal">
      <formula>"✗"</formula>
    </cfRule>
  </conditionalFormatting>
  <conditionalFormatting sqref="G39">
    <cfRule type="cellIs" dxfId="5" priority="3" operator="equal">
      <formula>"✓"</formula>
    </cfRule>
    <cfRule type="cellIs" dxfId="6" priority="4" operator="equal">
      <formula>"✗"</formula>
    </cfRule>
  </conditionalFormatting>
  <conditionalFormatting sqref="H7">
    <cfRule type="cellIs" dxfId="5" priority="1" operator="equal">
      <formula>"✓"</formula>
    </cfRule>
    <cfRule type="cellIs" dxfId="6" priority="2" operator="equal">
      <formula>"✗"</formula>
    </cfRule>
  </conditionalFormatting>
  <conditionalFormatting sqref="M44">
    <cfRule type="cellIs" dxfId="5" priority="5" operator="equal">
      <formula>"✓"</formula>
    </cfRule>
    <cfRule type="cellIs" dxfId="6" priority="6" operator="equal">
      <formula>"✗"</formula>
    </cfRule>
  </conditionalFormatting>
  <dataValidations count="1">
    <dataValidation type="list" allowBlank="1" showInputMessage="1" showErrorMessage="1" sqref="B43">
      <formula1>"CSM-01,CSM-02,CSM-03,CSM-04,CSM-05,CSM-06,CSM-07,CSM-08"</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sheetPr>
    <tabColor rgb="FFFFC000"/>
  </sheetPr>
  <dimension ref="A1:T31"/>
  <sheetViews>
    <sheetView workbookViewId="0">
      <pane xSplit="1" ySplit="7" topLeftCell="B8" activePane="bottomRight" state="frozen"/>
      <selection pane="topRight" activeCell="B1" sqref="B1"/>
      <selection pane="bottomLeft" activeCell="A8" sqref="A8"/>
      <selection pane="bottomRight"/>
    </sheetView>
  </sheetViews>
  <sheetFormatPr defaultRowHeight="15"/>
  <cols>
    <col min="1" max="1" width="12.7109375" customWidth="1"/>
    <col min="2" max="9" width="13.7109375" customWidth="1"/>
    <col min="10" max="10" width="16.7109375" customWidth="1"/>
    <col min="11" max="11" width="2.7109375" customWidth="1"/>
    <col min="12" max="19" width="4.7109375" customWidth="1"/>
  </cols>
  <sheetData>
    <row r="1" spans="1:20" ht="26" customHeight="1">
      <c r="A1" s="18" t="s">
        <v>5825</v>
      </c>
      <c r="B1" s="18"/>
      <c r="C1" s="18"/>
      <c r="D1" s="18"/>
      <c r="E1" s="18"/>
      <c r="F1" s="18"/>
      <c r="G1" s="18"/>
      <c r="H1" s="18"/>
      <c r="I1" s="18"/>
      <c r="J1" s="18"/>
      <c r="K1" s="18"/>
      <c r="L1" s="18"/>
      <c r="M1" s="18"/>
      <c r="N1" s="18"/>
      <c r="O1" s="18"/>
      <c r="P1" s="18"/>
      <c r="Q1" s="18"/>
      <c r="R1" s="18"/>
      <c r="S1" s="18"/>
      <c r="T1" s="18"/>
    </row>
    <row r="2" spans="1:20" ht="45" customHeight="1">
      <c r="A2" s="3" t="s">
        <v>5826</v>
      </c>
      <c r="B2" s="3"/>
      <c r="C2" s="3"/>
      <c r="D2" s="3"/>
      <c r="E2" s="3"/>
      <c r="F2" s="3"/>
      <c r="G2" s="3"/>
      <c r="H2" s="3"/>
      <c r="I2" s="3"/>
      <c r="J2" s="3"/>
      <c r="K2" s="3"/>
      <c r="L2" s="3"/>
      <c r="M2" s="3"/>
      <c r="N2" s="3"/>
      <c r="O2" s="3"/>
      <c r="P2" s="3"/>
      <c r="Q2" s="3"/>
      <c r="R2" s="3"/>
      <c r="S2" s="3"/>
      <c r="T2" s="3"/>
    </row>
    <row r="3" spans="1:20" ht="45" customHeight="1">
      <c r="A3" s="25" t="s">
        <v>5827</v>
      </c>
      <c r="B3" s="25"/>
      <c r="C3" s="25"/>
      <c r="D3" s="25"/>
      <c r="E3" s="25"/>
      <c r="F3" s="25"/>
      <c r="G3" s="25"/>
      <c r="H3" s="25"/>
      <c r="I3" s="25"/>
      <c r="J3" s="25"/>
      <c r="K3" s="25"/>
      <c r="L3" s="25"/>
      <c r="M3" s="25"/>
      <c r="N3" s="25"/>
      <c r="O3" s="25"/>
      <c r="P3" s="25"/>
      <c r="Q3" s="25"/>
      <c r="R3" s="25"/>
      <c r="S3" s="25"/>
      <c r="T3" s="25"/>
    </row>
    <row r="6" spans="1:20">
      <c r="A6" s="7" t="s">
        <v>370</v>
      </c>
      <c r="B6" s="7" t="s">
        <v>5828</v>
      </c>
      <c r="C6" s="7" t="s">
        <v>371</v>
      </c>
      <c r="D6" s="7" t="s">
        <v>5830</v>
      </c>
      <c r="E6" s="7" t="s">
        <v>372</v>
      </c>
      <c r="F6" s="7" t="s">
        <v>5832</v>
      </c>
      <c r="G6" s="7" t="s">
        <v>5834</v>
      </c>
      <c r="H6" s="7" t="s">
        <v>5836</v>
      </c>
      <c r="I6" s="7" t="s">
        <v>5838</v>
      </c>
      <c r="J6" s="48" t="s">
        <v>5840</v>
      </c>
      <c r="L6" s="7" t="s">
        <v>5348</v>
      </c>
      <c r="M6" s="7" t="s">
        <v>5349</v>
      </c>
      <c r="N6" s="7" t="s">
        <v>5350</v>
      </c>
      <c r="O6" s="7" t="s">
        <v>5351</v>
      </c>
      <c r="P6" s="7" t="s">
        <v>5352</v>
      </c>
      <c r="Q6" s="7" t="s">
        <v>5353</v>
      </c>
      <c r="R6" s="7" t="s">
        <v>5354</v>
      </c>
      <c r="S6" s="7" t="s">
        <v>5355</v>
      </c>
    </row>
    <row r="7" spans="1:20" ht="62" customHeight="1">
      <c r="A7" s="26" t="s">
        <v>5378</v>
      </c>
      <c r="B7" s="26" t="s">
        <v>5829</v>
      </c>
      <c r="C7" s="26" t="s">
        <v>5214</v>
      </c>
      <c r="D7" s="26" t="s">
        <v>5831</v>
      </c>
      <c r="E7" s="26" t="s">
        <v>5214</v>
      </c>
      <c r="F7" s="26" t="s">
        <v>5833</v>
      </c>
      <c r="G7" s="26" t="s">
        <v>5835</v>
      </c>
      <c r="H7" s="26" t="s">
        <v>5837</v>
      </c>
      <c r="I7" s="26" t="s">
        <v>5839</v>
      </c>
    </row>
    <row r="8" spans="1:20">
      <c r="A8" s="50">
        <v>45931</v>
      </c>
      <c r="B8" s="28"/>
      <c r="C8" s="30"/>
      <c r="E8" s="30"/>
      <c r="F8" s="39"/>
      <c r="H8" s="28"/>
      <c r="I8" s="29"/>
      <c r="L8" s="31">
        <f>IF(ISBLANK(B8),"",IF(IFERROR(ABS(B8-'_key'!$A$2180)&lt;=0.005,FALSE),"✓","✗"))</f>
        <v>0</v>
      </c>
      <c r="M8" s="31">
        <f>IF(ISBLANK(C8),"",IF(IFERROR(ABS(C8-'_key'!$A$2181)&lt;=0.005,FALSE),"✓","✗"))</f>
        <v>0</v>
      </c>
      <c r="O8" s="31">
        <f>IF(ISBLANK(E8),"",IF(IFERROR(ABS(E8-'_key'!$A$2182)&lt;=0.005,FALSE),"✓","✗"))</f>
        <v>0</v>
      </c>
      <c r="P8" s="31">
        <f>IF(ISBLANK(F8),"",IF(IFERROR(ABS(F8-'_key'!$A$2183)&lt;=0.005,FALSE),"✓","✗"))</f>
        <v>0</v>
      </c>
      <c r="R8" s="31">
        <f>IF(ISBLANK(H8),"",IF(IFERROR(ABS(H8-'_key'!$A$2184)&lt;=0.005,FALSE),"✓","✗"))</f>
        <v>0</v>
      </c>
      <c r="S8" s="31">
        <f>IF(ISBLANK(I8),"",IF(IFERROR(ABS(I8-'_key'!$A$2185)&lt;=0.005,FALSE),"✓","✗"))</f>
        <v>0</v>
      </c>
    </row>
    <row r="9" spans="1:20">
      <c r="A9" s="50">
        <v>45962</v>
      </c>
      <c r="B9" s="28"/>
      <c r="C9" s="30"/>
      <c r="D9" s="37"/>
      <c r="E9" s="30"/>
      <c r="F9" s="39"/>
      <c r="H9" s="28"/>
      <c r="I9" s="29"/>
      <c r="L9" s="31">
        <f>IF(ISBLANK(B9),"",IF(IFERROR(ABS(B9-'_key'!$A$2186)&lt;=0.005,FALSE),"✓","✗"))</f>
        <v>0</v>
      </c>
      <c r="M9" s="31">
        <f>IF(ISBLANK(C9),"",IF(IFERROR(ABS(C9-'_key'!$A$2187)&lt;=0.005,FALSE),"✓","✗"))</f>
        <v>0</v>
      </c>
      <c r="N9" s="31">
        <f>IF(ISBLANK(D9),"",IF(IFERROR(ABS(D9-'_key'!$A$2188)&lt;=0.0005,FALSE),"✓","✗"))</f>
        <v>0</v>
      </c>
      <c r="O9" s="31">
        <f>IF(ISBLANK(E9),"",IF(IFERROR(ABS(E9-'_key'!$A$2189)&lt;=0.005,FALSE),"✓","✗"))</f>
        <v>0</v>
      </c>
      <c r="P9" s="31">
        <f>IF(ISBLANK(F9),"",IF(IFERROR(ABS(F9-'_key'!$A$2190)&lt;=0.005,FALSE),"✓","✗"))</f>
        <v>0</v>
      </c>
      <c r="R9" s="31">
        <f>IF(ISBLANK(H9),"",IF(IFERROR(ABS(H9-'_key'!$A$2191)&lt;=0.005,FALSE),"✓","✗"))</f>
        <v>0</v>
      </c>
      <c r="S9" s="31">
        <f>IF(ISBLANK(I9),"",IF(IFERROR(ABS(I9-'_key'!$A$2192)&lt;=0.005,FALSE),"✓","✗"))</f>
        <v>0</v>
      </c>
    </row>
    <row r="10" spans="1:20">
      <c r="A10" s="50">
        <v>45992</v>
      </c>
      <c r="B10" s="28"/>
      <c r="C10" s="30"/>
      <c r="D10" s="37"/>
      <c r="E10" s="30"/>
      <c r="F10" s="39"/>
      <c r="G10" s="30"/>
      <c r="H10" s="28"/>
      <c r="I10" s="29"/>
      <c r="J10" s="54" t="s">
        <v>5841</v>
      </c>
      <c r="L10" s="31">
        <f>IF(ISBLANK(B10),"",IF(IFERROR(ABS(B10-'_key'!$A$2193)&lt;=0.005,FALSE),"✓","✗"))</f>
        <v>0</v>
      </c>
      <c r="M10" s="31">
        <f>IF(ISBLANK(C10),"",IF(IFERROR(ABS(C10-'_key'!$A$2194)&lt;=0.005,FALSE),"✓","✗"))</f>
        <v>0</v>
      </c>
      <c r="N10" s="31">
        <f>IF(ISBLANK(D10),"",IF(IFERROR(ABS(D10-'_key'!$A$2195)&lt;=0.0005,FALSE),"✓","✗"))</f>
        <v>0</v>
      </c>
      <c r="O10" s="31">
        <f>IF(ISBLANK(E10),"",IF(IFERROR(ABS(E10-'_key'!$A$2196)&lt;=0.005,FALSE),"✓","✗"))</f>
        <v>0</v>
      </c>
      <c r="P10" s="31">
        <f>IF(ISBLANK(F10),"",IF(IFERROR(ABS(F10-'_key'!$A$2197)&lt;=0.005,FALSE),"✓","✗"))</f>
        <v>0</v>
      </c>
      <c r="Q10" s="31">
        <f>IF(ISBLANK(G10),"",IF(IFERROR(ABS(G10-'_key'!$A$2198)&lt;=0.5,FALSE),"✓","✗"))</f>
        <v>0</v>
      </c>
      <c r="R10" s="31">
        <f>IF(ISBLANK(H10),"",IF(IFERROR(ABS(H10-'_key'!$A$2199)&lt;=0.005,FALSE),"✓","✗"))</f>
        <v>0</v>
      </c>
      <c r="S10" s="31">
        <f>IF(ISBLANK(I10),"",IF(IFERROR(ABS(I10-'_key'!$A$2200)&lt;=0.005,FALSE),"✓","✗"))</f>
        <v>0</v>
      </c>
    </row>
    <row r="11" spans="1:20">
      <c r="A11" s="50">
        <v>46023</v>
      </c>
      <c r="B11" s="28"/>
      <c r="C11" s="30"/>
      <c r="D11" s="37"/>
      <c r="E11" s="30"/>
      <c r="F11" s="39"/>
      <c r="G11" s="30"/>
      <c r="H11" s="28"/>
      <c r="I11" s="29"/>
      <c r="L11" s="31">
        <f>IF(ISBLANK(B11),"",IF(IFERROR(ABS(B11-'_key'!$A$2201)&lt;=0.005,FALSE),"✓","✗"))</f>
        <v>0</v>
      </c>
      <c r="M11" s="31">
        <f>IF(ISBLANK(C11),"",IF(IFERROR(ABS(C11-'_key'!$A$2202)&lt;=0.005,FALSE),"✓","✗"))</f>
        <v>0</v>
      </c>
      <c r="N11" s="31">
        <f>IF(ISBLANK(D11),"",IF(IFERROR(ABS(D11-'_key'!$A$2203)&lt;=0.0005,FALSE),"✓","✗"))</f>
        <v>0</v>
      </c>
      <c r="O11" s="31">
        <f>IF(ISBLANK(E11),"",IF(IFERROR(ABS(E11-'_key'!$A$2204)&lt;=0.005,FALSE),"✓","✗"))</f>
        <v>0</v>
      </c>
      <c r="P11" s="31">
        <f>IF(ISBLANK(F11),"",IF(IFERROR(ABS(F11-'_key'!$A$2205)&lt;=0.005,FALSE),"✓","✗"))</f>
        <v>0</v>
      </c>
      <c r="Q11" s="31">
        <f>IF(ISBLANK(G11),"",IF(IFERROR(ABS(G11-'_key'!$A$2206)&lt;=0.5,FALSE),"✓","✗"))</f>
        <v>0</v>
      </c>
      <c r="R11" s="31">
        <f>IF(ISBLANK(H11),"",IF(IFERROR(ABS(H11-'_key'!$A$2207)&lt;=0.005,FALSE),"✓","✗"))</f>
        <v>0</v>
      </c>
      <c r="S11" s="31">
        <f>IF(ISBLANK(I11),"",IF(IFERROR(ABS(I11-'_key'!$A$2208)&lt;=0.005,FALSE),"✓","✗"))</f>
        <v>0</v>
      </c>
    </row>
    <row r="12" spans="1:20">
      <c r="A12" s="50">
        <v>46054</v>
      </c>
      <c r="B12" s="28"/>
      <c r="C12" s="30"/>
      <c r="D12" s="37"/>
      <c r="E12" s="30"/>
      <c r="F12" s="39"/>
      <c r="G12" s="30"/>
      <c r="H12" s="28"/>
      <c r="I12" s="29"/>
      <c r="L12" s="31">
        <f>IF(ISBLANK(B12),"",IF(IFERROR(ABS(B12-'_key'!$A$2209)&lt;=0.005,FALSE),"✓","✗"))</f>
        <v>0</v>
      </c>
      <c r="M12" s="31">
        <f>IF(ISBLANK(C12),"",IF(IFERROR(ABS(C12-'_key'!$A$2210)&lt;=0.005,FALSE),"✓","✗"))</f>
        <v>0</v>
      </c>
      <c r="N12" s="31">
        <f>IF(ISBLANK(D12),"",IF(IFERROR(ABS(D12-'_key'!$A$2211)&lt;=0.0005,FALSE),"✓","✗"))</f>
        <v>0</v>
      </c>
      <c r="O12" s="31">
        <f>IF(ISBLANK(E12),"",IF(IFERROR(ABS(E12-'_key'!$A$2212)&lt;=0.005,FALSE),"✓","✗"))</f>
        <v>0</v>
      </c>
      <c r="P12" s="31">
        <f>IF(ISBLANK(F12),"",IF(IFERROR(ABS(F12-'_key'!$A$2213)&lt;=0.005,FALSE),"✓","✗"))</f>
        <v>0</v>
      </c>
      <c r="Q12" s="31">
        <f>IF(ISBLANK(G12),"",IF(IFERROR(ABS(G12-'_key'!$A$2214)&lt;=0.5,FALSE),"✓","✗"))</f>
        <v>0</v>
      </c>
      <c r="R12" s="31">
        <f>IF(ISBLANK(H12),"",IF(IFERROR(ABS(H12-'_key'!$A$2215)&lt;=0.005,FALSE),"✓","✗"))</f>
        <v>0</v>
      </c>
      <c r="S12" s="31">
        <f>IF(ISBLANK(I12),"",IF(IFERROR(ABS(I12-'_key'!$A$2216)&lt;=0.005,FALSE),"✓","✗"))</f>
        <v>0</v>
      </c>
    </row>
    <row r="13" spans="1:20">
      <c r="A13" s="50">
        <v>46082</v>
      </c>
      <c r="B13" s="28"/>
      <c r="C13" s="30"/>
      <c r="D13" s="37"/>
      <c r="E13" s="30"/>
      <c r="F13" s="39"/>
      <c r="G13" s="30"/>
      <c r="H13" s="28"/>
      <c r="I13" s="29"/>
      <c r="L13" s="31">
        <f>IF(ISBLANK(B13),"",IF(IFERROR(ABS(B13-'_key'!$A$2217)&lt;=0.005,FALSE),"✓","✗"))</f>
        <v>0</v>
      </c>
      <c r="M13" s="31">
        <f>IF(ISBLANK(C13),"",IF(IFERROR(ABS(C13-'_key'!$A$2218)&lt;=0.005,FALSE),"✓","✗"))</f>
        <v>0</v>
      </c>
      <c r="N13" s="31">
        <f>IF(ISBLANK(D13),"",IF(IFERROR(ABS(D13-'_key'!$A$2219)&lt;=0.0005,FALSE),"✓","✗"))</f>
        <v>0</v>
      </c>
      <c r="O13" s="31">
        <f>IF(ISBLANK(E13),"",IF(IFERROR(ABS(E13-'_key'!$A$2220)&lt;=0.005,FALSE),"✓","✗"))</f>
        <v>0</v>
      </c>
      <c r="P13" s="31">
        <f>IF(ISBLANK(F13),"",IF(IFERROR(ABS(F13-'_key'!$A$2221)&lt;=0.005,FALSE),"✓","✗"))</f>
        <v>0</v>
      </c>
      <c r="Q13" s="31">
        <f>IF(ISBLANK(G13),"",IF(IFERROR(ABS(G13-'_key'!$A$2222)&lt;=0.5,FALSE),"✓","✗"))</f>
        <v>0</v>
      </c>
      <c r="R13" s="31">
        <f>IF(ISBLANK(H13),"",IF(IFERROR(ABS(H13-'_key'!$A$2223)&lt;=0.005,FALSE),"✓","✗"))</f>
        <v>0</v>
      </c>
      <c r="S13" s="31">
        <f>IF(ISBLANK(I13),"",IF(IFERROR(ABS(I13-'_key'!$A$2224)&lt;=0.005,FALSE),"✓","✗"))</f>
        <v>0</v>
      </c>
    </row>
    <row r="14" spans="1:20">
      <c r="A14" s="50">
        <v>46113</v>
      </c>
      <c r="B14" s="28"/>
      <c r="C14" s="30"/>
      <c r="D14" s="37"/>
      <c r="E14" s="30"/>
      <c r="F14" s="39"/>
      <c r="G14" s="30"/>
      <c r="H14" s="28"/>
      <c r="I14" s="29"/>
      <c r="L14" s="31">
        <f>IF(ISBLANK(B14),"",IF(IFERROR(ABS(B14-'_key'!$A$2225)&lt;=0.005,FALSE),"✓","✗"))</f>
        <v>0</v>
      </c>
      <c r="M14" s="31">
        <f>IF(ISBLANK(C14),"",IF(IFERROR(ABS(C14-'_key'!$A$2226)&lt;=0.005,FALSE),"✓","✗"))</f>
        <v>0</v>
      </c>
      <c r="N14" s="31">
        <f>IF(ISBLANK(D14),"",IF(IFERROR(ABS(D14-'_key'!$A$2227)&lt;=0.0005,FALSE),"✓","✗"))</f>
        <v>0</v>
      </c>
      <c r="O14" s="31">
        <f>IF(ISBLANK(E14),"",IF(IFERROR(ABS(E14-'_key'!$A$2228)&lt;=0.005,FALSE),"✓","✗"))</f>
        <v>0</v>
      </c>
      <c r="P14" s="31">
        <f>IF(ISBLANK(F14),"",IF(IFERROR(ABS(F14-'_key'!$A$2229)&lt;=0.005,FALSE),"✓","✗"))</f>
        <v>0</v>
      </c>
      <c r="Q14" s="31">
        <f>IF(ISBLANK(G14),"",IF(IFERROR(ABS(G14-'_key'!$A$2230)&lt;=0.5,FALSE),"✓","✗"))</f>
        <v>0</v>
      </c>
      <c r="R14" s="31">
        <f>IF(ISBLANK(H14),"",IF(IFERROR(ABS(H14-'_key'!$A$2231)&lt;=0.005,FALSE),"✓","✗"))</f>
        <v>0</v>
      </c>
      <c r="S14" s="31">
        <f>IF(ISBLANK(I14),"",IF(IFERROR(ABS(I14-'_key'!$A$2232)&lt;=0.005,FALSE),"✓","✗"))</f>
        <v>0</v>
      </c>
    </row>
    <row r="15" spans="1:20">
      <c r="A15" s="50">
        <v>46143</v>
      </c>
      <c r="B15" s="28"/>
      <c r="C15" s="30"/>
      <c r="D15" s="37"/>
      <c r="E15" s="30"/>
      <c r="F15" s="39"/>
      <c r="G15" s="30"/>
      <c r="H15" s="28"/>
      <c r="I15" s="29"/>
      <c r="L15" s="31">
        <f>IF(ISBLANK(B15),"",IF(IFERROR(ABS(B15-'_key'!$A$2233)&lt;=0.005,FALSE),"✓","✗"))</f>
        <v>0</v>
      </c>
      <c r="M15" s="31">
        <f>IF(ISBLANK(C15),"",IF(IFERROR(ABS(C15-'_key'!$A$2234)&lt;=0.005,FALSE),"✓","✗"))</f>
        <v>0</v>
      </c>
      <c r="N15" s="31">
        <f>IF(ISBLANK(D15),"",IF(IFERROR(ABS(D15-'_key'!$A$2235)&lt;=0.0005,FALSE),"✓","✗"))</f>
        <v>0</v>
      </c>
      <c r="O15" s="31">
        <f>IF(ISBLANK(E15),"",IF(IFERROR(ABS(E15-'_key'!$A$2236)&lt;=0.005,FALSE),"✓","✗"))</f>
        <v>0</v>
      </c>
      <c r="P15" s="31">
        <f>IF(ISBLANK(F15),"",IF(IFERROR(ABS(F15-'_key'!$A$2237)&lt;=0.005,FALSE),"✓","✗"))</f>
        <v>0</v>
      </c>
      <c r="Q15" s="31">
        <f>IF(ISBLANK(G15),"",IF(IFERROR(ABS(G15-'_key'!$A$2238)&lt;=0.5,FALSE),"✓","✗"))</f>
        <v>0</v>
      </c>
      <c r="R15" s="31">
        <f>IF(ISBLANK(H15),"",IF(IFERROR(ABS(H15-'_key'!$A$2239)&lt;=0.005,FALSE),"✓","✗"))</f>
        <v>0</v>
      </c>
      <c r="S15" s="31">
        <f>IF(ISBLANK(I15),"",IF(IFERROR(ABS(I15-'_key'!$A$2240)&lt;=0.005,FALSE),"✓","✗"))</f>
        <v>0</v>
      </c>
    </row>
    <row r="16" spans="1:20">
      <c r="A16" s="50">
        <v>46174</v>
      </c>
      <c r="B16" s="28"/>
      <c r="C16" s="30"/>
      <c r="D16" s="37"/>
      <c r="E16" s="30"/>
      <c r="F16" s="39"/>
      <c r="G16" s="30"/>
      <c r="H16" s="28"/>
      <c r="I16" s="29"/>
      <c r="L16" s="31">
        <f>IF(ISBLANK(B16),"",IF(IFERROR(ABS(B16-'_key'!$A$2241)&lt;=0.005,FALSE),"✓","✗"))</f>
        <v>0</v>
      </c>
      <c r="M16" s="31">
        <f>IF(ISBLANK(C16),"",IF(IFERROR(ABS(C16-'_key'!$A$2242)&lt;=0.005,FALSE),"✓","✗"))</f>
        <v>0</v>
      </c>
      <c r="N16" s="31">
        <f>IF(ISBLANK(D16),"",IF(IFERROR(ABS(D16-'_key'!$A$2243)&lt;=0.0005,FALSE),"✓","✗"))</f>
        <v>0</v>
      </c>
      <c r="O16" s="31">
        <f>IF(ISBLANK(E16),"",IF(IFERROR(ABS(E16-'_key'!$A$2244)&lt;=0.005,FALSE),"✓","✗"))</f>
        <v>0</v>
      </c>
      <c r="P16" s="31">
        <f>IF(ISBLANK(F16),"",IF(IFERROR(ABS(F16-'_key'!$A$2245)&lt;=0.005,FALSE),"✓","✗"))</f>
        <v>0</v>
      </c>
      <c r="Q16" s="31">
        <f>IF(ISBLANK(G16),"",IF(IFERROR(ABS(G16-'_key'!$A$2246)&lt;=0.5,FALSE),"✓","✗"))</f>
        <v>0</v>
      </c>
      <c r="R16" s="31">
        <f>IF(ISBLANK(H16),"",IF(IFERROR(ABS(H16-'_key'!$A$2247)&lt;=0.005,FALSE),"✓","✗"))</f>
        <v>0</v>
      </c>
      <c r="S16" s="31">
        <f>IF(ISBLANK(I16),"",IF(IFERROR(ABS(I16-'_key'!$A$2248)&lt;=0.005,FALSE),"✓","✗"))</f>
        <v>0</v>
      </c>
    </row>
    <row r="17" spans="1:19">
      <c r="A17" s="50">
        <v>46204</v>
      </c>
      <c r="B17" s="28"/>
      <c r="C17" s="30"/>
      <c r="D17" s="37"/>
      <c r="E17" s="30"/>
      <c r="F17" s="39"/>
      <c r="G17" s="30"/>
      <c r="H17" s="28"/>
      <c r="I17" s="29"/>
      <c r="L17" s="31">
        <f>IF(ISBLANK(B17),"",IF(IFERROR(ABS(B17-'_key'!$A$2249)&lt;=0.005,FALSE),"✓","✗"))</f>
        <v>0</v>
      </c>
      <c r="M17" s="31">
        <f>IF(ISBLANK(C17),"",IF(IFERROR(ABS(C17-'_key'!$A$2250)&lt;=0.005,FALSE),"✓","✗"))</f>
        <v>0</v>
      </c>
      <c r="N17" s="31">
        <f>IF(ISBLANK(D17),"",IF(IFERROR(ABS(D17-'_key'!$A$2251)&lt;=0.0005,FALSE),"✓","✗"))</f>
        <v>0</v>
      </c>
      <c r="O17" s="31">
        <f>IF(ISBLANK(E17),"",IF(IFERROR(ABS(E17-'_key'!$A$2252)&lt;=0.005,FALSE),"✓","✗"))</f>
        <v>0</v>
      </c>
      <c r="P17" s="31">
        <f>IF(ISBLANK(F17),"",IF(IFERROR(ABS(F17-'_key'!$A$2253)&lt;=0.005,FALSE),"✓","✗"))</f>
        <v>0</v>
      </c>
      <c r="Q17" s="31">
        <f>IF(ISBLANK(G17),"",IF(IFERROR(ABS(G17-'_key'!$A$2254)&lt;=0.5,FALSE),"✓","✗"))</f>
        <v>0</v>
      </c>
      <c r="R17" s="31">
        <f>IF(ISBLANK(H17),"",IF(IFERROR(ABS(H17-'_key'!$A$2255)&lt;=0.005,FALSE),"✓","✗"))</f>
        <v>0</v>
      </c>
      <c r="S17" s="31">
        <f>IF(ISBLANK(I17),"",IF(IFERROR(ABS(I17-'_key'!$A$2256)&lt;=0.005,FALSE),"✓","✗"))</f>
        <v>0</v>
      </c>
    </row>
    <row r="18" spans="1:19">
      <c r="A18" s="50">
        <v>46235</v>
      </c>
      <c r="B18" s="28"/>
      <c r="C18" s="30"/>
      <c r="D18" s="37"/>
      <c r="E18" s="30"/>
      <c r="F18" s="39"/>
      <c r="G18" s="30"/>
      <c r="H18" s="28"/>
      <c r="I18" s="29"/>
      <c r="L18" s="31">
        <f>IF(ISBLANK(B18),"",IF(IFERROR(ABS(B18-'_key'!$A$2257)&lt;=0.005,FALSE),"✓","✗"))</f>
        <v>0</v>
      </c>
      <c r="M18" s="31">
        <f>IF(ISBLANK(C18),"",IF(IFERROR(ABS(C18-'_key'!$A$2258)&lt;=0.005,FALSE),"✓","✗"))</f>
        <v>0</v>
      </c>
      <c r="N18" s="31">
        <f>IF(ISBLANK(D18),"",IF(IFERROR(ABS(D18-'_key'!$A$2259)&lt;=0.0005,FALSE),"✓","✗"))</f>
        <v>0</v>
      </c>
      <c r="O18" s="31">
        <f>IF(ISBLANK(E18),"",IF(IFERROR(ABS(E18-'_key'!$A$2260)&lt;=0.005,FALSE),"✓","✗"))</f>
        <v>0</v>
      </c>
      <c r="P18" s="31">
        <f>IF(ISBLANK(F18),"",IF(IFERROR(ABS(F18-'_key'!$A$2261)&lt;=0.005,FALSE),"✓","✗"))</f>
        <v>0</v>
      </c>
      <c r="Q18" s="31">
        <f>IF(ISBLANK(G18),"",IF(IFERROR(ABS(G18-'_key'!$A$2262)&lt;=0.5,FALSE),"✓","✗"))</f>
        <v>0</v>
      </c>
      <c r="R18" s="31">
        <f>IF(ISBLANK(H18),"",IF(IFERROR(ABS(H18-'_key'!$A$2263)&lt;=0.005,FALSE),"✓","✗"))</f>
        <v>0</v>
      </c>
      <c r="S18" s="31">
        <f>IF(ISBLANK(I18),"",IF(IFERROR(ABS(I18-'_key'!$A$2264)&lt;=0.005,FALSE),"✓","✗"))</f>
        <v>0</v>
      </c>
    </row>
    <row r="19" spans="1:19">
      <c r="A19" s="50">
        <v>46266</v>
      </c>
      <c r="B19" s="28"/>
      <c r="C19" s="30"/>
      <c r="D19" s="37"/>
      <c r="E19" s="30"/>
      <c r="F19" s="39"/>
      <c r="G19" s="30"/>
      <c r="H19" s="28"/>
      <c r="I19" s="29"/>
      <c r="L19" s="31">
        <f>IF(ISBLANK(B19),"",IF(IFERROR(ABS(B19-'_key'!$A$2265)&lt;=0.005,FALSE),"✓","✗"))</f>
        <v>0</v>
      </c>
      <c r="M19" s="31">
        <f>IF(ISBLANK(C19),"",IF(IFERROR(ABS(C19-'_key'!$A$2266)&lt;=0.005,FALSE),"✓","✗"))</f>
        <v>0</v>
      </c>
      <c r="N19" s="31">
        <f>IF(ISBLANK(D19),"",IF(IFERROR(ABS(D19-'_key'!$A$2267)&lt;=0.0005,FALSE),"✓","✗"))</f>
        <v>0</v>
      </c>
      <c r="O19" s="31">
        <f>IF(ISBLANK(E19),"",IF(IFERROR(ABS(E19-'_key'!$A$2268)&lt;=0.005,FALSE),"✓","✗"))</f>
        <v>0</v>
      </c>
      <c r="P19" s="31">
        <f>IF(ISBLANK(F19),"",IF(IFERROR(ABS(F19-'_key'!$A$2269)&lt;=0.005,FALSE),"✓","✗"))</f>
        <v>0</v>
      </c>
      <c r="Q19" s="31">
        <f>IF(ISBLANK(G19),"",IF(IFERROR(ABS(G19-'_key'!$A$2270)&lt;=0.5,FALSE),"✓","✗"))</f>
        <v>0</v>
      </c>
      <c r="R19" s="31">
        <f>IF(ISBLANK(H19),"",IF(IFERROR(ABS(H19-'_key'!$A$2271)&lt;=0.005,FALSE),"✓","✗"))</f>
        <v>0</v>
      </c>
      <c r="S19" s="31">
        <f>IF(ISBLANK(I19),"",IF(IFERROR(ABS(I19-'_key'!$A$2272)&lt;=0.005,FALSE),"✓","✗"))</f>
        <v>0</v>
      </c>
    </row>
    <row r="21" spans="1:19">
      <c r="A21" s="34" t="s">
        <v>5842</v>
      </c>
      <c r="B21" s="54">
        <f> 1 − ARR churned 12m / (ARR activo + ARR churned 12m)</f>
        <v>0</v>
      </c>
      <c r="C21" s="54"/>
      <c r="D21" s="54"/>
      <c r="E21" s="54"/>
      <c r="F21" s="59"/>
      <c r="L21" s="31">
        <f>IF(ISBLANK(F21),"",IF(IFERROR(ABS(F21-'_key'!$A$2273)&lt;=0.0005,FALSE),"✓","✗"))</f>
        <v>0</v>
      </c>
    </row>
    <row r="23" spans="1:19">
      <c r="A23" s="4" t="s">
        <v>5843</v>
      </c>
    </row>
    <row r="24" spans="1:19">
      <c r="A24" s="7" t="s">
        <v>370</v>
      </c>
      <c r="B24" s="7" t="s">
        <v>5844</v>
      </c>
      <c r="C24" s="7" t="s">
        <v>5846</v>
      </c>
      <c r="D24" s="7" t="s">
        <v>5847</v>
      </c>
      <c r="E24" s="7" t="s">
        <v>5849</v>
      </c>
      <c r="F24" s="7" t="s">
        <v>5851</v>
      </c>
      <c r="L24" s="7" t="s">
        <v>5348</v>
      </c>
      <c r="M24" s="7" t="s">
        <v>5349</v>
      </c>
      <c r="N24" s="7" t="s">
        <v>5350</v>
      </c>
      <c r="O24" s="7" t="s">
        <v>5351</v>
      </c>
      <c r="P24" s="7" t="s">
        <v>5352</v>
      </c>
    </row>
    <row r="25" spans="1:19" ht="62" customHeight="1">
      <c r="A25" s="26" t="s">
        <v>5378</v>
      </c>
      <c r="B25" s="26" t="s">
        <v>5845</v>
      </c>
      <c r="C25" s="26" t="s">
        <v>5839</v>
      </c>
      <c r="D25" s="26" t="s">
        <v>5848</v>
      </c>
      <c r="E25" s="26" t="s">
        <v>5850</v>
      </c>
      <c r="F25" s="26" t="s">
        <v>5852</v>
      </c>
    </row>
    <row r="26" spans="1:19">
      <c r="A26" s="50">
        <v>46296</v>
      </c>
      <c r="B26" s="28"/>
      <c r="C26" s="29"/>
      <c r="D26" s="28"/>
      <c r="E26" s="29"/>
      <c r="F26" s="37"/>
      <c r="L26" s="31">
        <f>IF(ISBLANK(B26),"",IF(IFERROR(ABS(B26-'_key'!$A$2274)&lt;=0.005,FALSE),"✓","✗"))</f>
        <v>0</v>
      </c>
      <c r="M26" s="31">
        <f>IF(ISBLANK(C26),"",IF(IFERROR(ABS(C26-'_key'!$A$2275)&lt;=0.005,FALSE),"✓","✗"))</f>
        <v>0</v>
      </c>
      <c r="N26" s="31">
        <f>IF(ISBLANK(D26),"",IF(IFERROR(ABS(D26-'_key'!$A$2276)&lt;=0.005,FALSE),"✓","✗"))</f>
        <v>0</v>
      </c>
      <c r="O26" s="31">
        <f>IF(ISBLANK(E26),"",IF(IFERROR(ABS(E26-'_key'!$A$2277)&lt;=0.005,FALSE),"✓","✗"))</f>
        <v>0</v>
      </c>
      <c r="P26" s="31">
        <f>IF(ISBLANK(F26),"",IF(IFERROR(ABS(F26-'_key'!$A$2278)&lt;=0.0005,FALSE),"✓","✗"))</f>
        <v>0</v>
      </c>
    </row>
    <row r="27" spans="1:19">
      <c r="A27" s="50">
        <v>46327</v>
      </c>
      <c r="B27" s="28"/>
      <c r="C27" s="29"/>
      <c r="D27" s="28"/>
      <c r="E27" s="29"/>
      <c r="F27" s="37"/>
      <c r="L27" s="31">
        <f>IF(ISBLANK(B27),"",IF(IFERROR(ABS(B27-'_key'!$A$2279)&lt;=0.005,FALSE),"✓","✗"))</f>
        <v>0</v>
      </c>
      <c r="M27" s="31">
        <f>IF(ISBLANK(C27),"",IF(IFERROR(ABS(C27-'_key'!$A$2280)&lt;=0.005,FALSE),"✓","✗"))</f>
        <v>0</v>
      </c>
      <c r="N27" s="31">
        <f>IF(ISBLANK(D27),"",IF(IFERROR(ABS(D27-'_key'!$A$2281)&lt;=0.005,FALSE),"✓","✗"))</f>
        <v>0</v>
      </c>
      <c r="O27" s="31">
        <f>IF(ISBLANK(E27),"",IF(IFERROR(ABS(E27-'_key'!$A$2282)&lt;=0.005,FALSE),"✓","✗"))</f>
        <v>0</v>
      </c>
      <c r="P27" s="31">
        <f>IF(ISBLANK(F27),"",IF(IFERROR(ABS(F27-'_key'!$A$2283)&lt;=0.0005,FALSE),"✓","✗"))</f>
        <v>0</v>
      </c>
    </row>
    <row r="28" spans="1:19">
      <c r="A28" s="50">
        <v>46357</v>
      </c>
      <c r="B28" s="28"/>
      <c r="C28" s="29"/>
      <c r="D28" s="28"/>
      <c r="E28" s="29"/>
      <c r="F28" s="37"/>
      <c r="L28" s="31">
        <f>IF(ISBLANK(B28),"",IF(IFERROR(ABS(B28-'_key'!$A$2284)&lt;=0.005,FALSE),"✓","✗"))</f>
        <v>0</v>
      </c>
      <c r="M28" s="31">
        <f>IF(ISBLANK(C28),"",IF(IFERROR(ABS(C28-'_key'!$A$2285)&lt;=0.005,FALSE),"✓","✗"))</f>
        <v>0</v>
      </c>
      <c r="N28" s="31">
        <f>IF(ISBLANK(D28),"",IF(IFERROR(ABS(D28-'_key'!$A$2286)&lt;=0.005,FALSE),"✓","✗"))</f>
        <v>0</v>
      </c>
      <c r="O28" s="31">
        <f>IF(ISBLANK(E28),"",IF(IFERROR(ABS(E28-'_key'!$A$2287)&lt;=0.005,FALSE),"✓","✗"))</f>
        <v>0</v>
      </c>
      <c r="P28" s="31">
        <f>IF(ISBLANK(F28),"",IF(IFERROR(ABS(F28-'_key'!$A$2288)&lt;=0.0005,FALSE),"✓","✗"))</f>
        <v>0</v>
      </c>
    </row>
    <row r="29" spans="1:19">
      <c r="A29" s="50">
        <v>46388</v>
      </c>
      <c r="B29" s="28"/>
      <c r="C29" s="29"/>
      <c r="D29" s="28"/>
      <c r="E29" s="29"/>
      <c r="F29" s="37"/>
      <c r="L29" s="31">
        <f>IF(ISBLANK(B29),"",IF(IFERROR(ABS(B29-'_key'!$A$2289)&lt;=0.005,FALSE),"✓","✗"))</f>
        <v>0</v>
      </c>
      <c r="M29" s="31">
        <f>IF(ISBLANK(C29),"",IF(IFERROR(ABS(C29-'_key'!$A$2290)&lt;=0.005,FALSE),"✓","✗"))</f>
        <v>0</v>
      </c>
      <c r="N29" s="31">
        <f>IF(ISBLANK(D29),"",IF(IFERROR(ABS(D29-'_key'!$A$2291)&lt;=0.005,FALSE),"✓","✗"))</f>
        <v>0</v>
      </c>
      <c r="O29" s="31">
        <f>IF(ISBLANK(E29),"",IF(IFERROR(ABS(E29-'_key'!$A$2292)&lt;=0.005,FALSE),"✓","✗"))</f>
        <v>0</v>
      </c>
      <c r="P29" s="31">
        <f>IF(ISBLANK(F29),"",IF(IFERROR(ABS(F29-'_key'!$A$2293)&lt;=0.0005,FALSE),"✓","✗"))</f>
        <v>0</v>
      </c>
    </row>
    <row r="30" spans="1:19">
      <c r="A30" s="50">
        <v>46419</v>
      </c>
      <c r="B30" s="28"/>
      <c r="C30" s="29"/>
      <c r="D30" s="28"/>
      <c r="E30" s="29"/>
      <c r="F30" s="37"/>
      <c r="L30" s="31">
        <f>IF(ISBLANK(B30),"",IF(IFERROR(ABS(B30-'_key'!$A$2294)&lt;=0.005,FALSE),"✓","✗"))</f>
        <v>0</v>
      </c>
      <c r="M30" s="31">
        <f>IF(ISBLANK(C30),"",IF(IFERROR(ABS(C30-'_key'!$A$2295)&lt;=0.005,FALSE),"✓","✗"))</f>
        <v>0</v>
      </c>
      <c r="N30" s="31">
        <f>IF(ISBLANK(D30),"",IF(IFERROR(ABS(D30-'_key'!$A$2296)&lt;=0.005,FALSE),"✓","✗"))</f>
        <v>0</v>
      </c>
      <c r="O30" s="31">
        <f>IF(ISBLANK(E30),"",IF(IFERROR(ABS(E30-'_key'!$A$2297)&lt;=0.005,FALSE),"✓","✗"))</f>
        <v>0</v>
      </c>
      <c r="P30" s="31">
        <f>IF(ISBLANK(F30),"",IF(IFERROR(ABS(F30-'_key'!$A$2298)&lt;=0.0005,FALSE),"✓","✗"))</f>
        <v>0</v>
      </c>
    </row>
    <row r="31" spans="1:19">
      <c r="A31" s="50">
        <v>46447</v>
      </c>
      <c r="B31" s="28"/>
      <c r="C31" s="29"/>
      <c r="D31" s="28"/>
      <c r="E31" s="29"/>
      <c r="F31" s="37"/>
      <c r="L31" s="31">
        <f>IF(ISBLANK(B31),"",IF(IFERROR(ABS(B31-'_key'!$A$2299)&lt;=0.005,FALSE),"✓","✗"))</f>
        <v>0</v>
      </c>
      <c r="M31" s="31">
        <f>IF(ISBLANK(C31),"",IF(IFERROR(ABS(C31-'_key'!$A$2300)&lt;=0.005,FALSE),"✓","✗"))</f>
        <v>0</v>
      </c>
      <c r="N31" s="31">
        <f>IF(ISBLANK(D31),"",IF(IFERROR(ABS(D31-'_key'!$A$2301)&lt;=0.005,FALSE),"✓","✗"))</f>
        <v>0</v>
      </c>
      <c r="O31" s="31">
        <f>IF(ISBLANK(E31),"",IF(IFERROR(ABS(E31-'_key'!$A$2302)&lt;=0.005,FALSE),"✓","✗"))</f>
        <v>0</v>
      </c>
      <c r="P31" s="31">
        <f>IF(ISBLANK(F31),"",IF(IFERROR(ABS(F31-'_key'!$A$2303)&lt;=0.0005,FALSE),"✓","✗"))</f>
        <v>0</v>
      </c>
    </row>
  </sheetData>
  <mergeCells count="4">
    <mergeCell ref="A1:T1"/>
    <mergeCell ref="A2:T2"/>
    <mergeCell ref="A3:T3"/>
    <mergeCell ref="B21:E21"/>
  </mergeCells>
  <conditionalFormatting sqref="D8:D19">
    <cfRule type="colorScale" priority="3">
      <colorScale>
        <cfvo type="min" val="0"/>
        <cfvo type="num" val="0"/>
        <cfvo type="max" val="0"/>
        <color rgb="FFF8696B"/>
        <color rgb="FFFFFFFF"/>
        <color rgb="FF63BE7B"/>
      </colorScale>
    </cfRule>
  </conditionalFormatting>
  <conditionalFormatting sqref="F26:F31">
    <cfRule type="dataBar" priority="8">
      <dataBar>
        <cfvo type="num" val="0"/>
        <cfvo type="num" val="1"/>
        <color rgb="FFF8696B"/>
      </dataBar>
    </cfRule>
  </conditionalFormatting>
  <conditionalFormatting sqref="L21">
    <cfRule type="cellIs" dxfId="5" priority="4" operator="equal">
      <formula>"✓"</formula>
    </cfRule>
    <cfRule type="cellIs" dxfId="6" priority="5" operator="equal">
      <formula>"✗"</formula>
    </cfRule>
  </conditionalFormatting>
  <conditionalFormatting sqref="L26:P31">
    <cfRule type="cellIs" dxfId="5" priority="6" operator="equal">
      <formula>"✓"</formula>
    </cfRule>
    <cfRule type="cellIs" dxfId="6" priority="7" operator="equal">
      <formula>"✗"</formula>
    </cfRule>
  </conditionalFormatting>
  <conditionalFormatting sqref="L8:S19">
    <cfRule type="cellIs" dxfId="5" priority="1" operator="equal">
      <formula>"✓"</formula>
    </cfRule>
    <cfRule type="cellIs" dxfId="6" priority="2" operator="equal">
      <formula>"✗"</formula>
    </cfRule>
  </conditionalFormatting>
  <pageMargins left="0.7" right="0.7" top="0.75" bottom="0.75" header="0.3" footer="0.3"/>
  <drawing r:id="rId1"/>
  <extLst>
    <ext xmlns:x14="http://schemas.microsoft.com/office/spreadsheetml/2009/9/main" uri="{05C60535-1F16-4fd2-B633-F4F36F0B64E0}">
      <x14:sparklineGroups xmlns:xm="http://schemas.microsoft.com/office/excel/2006/main">
        <x14:sparklineGroup type="column" displayEmptyCellsAs="gap">
          <x14:colorSeries theme="4" tint="-0.499984740745262"/>
          <x14:colorNegative theme="5"/>
          <x14:colorAxis rgb="FF000000"/>
          <x14:colorMarkers theme="4" tint="-0.499984740745262"/>
          <x14:colorFirst theme="4" tint="0.39997558519241921"/>
          <x14:colorLast theme="4" tint="0.39997558519241921"/>
          <x14:colorHigh theme="4"/>
          <x14:colorLow theme="4"/>
          <x14:sparklines>
            <x14:sparkline>
              <xm:f>E8_Tendencias!E8:E19</xm:f>
              <xm:sqref>J9</xm:sqref>
            </x14:sparkline>
          </x14:sparklines>
        </x14:sparklineGroup>
        <x14:sparklineGroup displayEmptyCellsAs="gap" markers="1">
          <x14:colorSeries theme="4" tint="-0.499984740745262"/>
          <x14:colorNegative theme="5"/>
          <x14:colorAxis rgb="FF000000"/>
          <x14:colorMarkers theme="4" tint="-0.499984740745262"/>
          <x14:colorFirst theme="4" tint="0.39997558519241921"/>
          <x14:colorLast theme="4" tint="0.39997558519241921"/>
          <x14:colorHigh theme="4"/>
          <x14:colorLow theme="4"/>
          <x14:sparklines>
            <x14:sparkline>
              <xm:f>E8_Tendencias!C8:C19</xm:f>
              <xm:sqref>J8</xm:sqref>
            </x14:sparkline>
          </x14:sparklines>
        </x14:sparklineGroup>
      </x14:sparklineGroups>
    </ext>
  </extLst>
</worksheet>
</file>

<file path=xl/worksheets/sheet11.xml><?xml version="1.0" encoding="utf-8"?>
<worksheet xmlns="http://schemas.openxmlformats.org/spreadsheetml/2006/main" xmlns:r="http://schemas.openxmlformats.org/officeDocument/2006/relationships">
  <sheetPr>
    <tabColor rgb="FFFFC000"/>
  </sheetPr>
  <dimension ref="A1:K32"/>
  <sheetViews>
    <sheetView workbookViewId="0"/>
  </sheetViews>
  <sheetFormatPr defaultRowHeight="15"/>
  <cols>
    <col min="1" max="1" width="2.7109375" customWidth="1"/>
    <col min="2" max="2" width="34.7109375" customWidth="1"/>
    <col min="3" max="3" width="22.7109375" customWidth="1"/>
    <col min="4" max="4" width="4.7109375" customWidth="1"/>
    <col min="5" max="5" width="2.7109375" customWidth="1"/>
    <col min="6" max="6" width="11.7109375" customWidth="1"/>
    <col min="7" max="7" width="24.7109375" customWidth="1"/>
    <col min="8" max="11" width="12.7109375" customWidth="1"/>
  </cols>
  <sheetData>
    <row r="1" spans="1:11" ht="26" customHeight="1">
      <c r="A1" s="18" t="s">
        <v>5853</v>
      </c>
      <c r="B1" s="18"/>
      <c r="C1" s="18"/>
      <c r="D1" s="18"/>
      <c r="E1" s="18"/>
      <c r="F1" s="18"/>
      <c r="G1" s="18"/>
      <c r="H1" s="18"/>
      <c r="I1" s="18"/>
      <c r="J1" s="18"/>
      <c r="K1" s="18"/>
    </row>
    <row r="2" spans="1:11" ht="45" customHeight="1">
      <c r="A2" s="3" t="s">
        <v>5854</v>
      </c>
      <c r="B2" s="3"/>
      <c r="C2" s="3"/>
      <c r="D2" s="3"/>
      <c r="E2" s="3"/>
      <c r="F2" s="3"/>
      <c r="G2" s="3"/>
      <c r="H2" s="3"/>
      <c r="I2" s="3"/>
      <c r="J2" s="3"/>
      <c r="K2" s="3"/>
    </row>
    <row r="3" spans="1:11" ht="45" customHeight="1">
      <c r="A3" s="25" t="s">
        <v>5855</v>
      </c>
      <c r="B3" s="25"/>
      <c r="C3" s="25"/>
      <c r="D3" s="25"/>
      <c r="E3" s="25"/>
      <c r="F3" s="25"/>
      <c r="G3" s="25"/>
      <c r="H3" s="25"/>
      <c r="I3" s="25"/>
      <c r="J3" s="25"/>
      <c r="K3" s="25"/>
    </row>
    <row r="5" spans="1:11">
      <c r="B5" s="60" t="s">
        <v>5856</v>
      </c>
      <c r="C5" s="61" t="s">
        <v>352</v>
      </c>
    </row>
    <row r="7" spans="1:11">
      <c r="B7" s="7" t="s">
        <v>5857</v>
      </c>
      <c r="C7" s="7" t="s">
        <v>5403</v>
      </c>
      <c r="D7" s="7" t="s">
        <v>5376</v>
      </c>
      <c r="F7" s="48" t="s">
        <v>5867</v>
      </c>
      <c r="G7" s="48"/>
      <c r="H7" s="48"/>
      <c r="I7" s="48"/>
      <c r="J7" s="48"/>
      <c r="K7" s="48"/>
    </row>
    <row r="8" spans="1:11">
      <c r="B8" s="34" t="s">
        <v>6</v>
      </c>
      <c r="C8" s="46"/>
      <c r="D8" s="31">
        <f>IF(ISBLANK(C8),"",IF(IFERROR(EXACT(C8,'_key'!$A$2304),FALSE),"✓","✗"))</f>
        <v>0</v>
      </c>
      <c r="F8" s="7" t="s">
        <v>0</v>
      </c>
      <c r="G8" s="7" t="s">
        <v>1</v>
      </c>
      <c r="H8" s="7" t="s">
        <v>5382</v>
      </c>
      <c r="I8" s="7" t="s">
        <v>5868</v>
      </c>
      <c r="J8" s="7" t="s">
        <v>5443</v>
      </c>
      <c r="K8" s="7" t="s">
        <v>5869</v>
      </c>
    </row>
    <row r="9" spans="1:11">
      <c r="B9" s="34" t="s">
        <v>5858</v>
      </c>
      <c r="C9" s="46"/>
      <c r="D9" s="31">
        <f>IF(ISBLANK(C9),"",IF(IFERROR(EXACT(C9,'_key'!$A$2305),FALSE),"✓","✗"))</f>
        <v>0</v>
      </c>
      <c r="F9" s="28"/>
      <c r="G9" s="53"/>
      <c r="H9" s="56"/>
      <c r="I9" s="53"/>
      <c r="J9" s="53"/>
      <c r="K9" s="53"/>
    </row>
    <row r="10" spans="1:11">
      <c r="B10" s="34" t="s">
        <v>5860</v>
      </c>
      <c r="C10" s="62"/>
      <c r="D10" s="31">
        <f>IF(ISBLANK(C10),"",IF(IFERROR(ABS(C10-'_key'!$A$2306)&lt;=0.05,FALSE),"✓","✗"))</f>
        <v>0</v>
      </c>
      <c r="F10" s="53"/>
      <c r="G10" s="53"/>
      <c r="H10" s="56"/>
      <c r="I10" s="53"/>
      <c r="J10" s="53"/>
      <c r="K10" s="53"/>
    </row>
    <row r="11" spans="1:11">
      <c r="B11" s="34" t="s">
        <v>5861</v>
      </c>
      <c r="C11" s="35"/>
      <c r="D11" s="31">
        <f>IF(ISBLANK(C11),"",IF(IFERROR(ABS(C11-'_key'!$A$2307)&lt;=0.05,FALSE),"✓","✗"))</f>
        <v>0</v>
      </c>
      <c r="F11" s="53"/>
      <c r="G11" s="53"/>
      <c r="H11" s="56"/>
      <c r="I11" s="53"/>
      <c r="J11" s="53"/>
      <c r="K11" s="53"/>
    </row>
    <row r="12" spans="1:11">
      <c r="B12" s="34" t="s">
        <v>5459</v>
      </c>
      <c r="C12" s="43"/>
      <c r="D12" s="31">
        <f>IF(ISBLANK(C12),"",IF(IFERROR(ABS(C12-'_key'!$A$2308)&lt;=0.05,FALSE),"✓","✗"))</f>
        <v>0</v>
      </c>
      <c r="F12" s="53"/>
      <c r="G12" s="53"/>
      <c r="H12" s="56"/>
      <c r="I12" s="53"/>
      <c r="J12" s="53"/>
      <c r="K12" s="53"/>
    </row>
    <row r="13" spans="1:11">
      <c r="B13" s="34" t="s">
        <v>5862</v>
      </c>
      <c r="C13" s="62"/>
      <c r="D13" s="31">
        <f>IF(ISBLANK(C13),"",IF(IFERROR(ABS(C13-'_key'!$A$2309)&lt;=0.05,FALSE),"✓","✗"))</f>
        <v>0</v>
      </c>
      <c r="F13" s="53"/>
      <c r="G13" s="53"/>
      <c r="H13" s="56"/>
      <c r="I13" s="53"/>
      <c r="J13" s="53"/>
      <c r="K13" s="53"/>
    </row>
    <row r="14" spans="1:11">
      <c r="B14" s="34" t="s">
        <v>5863</v>
      </c>
      <c r="C14" s="62"/>
      <c r="D14" s="31">
        <f>IF(ISBLANK(C14),"",IF(IFERROR(ABS(C14-'_key'!$A$2310)&lt;=0.05,FALSE),"✓","✗"))</f>
        <v>0</v>
      </c>
      <c r="F14" s="63" t="s">
        <v>5870</v>
      </c>
      <c r="G14" s="63"/>
      <c r="H14" s="63"/>
      <c r="I14" s="63"/>
      <c r="J14" s="63"/>
      <c r="K14" s="63"/>
    </row>
    <row r="15" spans="1:11">
      <c r="B15" s="34" t="s">
        <v>5864</v>
      </c>
      <c r="C15" s="62"/>
      <c r="D15" s="31">
        <f>IF(ISBLANK(C15),"",IF(IFERROR(ABS(C15-'_key'!$A$2311)&lt;=0.05,FALSE),"✓","✗"))</f>
        <v>0</v>
      </c>
    </row>
    <row r="16" spans="1:11">
      <c r="B16" s="34" t="s">
        <v>5865</v>
      </c>
      <c r="C16" s="62"/>
      <c r="D16" s="31">
        <f>IF(ISBLANK(C16),"",IF(IFERROR(ABS(C16-'_key'!$A$2312)&lt;=0.05,FALSE),"✓","✗"))</f>
        <v>0</v>
      </c>
    </row>
    <row r="17" spans="2:11">
      <c r="B17" s="34" t="s">
        <v>5462</v>
      </c>
      <c r="C17" s="35"/>
      <c r="D17" s="31">
        <f>IF(ISBLANK(C17),"",IF(IFERROR(ABS(C17-'_key'!$A$2313)&lt;=0.05,FALSE),"✓","✗"))</f>
        <v>0</v>
      </c>
    </row>
    <row r="18" spans="2:11">
      <c r="B18" s="34" t="s">
        <v>5428</v>
      </c>
      <c r="C18" s="62"/>
      <c r="D18" s="31">
        <f>IF(ISBLANK(C18),"",IF(IFERROR(ABS(C18-'_key'!$A$2314)&lt;=0.05,FALSE),"✓","✗"))</f>
        <v>0</v>
      </c>
    </row>
    <row r="19" spans="2:11">
      <c r="B19" s="54" t="s">
        <v>5866</v>
      </c>
    </row>
    <row r="22" spans="2:11">
      <c r="B22" s="33" t="s">
        <v>5872</v>
      </c>
      <c r="C22" s="33"/>
    </row>
    <row r="23" spans="2:11">
      <c r="B23" s="33"/>
      <c r="C23" s="33"/>
    </row>
    <row r="24" spans="2:11">
      <c r="B24" s="33"/>
      <c r="C24" s="33"/>
    </row>
    <row r="25" spans="2:11">
      <c r="B25" s="33"/>
      <c r="C25" s="33"/>
    </row>
    <row r="26" spans="2:11">
      <c r="B26" s="33"/>
      <c r="C26" s="33"/>
    </row>
    <row r="30" spans="2:11">
      <c r="F30" s="64" t="s">
        <v>5871</v>
      </c>
      <c r="G30" s="64"/>
      <c r="H30" s="64"/>
      <c r="I30" s="64"/>
      <c r="J30" s="64"/>
      <c r="K30" s="64"/>
    </row>
    <row r="31" spans="2:11">
      <c r="F31" s="64"/>
      <c r="G31" s="64"/>
      <c r="H31" s="64"/>
      <c r="I31" s="64"/>
      <c r="J31" s="64"/>
      <c r="K31" s="64"/>
    </row>
    <row r="32" spans="2:11">
      <c r="F32" s="64"/>
      <c r="G32" s="64"/>
      <c r="H32" s="64"/>
      <c r="I32" s="64"/>
      <c r="J32" s="64"/>
      <c r="K32" s="64"/>
    </row>
  </sheetData>
  <mergeCells count="7">
    <mergeCell ref="A1:K1"/>
    <mergeCell ref="A2:K2"/>
    <mergeCell ref="A3:K3"/>
    <mergeCell ref="F7:K7"/>
    <mergeCell ref="F14:K14"/>
    <mergeCell ref="F30:K32"/>
    <mergeCell ref="B22:C26"/>
  </mergeCells>
  <conditionalFormatting sqref="D8:D18">
    <cfRule type="cellIs" dxfId="5" priority="1" operator="equal">
      <formula>"✓"</formula>
    </cfRule>
    <cfRule type="cellIs" dxfId="6" priority="2" operator="equal">
      <formula>"✗"</formula>
    </cfRule>
  </conditionalFormatting>
  <conditionalFormatting sqref="J9:J13">
    <cfRule type="cellIs" dxfId="6" priority="3" operator="equal">
      <formula>"Red"</formula>
    </cfRule>
    <cfRule type="cellIs" dxfId="7" priority="4" operator="equal">
      <formula>"Yellow"</formula>
    </cfRule>
  </conditionalFormatting>
  <dataValidations count="1">
    <dataValidation type="list" allowBlank="1" showInputMessage="1" showErrorMessage="1" sqref="C5">
      <formula1>CSMs!$B$2:$B$9</formula1>
    </dataValidation>
  </dataValidation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dimension ref="A1:I11"/>
  <sheetViews>
    <sheetView workbookViewId="0"/>
  </sheetViews>
  <sheetFormatPr defaultRowHeight="15"/>
  <cols>
    <col min="1" max="1" width="5.7109375" customWidth="1"/>
    <col min="2" max="2" width="110.7109375" customWidth="1"/>
  </cols>
  <sheetData>
    <row r="1" spans="1:9" ht="26" customHeight="1">
      <c r="A1" s="18" t="s">
        <v>5873</v>
      </c>
      <c r="B1" s="18"/>
      <c r="C1" s="18"/>
      <c r="D1" s="18"/>
      <c r="E1" s="18"/>
      <c r="F1" s="18"/>
      <c r="G1" s="18"/>
      <c r="H1" s="18"/>
      <c r="I1" s="18"/>
    </row>
    <row r="2" spans="1:9" ht="45" customHeight="1">
      <c r="A2" s="3" t="s">
        <v>5874</v>
      </c>
      <c r="B2" s="3"/>
      <c r="C2" s="3"/>
      <c r="D2" s="3"/>
      <c r="E2" s="3"/>
      <c r="F2" s="3"/>
      <c r="G2" s="3"/>
      <c r="H2" s="3"/>
      <c r="I2" s="3"/>
    </row>
    <row r="5" spans="1:9" ht="34" customHeight="1">
      <c r="A5" s="65">
        <v>1</v>
      </c>
      <c r="B5" s="3" t="s">
        <v>5875</v>
      </c>
    </row>
    <row r="6" spans="1:9" ht="34" customHeight="1">
      <c r="A6" s="65">
        <v>2</v>
      </c>
      <c r="B6" s="3" t="s">
        <v>5876</v>
      </c>
    </row>
    <row r="7" spans="1:9" ht="34" customHeight="1">
      <c r="A7" s="65">
        <v>3</v>
      </c>
      <c r="B7" s="3" t="s">
        <v>5877</v>
      </c>
    </row>
    <row r="8" spans="1:9" ht="34" customHeight="1">
      <c r="A8" s="65">
        <v>4</v>
      </c>
      <c r="B8" s="3" t="s">
        <v>5878</v>
      </c>
    </row>
    <row r="9" spans="1:9" ht="34" customHeight="1">
      <c r="A9" s="65">
        <v>5</v>
      </c>
      <c r="B9" s="3" t="s">
        <v>5879</v>
      </c>
    </row>
    <row r="10" spans="1:9" ht="34" customHeight="1">
      <c r="A10" s="65">
        <v>6</v>
      </c>
      <c r="B10" s="3" t="s">
        <v>5880</v>
      </c>
    </row>
    <row r="11" spans="1:9" ht="34" customHeight="1">
      <c r="A11" s="65">
        <v>7</v>
      </c>
      <c r="B11" s="3" t="s">
        <v>5881</v>
      </c>
    </row>
  </sheetData>
  <mergeCells count="2">
    <mergeCell ref="A1:I1"/>
    <mergeCell ref="A2:I2"/>
  </mergeCells>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D30"/>
  <sheetViews>
    <sheetView workbookViewId="0"/>
  </sheetViews>
  <sheetFormatPr defaultRowHeight="15"/>
  <cols>
    <col min="1" max="1" width="4.7109375" customWidth="1"/>
    <col min="2" max="2" width="110.7109375" customWidth="1"/>
  </cols>
  <sheetData>
    <row r="1" spans="1:4" ht="26" customHeight="1">
      <c r="A1" s="18" t="s">
        <v>5882</v>
      </c>
      <c r="B1" s="18"/>
      <c r="C1" s="18"/>
      <c r="D1" s="18"/>
    </row>
    <row r="2" spans="1:4" ht="45" customHeight="1">
      <c r="A2" s="3" t="s">
        <v>5883</v>
      </c>
      <c r="B2" s="3"/>
      <c r="C2" s="3"/>
      <c r="D2" s="3"/>
    </row>
    <row r="5" spans="1:4">
      <c r="A5" s="48" t="s">
        <v>5884</v>
      </c>
      <c r="B5" s="48"/>
    </row>
    <row r="6" spans="1:4" ht="30" customHeight="1">
      <c r="A6" s="66">
        <v>1</v>
      </c>
      <c r="B6" s="3" t="s">
        <v>5885</v>
      </c>
    </row>
    <row r="7" spans="1:4" ht="30" customHeight="1">
      <c r="A7" s="66">
        <v>2</v>
      </c>
      <c r="B7" s="3" t="s">
        <v>5886</v>
      </c>
    </row>
    <row r="8" spans="1:4" ht="30" customHeight="1">
      <c r="A8" s="66">
        <v>3</v>
      </c>
      <c r="B8" s="3" t="s">
        <v>5887</v>
      </c>
    </row>
    <row r="9" spans="1:4" ht="30" customHeight="1">
      <c r="A9" s="66">
        <v>4</v>
      </c>
      <c r="B9" s="3" t="s">
        <v>5888</v>
      </c>
    </row>
    <row r="10" spans="1:4" ht="30" customHeight="1">
      <c r="A10" s="66">
        <v>5</v>
      </c>
      <c r="B10" s="3" t="s">
        <v>5889</v>
      </c>
    </row>
    <row r="11" spans="1:4" ht="30" customHeight="1">
      <c r="A11" s="66">
        <v>6</v>
      </c>
      <c r="B11" s="3" t="s">
        <v>5890</v>
      </c>
    </row>
    <row r="13" spans="1:4">
      <c r="A13" s="48" t="s">
        <v>5891</v>
      </c>
      <c r="B13" s="48"/>
    </row>
    <row r="14" spans="1:4" ht="30" customHeight="1">
      <c r="A14" s="66">
        <v>1</v>
      </c>
      <c r="B14" s="3" t="s">
        <v>5892</v>
      </c>
    </row>
    <row r="15" spans="1:4" ht="30" customHeight="1">
      <c r="A15" s="66">
        <v>2</v>
      </c>
      <c r="B15" s="3" t="s">
        <v>5893</v>
      </c>
    </row>
    <row r="16" spans="1:4" ht="30" customHeight="1">
      <c r="A16" s="66">
        <v>3</v>
      </c>
      <c r="B16" s="3" t="s">
        <v>5894</v>
      </c>
    </row>
    <row r="17" spans="1:2" ht="30" customHeight="1">
      <c r="A17" s="66">
        <v>4</v>
      </c>
      <c r="B17" s="3" t="s">
        <v>5895</v>
      </c>
    </row>
    <row r="19" spans="1:2">
      <c r="A19" s="48" t="s">
        <v>5896</v>
      </c>
      <c r="B19" s="48"/>
    </row>
    <row r="20" spans="1:2" ht="30" customHeight="1">
      <c r="A20" s="66">
        <v>1</v>
      </c>
      <c r="B20" s="3" t="s">
        <v>5897</v>
      </c>
    </row>
    <row r="21" spans="1:2" ht="30" customHeight="1">
      <c r="A21" s="66">
        <v>2</v>
      </c>
      <c r="B21" s="3" t="s">
        <v>5898</v>
      </c>
    </row>
    <row r="22" spans="1:2" ht="30" customHeight="1">
      <c r="A22" s="66">
        <v>3</v>
      </c>
      <c r="B22" s="3" t="s">
        <v>5899</v>
      </c>
    </row>
    <row r="23" spans="1:2" ht="30" customHeight="1">
      <c r="A23" s="66">
        <v>4</v>
      </c>
      <c r="B23" s="3" t="s">
        <v>5900</v>
      </c>
    </row>
    <row r="24" spans="1:2" ht="30" customHeight="1">
      <c r="A24" s="66">
        <v>5</v>
      </c>
      <c r="B24" s="3" t="s">
        <v>5901</v>
      </c>
    </row>
    <row r="26" spans="1:2">
      <c r="A26" s="48" t="s">
        <v>5902</v>
      </c>
      <c r="B26" s="48"/>
    </row>
    <row r="27" spans="1:2" ht="30" customHeight="1">
      <c r="A27" s="66">
        <v>1</v>
      </c>
      <c r="B27" s="3" t="s">
        <v>5903</v>
      </c>
    </row>
    <row r="28" spans="1:2" ht="30" customHeight="1">
      <c r="A28" s="66">
        <v>2</v>
      </c>
      <c r="B28" s="3" t="s">
        <v>5904</v>
      </c>
    </row>
    <row r="29" spans="1:2" ht="30" customHeight="1">
      <c r="A29" s="66">
        <v>3</v>
      </c>
      <c r="B29" s="3" t="s">
        <v>5905</v>
      </c>
    </row>
    <row r="30" spans="1:2" ht="30" customHeight="1">
      <c r="A30" s="66">
        <v>4</v>
      </c>
      <c r="B30" s="3" t="s">
        <v>5906</v>
      </c>
    </row>
  </sheetData>
  <mergeCells count="6">
    <mergeCell ref="A1:D1"/>
    <mergeCell ref="A2:D2"/>
    <mergeCell ref="A5:B5"/>
    <mergeCell ref="A13:B13"/>
    <mergeCell ref="A19:B19"/>
    <mergeCell ref="A26:B26"/>
  </mergeCells>
  <pageMargins left="0.7" right="0.7" top="0.75" bottom="0.75" header="0.3" footer="0.3"/>
</worksheet>
</file>

<file path=xl/worksheets/sheet14.xml><?xml version="1.0" encoding="utf-8"?>
<worksheet xmlns="http://schemas.openxmlformats.org/spreadsheetml/2006/main" xmlns:r="http://schemas.openxmlformats.org/officeDocument/2006/relationships">
  <sheetPr>
    <tabColor rgb="FF808080"/>
  </sheetPr>
  <dimension ref="A1:N151"/>
  <sheetViews>
    <sheetView workbookViewId="0">
      <pane ySplit="1" topLeftCell="A2" activePane="bottomLeft" state="frozen"/>
      <selection pane="bottomLeft"/>
    </sheetView>
  </sheetViews>
  <sheetFormatPr defaultRowHeight="15"/>
  <cols>
    <col min="1" max="1" width="12.7109375" customWidth="1"/>
    <col min="2" max="2" width="26.7109375" customWidth="1"/>
    <col min="3" max="3" width="12.7109375" customWidth="1"/>
    <col min="4" max="4" width="15.7109375" customWidth="1"/>
    <col min="5" max="5" width="20.7109375" customWidth="1"/>
    <col min="6" max="6" width="21.7109375" customWidth="1"/>
    <col min="7" max="7" width="9.7109375" customWidth="1"/>
    <col min="8" max="8" width="10.7109375" customWidth="1"/>
    <col min="9" max="10" width="16.7109375" customWidth="1"/>
    <col min="11" max="11" width="14.7109375" customWidth="1"/>
    <col min="12" max="12" width="9.7109375" customWidth="1"/>
    <col min="13" max="13" width="12.7109375" customWidth="1"/>
    <col min="14" max="14" width="23.7109375" customWidth="1"/>
  </cols>
  <sheetData>
    <row r="1" spans="1:14">
      <c r="A1" t="s">
        <v>0</v>
      </c>
      <c r="B1" t="s">
        <v>1</v>
      </c>
      <c r="C1" t="s">
        <v>2</v>
      </c>
      <c r="D1" t="s">
        <v>3</v>
      </c>
      <c r="E1" t="s">
        <v>4</v>
      </c>
      <c r="F1" t="s">
        <v>5</v>
      </c>
      <c r="G1" t="s">
        <v>6</v>
      </c>
      <c r="H1" t="s">
        <v>7</v>
      </c>
      <c r="I1" t="s">
        <v>8</v>
      </c>
      <c r="J1" t="s">
        <v>9</v>
      </c>
      <c r="K1" t="s">
        <v>10</v>
      </c>
      <c r="L1" t="s">
        <v>11</v>
      </c>
      <c r="M1" t="s">
        <v>12</v>
      </c>
      <c r="N1" t="s">
        <v>13</v>
      </c>
    </row>
    <row r="2" spans="1:14">
      <c r="A2" s="67" t="s">
        <v>14</v>
      </c>
      <c r="B2" s="67" t="s">
        <v>15</v>
      </c>
      <c r="C2" s="67" t="s">
        <v>16</v>
      </c>
      <c r="D2" s="67" t="s">
        <v>17</v>
      </c>
      <c r="E2" s="67" t="s">
        <v>18</v>
      </c>
      <c r="F2" s="67" t="s">
        <v>19</v>
      </c>
      <c r="G2" s="67" t="s">
        <v>20</v>
      </c>
      <c r="H2" s="68">
        <v>456100</v>
      </c>
      <c r="I2" s="69">
        <v>434</v>
      </c>
      <c r="J2" s="70">
        <v>45765</v>
      </c>
      <c r="K2" s="70">
        <v>46093</v>
      </c>
      <c r="L2" s="67" t="s">
        <v>21</v>
      </c>
      <c r="M2" s="70">
        <v>46093</v>
      </c>
      <c r="N2" s="67" t="s">
        <v>22</v>
      </c>
    </row>
    <row r="3" spans="1:14">
      <c r="A3" s="67" t="s">
        <v>23</v>
      </c>
      <c r="B3" s="67" t="s">
        <v>24</v>
      </c>
      <c r="C3" s="67" t="s">
        <v>25</v>
      </c>
      <c r="D3" s="67" t="s">
        <v>26</v>
      </c>
      <c r="E3" s="67" t="s">
        <v>18</v>
      </c>
      <c r="F3" s="67" t="s">
        <v>19</v>
      </c>
      <c r="G3" s="67" t="s">
        <v>27</v>
      </c>
      <c r="H3" s="68">
        <v>95800</v>
      </c>
      <c r="I3" s="69">
        <v>77</v>
      </c>
      <c r="J3" s="70">
        <v>44966</v>
      </c>
      <c r="K3" s="70">
        <v>46299</v>
      </c>
      <c r="L3" s="67" t="s">
        <v>28</v>
      </c>
      <c r="M3" s="70"/>
      <c r="N3" s="67" t="s">
        <v>29</v>
      </c>
    </row>
    <row r="4" spans="1:14">
      <c r="A4" s="67" t="s">
        <v>30</v>
      </c>
      <c r="B4" s="67" t="s">
        <v>31</v>
      </c>
      <c r="C4" s="67" t="s">
        <v>25</v>
      </c>
      <c r="D4" s="67" t="s">
        <v>32</v>
      </c>
      <c r="E4" s="67" t="s">
        <v>33</v>
      </c>
      <c r="F4" s="67" t="s">
        <v>34</v>
      </c>
      <c r="G4" s="67" t="s">
        <v>27</v>
      </c>
      <c r="H4" s="68">
        <v>142200</v>
      </c>
      <c r="I4" s="69">
        <v>274</v>
      </c>
      <c r="J4" s="70">
        <v>44791</v>
      </c>
      <c r="K4" s="70">
        <v>46569</v>
      </c>
      <c r="L4" s="67" t="s">
        <v>28</v>
      </c>
      <c r="M4" s="70"/>
      <c r="N4" s="67" t="s">
        <v>29</v>
      </c>
    </row>
    <row r="5" spans="1:14">
      <c r="A5" s="67" t="s">
        <v>35</v>
      </c>
      <c r="B5" s="67" t="s">
        <v>36</v>
      </c>
      <c r="C5" s="67" t="s">
        <v>37</v>
      </c>
      <c r="D5" s="67" t="s">
        <v>17</v>
      </c>
      <c r="E5" s="67" t="s">
        <v>38</v>
      </c>
      <c r="F5" s="67" t="s">
        <v>39</v>
      </c>
      <c r="G5" s="67" t="s">
        <v>40</v>
      </c>
      <c r="H5" s="68">
        <v>23200</v>
      </c>
      <c r="I5" s="69">
        <v>45</v>
      </c>
      <c r="J5" s="70">
        <v>44900</v>
      </c>
      <c r="K5" s="70">
        <v>46333</v>
      </c>
      <c r="L5" s="67" t="s">
        <v>28</v>
      </c>
      <c r="M5" s="70"/>
      <c r="N5" s="67" t="s">
        <v>29</v>
      </c>
    </row>
    <row r="6" spans="1:14">
      <c r="A6" s="67" t="s">
        <v>41</v>
      </c>
      <c r="B6" s="67" t="s">
        <v>42</v>
      </c>
      <c r="C6" s="67" t="s">
        <v>25</v>
      </c>
      <c r="D6" s="67" t="s">
        <v>43</v>
      </c>
      <c r="E6" s="67" t="s">
        <v>33</v>
      </c>
      <c r="F6" s="67" t="s">
        <v>34</v>
      </c>
      <c r="G6" s="67" t="s">
        <v>27</v>
      </c>
      <c r="H6" s="68">
        <v>64700</v>
      </c>
      <c r="I6" s="69">
        <v>136</v>
      </c>
      <c r="J6" s="70">
        <v>45078</v>
      </c>
      <c r="K6" s="70">
        <v>46641</v>
      </c>
      <c r="L6" s="67" t="s">
        <v>28</v>
      </c>
      <c r="M6" s="70"/>
      <c r="N6" s="67" t="s">
        <v>29</v>
      </c>
    </row>
    <row r="7" spans="1:14">
      <c r="A7" s="67" t="s">
        <v>44</v>
      </c>
      <c r="B7" s="67" t="s">
        <v>45</v>
      </c>
      <c r="C7" s="67" t="s">
        <v>25</v>
      </c>
      <c r="D7" s="67" t="s">
        <v>26</v>
      </c>
      <c r="E7" s="67" t="s">
        <v>33</v>
      </c>
      <c r="F7" s="67" t="s">
        <v>39</v>
      </c>
      <c r="G7" s="67" t="s">
        <v>46</v>
      </c>
      <c r="H7" s="68">
        <v>128800</v>
      </c>
      <c r="I7" s="69">
        <v>98</v>
      </c>
      <c r="J7" s="70">
        <v>44791</v>
      </c>
      <c r="K7" s="70">
        <v>46365</v>
      </c>
      <c r="L7" s="67" t="s">
        <v>28</v>
      </c>
      <c r="M7" s="70"/>
      <c r="N7" s="67" t="s">
        <v>29</v>
      </c>
    </row>
    <row r="8" spans="1:14">
      <c r="A8" s="67" t="s">
        <v>47</v>
      </c>
      <c r="B8" s="67" t="s">
        <v>48</v>
      </c>
      <c r="C8" s="67" t="s">
        <v>37</v>
      </c>
      <c r="D8" s="67" t="s">
        <v>26</v>
      </c>
      <c r="E8" s="67" t="s">
        <v>49</v>
      </c>
      <c r="F8" s="67" t="s">
        <v>39</v>
      </c>
      <c r="G8" s="67" t="s">
        <v>50</v>
      </c>
      <c r="H8" s="68">
        <v>14100</v>
      </c>
      <c r="I8" s="69">
        <v>38</v>
      </c>
      <c r="J8" s="70">
        <v>45771</v>
      </c>
      <c r="K8" s="70">
        <v>46504</v>
      </c>
      <c r="L8" s="67" t="s">
        <v>28</v>
      </c>
      <c r="M8" s="70"/>
      <c r="N8" s="67" t="s">
        <v>29</v>
      </c>
    </row>
    <row r="9" spans="1:14">
      <c r="A9" s="67" t="s">
        <v>51</v>
      </c>
      <c r="B9" s="67" t="s">
        <v>52</v>
      </c>
      <c r="C9" s="67" t="s">
        <v>16</v>
      </c>
      <c r="D9" s="67" t="s">
        <v>17</v>
      </c>
      <c r="E9" s="67" t="s">
        <v>53</v>
      </c>
      <c r="F9" s="67" t="s">
        <v>34</v>
      </c>
      <c r="G9" s="67" t="s">
        <v>20</v>
      </c>
      <c r="H9" s="68">
        <v>224800</v>
      </c>
      <c r="I9" s="69">
        <v>1194</v>
      </c>
      <c r="J9" s="70">
        <v>44768</v>
      </c>
      <c r="K9" s="70">
        <v>46348</v>
      </c>
      <c r="L9" s="67" t="s">
        <v>28</v>
      </c>
      <c r="M9" s="70"/>
      <c r="N9" s="67" t="s">
        <v>22</v>
      </c>
    </row>
    <row r="10" spans="1:14">
      <c r="A10" s="67" t="s">
        <v>54</v>
      </c>
      <c r="B10" s="67" t="s">
        <v>55</v>
      </c>
      <c r="C10" s="67" t="s">
        <v>37</v>
      </c>
      <c r="D10" s="67" t="s">
        <v>43</v>
      </c>
      <c r="E10" s="67" t="s">
        <v>56</v>
      </c>
      <c r="F10" s="67" t="s">
        <v>34</v>
      </c>
      <c r="G10" s="67" t="s">
        <v>40</v>
      </c>
      <c r="H10" s="68">
        <v>31500</v>
      </c>
      <c r="I10" s="69">
        <v>13</v>
      </c>
      <c r="J10" s="70">
        <v>44899</v>
      </c>
      <c r="K10" s="70">
        <v>46377</v>
      </c>
      <c r="L10" s="67" t="s">
        <v>28</v>
      </c>
      <c r="M10" s="70"/>
      <c r="N10" s="67" t="s">
        <v>29</v>
      </c>
    </row>
    <row r="11" spans="1:14">
      <c r="A11" s="67" t="s">
        <v>57</v>
      </c>
      <c r="B11" s="67" t="s">
        <v>58</v>
      </c>
      <c r="C11" s="67" t="s">
        <v>16</v>
      </c>
      <c r="D11" s="67" t="s">
        <v>17</v>
      </c>
      <c r="E11" s="67" t="s">
        <v>56</v>
      </c>
      <c r="F11" s="67" t="s">
        <v>19</v>
      </c>
      <c r="G11" s="67" t="s">
        <v>20</v>
      </c>
      <c r="H11" s="68">
        <v>428700</v>
      </c>
      <c r="I11" s="69">
        <v>1058</v>
      </c>
      <c r="J11" s="70">
        <v>44513</v>
      </c>
      <c r="K11" s="70">
        <v>46418</v>
      </c>
      <c r="L11" s="67" t="s">
        <v>28</v>
      </c>
      <c r="M11" s="70"/>
      <c r="N11" s="67" t="s">
        <v>22</v>
      </c>
    </row>
    <row r="12" spans="1:14">
      <c r="A12" s="67" t="s">
        <v>59</v>
      </c>
      <c r="B12" s="67" t="s">
        <v>60</v>
      </c>
      <c r="C12" s="67" t="s">
        <v>25</v>
      </c>
      <c r="D12" s="67" t="s">
        <v>32</v>
      </c>
      <c r="E12" s="67" t="s">
        <v>33</v>
      </c>
      <c r="F12" s="67" t="s">
        <v>61</v>
      </c>
      <c r="G12" s="67" t="s">
        <v>27</v>
      </c>
      <c r="H12" s="68">
        <v>41000</v>
      </c>
      <c r="I12" s="69">
        <v>209</v>
      </c>
      <c r="J12" s="70">
        <v>45352</v>
      </c>
      <c r="K12" s="70">
        <v>46500</v>
      </c>
      <c r="L12" s="67" t="s">
        <v>28</v>
      </c>
      <c r="M12" s="70"/>
      <c r="N12" s="67" t="s">
        <v>62</v>
      </c>
    </row>
    <row r="13" spans="1:14">
      <c r="A13" s="67" t="s">
        <v>63</v>
      </c>
      <c r="B13" s="67" t="s">
        <v>64</v>
      </c>
      <c r="C13" s="67" t="s">
        <v>37</v>
      </c>
      <c r="D13" s="67" t="s">
        <v>43</v>
      </c>
      <c r="E13" s="67" t="s">
        <v>38</v>
      </c>
      <c r="F13" s="67" t="s">
        <v>65</v>
      </c>
      <c r="G13" s="67" t="s">
        <v>40</v>
      </c>
      <c r="H13" s="68">
        <v>30500</v>
      </c>
      <c r="I13" s="69">
        <v>49</v>
      </c>
      <c r="J13" s="70">
        <v>45755</v>
      </c>
      <c r="K13" s="70">
        <v>46423</v>
      </c>
      <c r="L13" s="67" t="s">
        <v>28</v>
      </c>
      <c r="M13" s="70"/>
      <c r="N13" s="67" t="s">
        <v>29</v>
      </c>
    </row>
    <row r="14" spans="1:14">
      <c r="A14" s="67" t="s">
        <v>66</v>
      </c>
      <c r="B14" s="67" t="s">
        <v>67</v>
      </c>
      <c r="C14" s="67" t="s">
        <v>37</v>
      </c>
      <c r="D14" s="67" t="s">
        <v>43</v>
      </c>
      <c r="E14" s="67" t="s">
        <v>49</v>
      </c>
      <c r="F14" s="67" t="s">
        <v>68</v>
      </c>
      <c r="G14" s="67" t="s">
        <v>40</v>
      </c>
      <c r="H14" s="68">
        <v>13000</v>
      </c>
      <c r="I14" s="69">
        <v>28</v>
      </c>
      <c r="J14" s="70">
        <v>45683</v>
      </c>
      <c r="K14" s="70">
        <v>46366</v>
      </c>
      <c r="L14" s="67" t="s">
        <v>28</v>
      </c>
      <c r="M14" s="70"/>
      <c r="N14" s="67" t="s">
        <v>29</v>
      </c>
    </row>
    <row r="15" spans="1:14">
      <c r="A15" s="67" t="s">
        <v>69</v>
      </c>
      <c r="B15" s="67" t="s">
        <v>70</v>
      </c>
      <c r="C15" s="67" t="s">
        <v>37</v>
      </c>
      <c r="D15" s="67" t="s">
        <v>32</v>
      </c>
      <c r="E15" s="67" t="s">
        <v>18</v>
      </c>
      <c r="F15" s="67" t="s">
        <v>34</v>
      </c>
      <c r="G15" s="67" t="s">
        <v>50</v>
      </c>
      <c r="H15" s="68">
        <v>18700</v>
      </c>
      <c r="I15" s="69">
        <v>18</v>
      </c>
      <c r="J15" s="70">
        <v>45791</v>
      </c>
      <c r="K15" s="70">
        <v>46345</v>
      </c>
      <c r="L15" s="67" t="s">
        <v>28</v>
      </c>
      <c r="M15" s="70"/>
      <c r="N15" s="67" t="s">
        <v>29</v>
      </c>
    </row>
    <row r="16" spans="1:14">
      <c r="A16" s="67" t="s">
        <v>71</v>
      </c>
      <c r="B16" s="67" t="s">
        <v>72</v>
      </c>
      <c r="C16" s="67" t="s">
        <v>25</v>
      </c>
      <c r="D16" s="67" t="s">
        <v>32</v>
      </c>
      <c r="E16" s="67" t="s">
        <v>73</v>
      </c>
      <c r="F16" s="67" t="s">
        <v>19</v>
      </c>
      <c r="G16" s="67" t="s">
        <v>74</v>
      </c>
      <c r="H16" s="68">
        <v>56300</v>
      </c>
      <c r="I16" s="69">
        <v>82</v>
      </c>
      <c r="J16" s="70">
        <v>45741</v>
      </c>
      <c r="K16" s="70">
        <v>46651</v>
      </c>
      <c r="L16" s="67" t="s">
        <v>28</v>
      </c>
      <c r="M16" s="70"/>
      <c r="N16" s="67" t="s">
        <v>29</v>
      </c>
    </row>
    <row r="17" spans="1:14">
      <c r="A17" s="67" t="s">
        <v>75</v>
      </c>
      <c r="B17" s="67" t="s">
        <v>76</v>
      </c>
      <c r="C17" s="67" t="s">
        <v>25</v>
      </c>
      <c r="D17" s="67" t="s">
        <v>43</v>
      </c>
      <c r="E17" s="67" t="s">
        <v>77</v>
      </c>
      <c r="F17" s="67" t="s">
        <v>19</v>
      </c>
      <c r="G17" s="67" t="s">
        <v>74</v>
      </c>
      <c r="H17" s="68">
        <v>57000</v>
      </c>
      <c r="I17" s="69">
        <v>288</v>
      </c>
      <c r="J17" s="70">
        <v>44499</v>
      </c>
      <c r="K17" s="70">
        <v>46425</v>
      </c>
      <c r="L17" s="67" t="s">
        <v>28</v>
      </c>
      <c r="M17" s="70"/>
      <c r="N17" s="67" t="s">
        <v>29</v>
      </c>
    </row>
    <row r="18" spans="1:14">
      <c r="A18" s="67" t="s">
        <v>78</v>
      </c>
      <c r="B18" s="67" t="s">
        <v>79</v>
      </c>
      <c r="C18" s="67" t="s">
        <v>16</v>
      </c>
      <c r="D18" s="67" t="s">
        <v>26</v>
      </c>
      <c r="E18" s="67" t="s">
        <v>77</v>
      </c>
      <c r="F18" s="67" t="s">
        <v>34</v>
      </c>
      <c r="G18" s="67" t="s">
        <v>80</v>
      </c>
      <c r="H18" s="68">
        <v>250100</v>
      </c>
      <c r="I18" s="69">
        <v>1142</v>
      </c>
      <c r="J18" s="70">
        <v>45387</v>
      </c>
      <c r="K18" s="70">
        <v>46434</v>
      </c>
      <c r="L18" s="67" t="s">
        <v>28</v>
      </c>
      <c r="M18" s="70"/>
      <c r="N18" s="67" t="s">
        <v>22</v>
      </c>
    </row>
    <row r="19" spans="1:14">
      <c r="A19" s="67" t="s">
        <v>81</v>
      </c>
      <c r="B19" s="67" t="s">
        <v>82</v>
      </c>
      <c r="C19" s="67" t="s">
        <v>37</v>
      </c>
      <c r="D19" s="67" t="s">
        <v>32</v>
      </c>
      <c r="E19" s="67" t="s">
        <v>77</v>
      </c>
      <c r="F19" s="67" t="s">
        <v>68</v>
      </c>
      <c r="G19" s="67" t="s">
        <v>40</v>
      </c>
      <c r="H19" s="68">
        <v>18600</v>
      </c>
      <c r="I19" s="69">
        <v>11</v>
      </c>
      <c r="J19" s="70">
        <v>45324</v>
      </c>
      <c r="K19" s="70">
        <v>46477</v>
      </c>
      <c r="L19" s="67" t="s">
        <v>28</v>
      </c>
      <c r="M19" s="70"/>
      <c r="N19" s="67" t="s">
        <v>29</v>
      </c>
    </row>
    <row r="20" spans="1:14">
      <c r="A20" s="67" t="s">
        <v>83</v>
      </c>
      <c r="B20" s="67" t="s">
        <v>84</v>
      </c>
      <c r="C20" s="67" t="s">
        <v>37</v>
      </c>
      <c r="D20" s="67" t="s">
        <v>26</v>
      </c>
      <c r="E20" s="67" t="s">
        <v>73</v>
      </c>
      <c r="F20" s="67" t="s">
        <v>65</v>
      </c>
      <c r="G20" s="67" t="s">
        <v>40</v>
      </c>
      <c r="H20" s="68">
        <v>39500</v>
      </c>
      <c r="I20" s="69">
        <v>17</v>
      </c>
      <c r="J20" s="70">
        <v>45006</v>
      </c>
      <c r="K20" s="70">
        <v>46474</v>
      </c>
      <c r="L20" s="67" t="s">
        <v>28</v>
      </c>
      <c r="M20" s="70"/>
      <c r="N20" s="67" t="s">
        <v>29</v>
      </c>
    </row>
    <row r="21" spans="1:14">
      <c r="A21" s="67" t="s">
        <v>85</v>
      </c>
      <c r="B21" s="67" t="s">
        <v>86</v>
      </c>
      <c r="C21" s="67" t="s">
        <v>25</v>
      </c>
      <c r="D21" s="67" t="s">
        <v>26</v>
      </c>
      <c r="E21" s="67" t="s">
        <v>56</v>
      </c>
      <c r="F21" s="67" t="s">
        <v>61</v>
      </c>
      <c r="G21" s="67" t="s">
        <v>46</v>
      </c>
      <c r="H21" s="68">
        <v>47700</v>
      </c>
      <c r="I21" s="69">
        <v>220</v>
      </c>
      <c r="J21" s="70">
        <v>44793</v>
      </c>
      <c r="K21" s="70">
        <v>46649</v>
      </c>
      <c r="L21" s="67" t="s">
        <v>28</v>
      </c>
      <c r="M21" s="70"/>
      <c r="N21" s="67" t="s">
        <v>29</v>
      </c>
    </row>
    <row r="22" spans="1:14">
      <c r="A22" s="67" t="s">
        <v>87</v>
      </c>
      <c r="B22" s="67" t="s">
        <v>88</v>
      </c>
      <c r="C22" s="67" t="s">
        <v>37</v>
      </c>
      <c r="D22" s="67" t="s">
        <v>43</v>
      </c>
      <c r="E22" s="67" t="s">
        <v>77</v>
      </c>
      <c r="F22" s="67" t="s">
        <v>68</v>
      </c>
      <c r="G22" s="67" t="s">
        <v>89</v>
      </c>
      <c r="H22" s="68">
        <v>29700</v>
      </c>
      <c r="I22" s="69">
        <v>21</v>
      </c>
      <c r="J22" s="70">
        <v>45290</v>
      </c>
      <c r="K22" s="70">
        <v>46581</v>
      </c>
      <c r="L22" s="67" t="s">
        <v>28</v>
      </c>
      <c r="M22" s="70"/>
      <c r="N22" s="67" t="s">
        <v>29</v>
      </c>
    </row>
    <row r="23" spans="1:14">
      <c r="A23" s="67" t="s">
        <v>90</v>
      </c>
      <c r="B23" s="67" t="s">
        <v>91</v>
      </c>
      <c r="C23" s="67" t="s">
        <v>25</v>
      </c>
      <c r="D23" s="67" t="s">
        <v>43</v>
      </c>
      <c r="E23" s="67" t="s">
        <v>33</v>
      </c>
      <c r="F23" s="67" t="s">
        <v>68</v>
      </c>
      <c r="G23" s="67" t="s">
        <v>27</v>
      </c>
      <c r="H23" s="68">
        <v>112500</v>
      </c>
      <c r="I23" s="69">
        <v>122</v>
      </c>
      <c r="J23" s="70">
        <v>44943</v>
      </c>
      <c r="K23" s="70">
        <v>46524</v>
      </c>
      <c r="L23" s="67" t="s">
        <v>28</v>
      </c>
      <c r="M23" s="70"/>
      <c r="N23" s="67" t="s">
        <v>29</v>
      </c>
    </row>
    <row r="24" spans="1:14">
      <c r="A24" s="67" t="s">
        <v>92</v>
      </c>
      <c r="B24" s="67" t="s">
        <v>93</v>
      </c>
      <c r="C24" s="67" t="s">
        <v>37</v>
      </c>
      <c r="D24" s="67" t="s">
        <v>43</v>
      </c>
      <c r="E24" s="67" t="s">
        <v>56</v>
      </c>
      <c r="F24" s="67" t="s">
        <v>65</v>
      </c>
      <c r="G24" s="67" t="s">
        <v>40</v>
      </c>
      <c r="H24" s="68">
        <v>35200</v>
      </c>
      <c r="I24" s="69">
        <v>14</v>
      </c>
      <c r="J24" s="70">
        <v>45488</v>
      </c>
      <c r="K24" s="70">
        <v>46215</v>
      </c>
      <c r="L24" s="67" t="s">
        <v>21</v>
      </c>
      <c r="M24" s="70">
        <v>46215</v>
      </c>
      <c r="N24" s="67" t="s">
        <v>29</v>
      </c>
    </row>
    <row r="25" spans="1:14">
      <c r="A25" s="67" t="s">
        <v>94</v>
      </c>
      <c r="B25" s="67" t="s">
        <v>95</v>
      </c>
      <c r="C25" s="67" t="s">
        <v>37</v>
      </c>
      <c r="D25" s="67" t="s">
        <v>32</v>
      </c>
      <c r="E25" s="67" t="s">
        <v>49</v>
      </c>
      <c r="F25" s="67" t="s">
        <v>65</v>
      </c>
      <c r="G25" s="67" t="s">
        <v>50</v>
      </c>
      <c r="H25" s="68">
        <v>13600</v>
      </c>
      <c r="I25" s="69">
        <v>54</v>
      </c>
      <c r="J25" s="70">
        <v>45593</v>
      </c>
      <c r="K25" s="70">
        <v>46633</v>
      </c>
      <c r="L25" s="67" t="s">
        <v>28</v>
      </c>
      <c r="M25" s="70"/>
      <c r="N25" s="67" t="s">
        <v>29</v>
      </c>
    </row>
    <row r="26" spans="1:14">
      <c r="A26" s="67" t="s">
        <v>96</v>
      </c>
      <c r="B26" s="67" t="s">
        <v>97</v>
      </c>
      <c r="C26" s="67" t="s">
        <v>16</v>
      </c>
      <c r="D26" s="67" t="s">
        <v>32</v>
      </c>
      <c r="E26" s="67" t="s">
        <v>33</v>
      </c>
      <c r="F26" s="67" t="s">
        <v>19</v>
      </c>
      <c r="G26" s="67" t="s">
        <v>80</v>
      </c>
      <c r="H26" s="68">
        <v>523800</v>
      </c>
      <c r="I26" s="69">
        <v>1322</v>
      </c>
      <c r="J26" s="70">
        <v>44528</v>
      </c>
      <c r="K26" s="70">
        <v>46569</v>
      </c>
      <c r="L26" s="67" t="s">
        <v>28</v>
      </c>
      <c r="M26" s="70"/>
      <c r="N26" s="67" t="s">
        <v>29</v>
      </c>
    </row>
    <row r="27" spans="1:14">
      <c r="A27" s="67" t="s">
        <v>98</v>
      </c>
      <c r="B27" s="67" t="s">
        <v>99</v>
      </c>
      <c r="C27" s="67" t="s">
        <v>16</v>
      </c>
      <c r="D27" s="67" t="s">
        <v>43</v>
      </c>
      <c r="E27" s="67" t="s">
        <v>18</v>
      </c>
      <c r="F27" s="67" t="s">
        <v>39</v>
      </c>
      <c r="G27" s="67" t="s">
        <v>80</v>
      </c>
      <c r="H27" s="68">
        <v>301100</v>
      </c>
      <c r="I27" s="69">
        <v>1306</v>
      </c>
      <c r="J27" s="70">
        <v>44903</v>
      </c>
      <c r="K27" s="70">
        <v>46618</v>
      </c>
      <c r="L27" s="67" t="s">
        <v>28</v>
      </c>
      <c r="M27" s="70"/>
      <c r="N27" s="67" t="s">
        <v>22</v>
      </c>
    </row>
    <row r="28" spans="1:14">
      <c r="A28" s="67" t="s">
        <v>100</v>
      </c>
      <c r="B28" s="67" t="s">
        <v>101</v>
      </c>
      <c r="C28" s="67" t="s">
        <v>16</v>
      </c>
      <c r="D28" s="67" t="s">
        <v>43</v>
      </c>
      <c r="E28" s="67" t="s">
        <v>77</v>
      </c>
      <c r="F28" s="67" t="s">
        <v>65</v>
      </c>
      <c r="G28" s="67" t="s">
        <v>20</v>
      </c>
      <c r="H28" s="68">
        <v>535500</v>
      </c>
      <c r="I28" s="69">
        <v>1379</v>
      </c>
      <c r="J28" s="70">
        <v>45218</v>
      </c>
      <c r="K28" s="70">
        <v>46575</v>
      </c>
      <c r="L28" s="67" t="s">
        <v>28</v>
      </c>
      <c r="M28" s="70"/>
      <c r="N28" s="67" t="s">
        <v>22</v>
      </c>
    </row>
    <row r="29" spans="1:14">
      <c r="A29" s="67" t="s">
        <v>102</v>
      </c>
      <c r="B29" s="67" t="s">
        <v>103</v>
      </c>
      <c r="C29" s="67" t="s">
        <v>16</v>
      </c>
      <c r="D29" s="67" t="s">
        <v>32</v>
      </c>
      <c r="E29" s="67" t="s">
        <v>18</v>
      </c>
      <c r="F29" s="67" t="s">
        <v>65</v>
      </c>
      <c r="G29" s="67" t="s">
        <v>80</v>
      </c>
      <c r="H29" s="68">
        <v>163100</v>
      </c>
      <c r="I29" s="69">
        <v>888</v>
      </c>
      <c r="J29" s="70">
        <v>44777</v>
      </c>
      <c r="K29" s="70">
        <v>45982</v>
      </c>
      <c r="L29" s="67" t="s">
        <v>21</v>
      </c>
      <c r="M29" s="70">
        <v>45982</v>
      </c>
      <c r="N29" s="67" t="s">
        <v>29</v>
      </c>
    </row>
    <row r="30" spans="1:14">
      <c r="A30" s="67" t="s">
        <v>104</v>
      </c>
      <c r="B30" s="67" t="s">
        <v>105</v>
      </c>
      <c r="C30" s="67" t="s">
        <v>37</v>
      </c>
      <c r="D30" s="67" t="s">
        <v>32</v>
      </c>
      <c r="E30" s="67" t="s">
        <v>53</v>
      </c>
      <c r="F30" s="67" t="s">
        <v>34</v>
      </c>
      <c r="G30" s="67" t="s">
        <v>40</v>
      </c>
      <c r="H30" s="68">
        <v>21700</v>
      </c>
      <c r="I30" s="69">
        <v>39</v>
      </c>
      <c r="J30" s="70">
        <v>45089</v>
      </c>
      <c r="K30" s="70">
        <v>46601</v>
      </c>
      <c r="L30" s="67" t="s">
        <v>28</v>
      </c>
      <c r="M30" s="70"/>
      <c r="N30" s="67" t="s">
        <v>29</v>
      </c>
    </row>
    <row r="31" spans="1:14">
      <c r="A31" s="67" t="s">
        <v>106</v>
      </c>
      <c r="B31" s="67" t="s">
        <v>107</v>
      </c>
      <c r="C31" s="67" t="s">
        <v>25</v>
      </c>
      <c r="D31" s="67" t="s">
        <v>43</v>
      </c>
      <c r="E31" s="67" t="s">
        <v>53</v>
      </c>
      <c r="F31" s="67" t="s">
        <v>68</v>
      </c>
      <c r="G31" s="67" t="s">
        <v>74</v>
      </c>
      <c r="H31" s="68">
        <v>45700</v>
      </c>
      <c r="I31" s="69">
        <v>293</v>
      </c>
      <c r="J31" s="70">
        <v>45326</v>
      </c>
      <c r="K31" s="70">
        <v>46513</v>
      </c>
      <c r="L31" s="67" t="s">
        <v>28</v>
      </c>
      <c r="M31" s="70"/>
      <c r="N31" s="67" t="s">
        <v>29</v>
      </c>
    </row>
    <row r="32" spans="1:14">
      <c r="A32" s="67" t="s">
        <v>108</v>
      </c>
      <c r="B32" s="67" t="s">
        <v>109</v>
      </c>
      <c r="C32" s="67" t="s">
        <v>37</v>
      </c>
      <c r="D32" s="67" t="s">
        <v>32</v>
      </c>
      <c r="E32" s="67" t="s">
        <v>56</v>
      </c>
      <c r="F32" s="67" t="s">
        <v>39</v>
      </c>
      <c r="G32" s="67" t="s">
        <v>89</v>
      </c>
      <c r="H32" s="68">
        <v>29400</v>
      </c>
      <c r="I32" s="69">
        <v>46</v>
      </c>
      <c r="J32" s="70">
        <v>45487</v>
      </c>
      <c r="K32" s="70">
        <v>46308</v>
      </c>
      <c r="L32" s="67" t="s">
        <v>28</v>
      </c>
      <c r="M32" s="70"/>
      <c r="N32" s="67" t="s">
        <v>29</v>
      </c>
    </row>
    <row r="33" spans="1:14">
      <c r="A33" s="67" t="s">
        <v>110</v>
      </c>
      <c r="B33" s="67" t="s">
        <v>111</v>
      </c>
      <c r="C33" s="67" t="s">
        <v>25</v>
      </c>
      <c r="D33" s="67" t="s">
        <v>43</v>
      </c>
      <c r="E33" s="67" t="s">
        <v>53</v>
      </c>
      <c r="F33" s="67" t="s">
        <v>61</v>
      </c>
      <c r="G33" s="67" t="s">
        <v>74</v>
      </c>
      <c r="H33" s="68">
        <v>114500</v>
      </c>
      <c r="I33" s="69">
        <v>295</v>
      </c>
      <c r="J33" s="70">
        <v>45661</v>
      </c>
      <c r="K33" s="70">
        <v>46381</v>
      </c>
      <c r="L33" s="67" t="s">
        <v>28</v>
      </c>
      <c r="M33" s="70"/>
      <c r="N33" s="67" t="s">
        <v>29</v>
      </c>
    </row>
    <row r="34" spans="1:14">
      <c r="A34" s="67" t="s">
        <v>112</v>
      </c>
      <c r="B34" s="67" t="s">
        <v>113</v>
      </c>
      <c r="C34" s="67" t="s">
        <v>37</v>
      </c>
      <c r="D34" s="67" t="s">
        <v>26</v>
      </c>
      <c r="E34" s="67" t="s">
        <v>73</v>
      </c>
      <c r="F34" s="67" t="s">
        <v>19</v>
      </c>
      <c r="G34" s="67" t="s">
        <v>89</v>
      </c>
      <c r="H34" s="68">
        <v>29200</v>
      </c>
      <c r="I34" s="69">
        <v>14</v>
      </c>
      <c r="J34" s="70">
        <v>45648</v>
      </c>
      <c r="K34" s="70">
        <v>46587</v>
      </c>
      <c r="L34" s="67" t="s">
        <v>28</v>
      </c>
      <c r="M34" s="70"/>
      <c r="N34" s="67" t="s">
        <v>29</v>
      </c>
    </row>
    <row r="35" spans="1:14">
      <c r="A35" s="67" t="s">
        <v>114</v>
      </c>
      <c r="B35" s="67" t="s">
        <v>115</v>
      </c>
      <c r="C35" s="67" t="s">
        <v>25</v>
      </c>
      <c r="D35" s="67" t="s">
        <v>43</v>
      </c>
      <c r="E35" s="67" t="s">
        <v>18</v>
      </c>
      <c r="F35" s="67" t="s">
        <v>19</v>
      </c>
      <c r="G35" s="67" t="s">
        <v>74</v>
      </c>
      <c r="H35" s="68">
        <v>125200</v>
      </c>
      <c r="I35" s="69">
        <v>169</v>
      </c>
      <c r="J35" s="70">
        <v>44594</v>
      </c>
      <c r="K35" s="70">
        <v>46533</v>
      </c>
      <c r="L35" s="67" t="s">
        <v>28</v>
      </c>
      <c r="M35" s="70"/>
      <c r="N35" s="67" t="s">
        <v>29</v>
      </c>
    </row>
    <row r="36" spans="1:14">
      <c r="A36" s="67" t="s">
        <v>116</v>
      </c>
      <c r="B36" s="67" t="s">
        <v>117</v>
      </c>
      <c r="C36" s="67" t="s">
        <v>37</v>
      </c>
      <c r="D36" s="67" t="s">
        <v>43</v>
      </c>
      <c r="E36" s="67" t="s">
        <v>73</v>
      </c>
      <c r="F36" s="67" t="s">
        <v>39</v>
      </c>
      <c r="G36" s="67" t="s">
        <v>89</v>
      </c>
      <c r="H36" s="68">
        <v>14800</v>
      </c>
      <c r="I36" s="69">
        <v>26</v>
      </c>
      <c r="J36" s="70">
        <v>45119</v>
      </c>
      <c r="K36" s="70">
        <v>46470</v>
      </c>
      <c r="L36" s="67" t="s">
        <v>28</v>
      </c>
      <c r="M36" s="70"/>
      <c r="N36" s="67" t="s">
        <v>29</v>
      </c>
    </row>
    <row r="37" spans="1:14">
      <c r="A37" s="67" t="s">
        <v>118</v>
      </c>
      <c r="B37" s="67" t="s">
        <v>119</v>
      </c>
      <c r="C37" s="67" t="s">
        <v>37</v>
      </c>
      <c r="D37" s="67" t="s">
        <v>26</v>
      </c>
      <c r="E37" s="67" t="s">
        <v>33</v>
      </c>
      <c r="F37" s="67" t="s">
        <v>19</v>
      </c>
      <c r="G37" s="67" t="s">
        <v>50</v>
      </c>
      <c r="H37" s="68">
        <v>30100</v>
      </c>
      <c r="I37" s="69">
        <v>51</v>
      </c>
      <c r="J37" s="70">
        <v>45720</v>
      </c>
      <c r="K37" s="70">
        <v>46421</v>
      </c>
      <c r="L37" s="67" t="s">
        <v>28</v>
      </c>
      <c r="M37" s="70"/>
      <c r="N37" s="67" t="s">
        <v>29</v>
      </c>
    </row>
    <row r="38" spans="1:14">
      <c r="A38" s="67" t="s">
        <v>120</v>
      </c>
      <c r="B38" s="67" t="s">
        <v>121</v>
      </c>
      <c r="C38" s="67" t="s">
        <v>25</v>
      </c>
      <c r="D38" s="67" t="s">
        <v>43</v>
      </c>
      <c r="E38" s="67" t="s">
        <v>73</v>
      </c>
      <c r="F38" s="67" t="s">
        <v>61</v>
      </c>
      <c r="G38" s="67" t="s">
        <v>74</v>
      </c>
      <c r="H38" s="68">
        <v>89900</v>
      </c>
      <c r="I38" s="69">
        <v>128</v>
      </c>
      <c r="J38" s="70">
        <v>45140</v>
      </c>
      <c r="K38" s="70">
        <v>46540</v>
      </c>
      <c r="L38" s="67" t="s">
        <v>28</v>
      </c>
      <c r="M38" s="70"/>
      <c r="N38" s="67" t="s">
        <v>29</v>
      </c>
    </row>
    <row r="39" spans="1:14">
      <c r="A39" s="67" t="s">
        <v>122</v>
      </c>
      <c r="B39" s="67" t="s">
        <v>123</v>
      </c>
      <c r="C39" s="67" t="s">
        <v>16</v>
      </c>
      <c r="D39" s="67" t="s">
        <v>32</v>
      </c>
      <c r="E39" s="67" t="s">
        <v>18</v>
      </c>
      <c r="F39" s="67" t="s">
        <v>34</v>
      </c>
      <c r="G39" s="67" t="s">
        <v>20</v>
      </c>
      <c r="H39" s="68">
        <v>283300</v>
      </c>
      <c r="I39" s="69">
        <v>939</v>
      </c>
      <c r="J39" s="70">
        <v>45516</v>
      </c>
      <c r="K39" s="70">
        <v>46396</v>
      </c>
      <c r="L39" s="67" t="s">
        <v>28</v>
      </c>
      <c r="M39" s="70"/>
      <c r="N39" s="67" t="s">
        <v>22</v>
      </c>
    </row>
    <row r="40" spans="1:14">
      <c r="A40" s="67" t="s">
        <v>124</v>
      </c>
      <c r="B40" s="67" t="s">
        <v>125</v>
      </c>
      <c r="C40" s="67" t="s">
        <v>16</v>
      </c>
      <c r="D40" s="67" t="s">
        <v>32</v>
      </c>
      <c r="E40" s="67" t="s">
        <v>33</v>
      </c>
      <c r="F40" s="67" t="s">
        <v>65</v>
      </c>
      <c r="G40" s="67" t="s">
        <v>80</v>
      </c>
      <c r="H40" s="68">
        <v>303300</v>
      </c>
      <c r="I40" s="69">
        <v>305</v>
      </c>
      <c r="J40" s="70">
        <v>44890</v>
      </c>
      <c r="K40" s="70">
        <v>46350</v>
      </c>
      <c r="L40" s="67" t="s">
        <v>28</v>
      </c>
      <c r="M40" s="70"/>
      <c r="N40" s="67" t="s">
        <v>29</v>
      </c>
    </row>
    <row r="41" spans="1:14">
      <c r="A41" s="67" t="s">
        <v>126</v>
      </c>
      <c r="B41" s="67" t="s">
        <v>127</v>
      </c>
      <c r="C41" s="67" t="s">
        <v>37</v>
      </c>
      <c r="D41" s="67" t="s">
        <v>26</v>
      </c>
      <c r="E41" s="67" t="s">
        <v>18</v>
      </c>
      <c r="F41" s="67" t="s">
        <v>34</v>
      </c>
      <c r="G41" s="67" t="s">
        <v>50</v>
      </c>
      <c r="H41" s="68">
        <v>11800</v>
      </c>
      <c r="I41" s="69">
        <v>58</v>
      </c>
      <c r="J41" s="70">
        <v>45585</v>
      </c>
      <c r="K41" s="70">
        <v>46374</v>
      </c>
      <c r="L41" s="67" t="s">
        <v>28</v>
      </c>
      <c r="M41" s="70"/>
      <c r="N41" s="67" t="s">
        <v>29</v>
      </c>
    </row>
    <row r="42" spans="1:14">
      <c r="A42" s="67" t="s">
        <v>128</v>
      </c>
      <c r="B42" s="67" t="s">
        <v>129</v>
      </c>
      <c r="C42" s="67" t="s">
        <v>25</v>
      </c>
      <c r="D42" s="67" t="s">
        <v>43</v>
      </c>
      <c r="E42" s="67" t="s">
        <v>53</v>
      </c>
      <c r="F42" s="67" t="s">
        <v>19</v>
      </c>
      <c r="G42" s="67" t="s">
        <v>74</v>
      </c>
      <c r="H42" s="68">
        <v>50900</v>
      </c>
      <c r="I42" s="69">
        <v>245</v>
      </c>
      <c r="J42" s="70">
        <v>45287</v>
      </c>
      <c r="K42" s="70">
        <v>46599</v>
      </c>
      <c r="L42" s="67" t="s">
        <v>28</v>
      </c>
      <c r="M42" s="70"/>
      <c r="N42" s="67" t="s">
        <v>29</v>
      </c>
    </row>
    <row r="43" spans="1:14">
      <c r="A43" s="67" t="s">
        <v>130</v>
      </c>
      <c r="B43" s="67" t="s">
        <v>131</v>
      </c>
      <c r="C43" s="67" t="s">
        <v>25</v>
      </c>
      <c r="D43" s="67" t="s">
        <v>32</v>
      </c>
      <c r="E43" s="67" t="s">
        <v>18</v>
      </c>
      <c r="F43" s="67" t="s">
        <v>34</v>
      </c>
      <c r="G43" s="67" t="s">
        <v>27</v>
      </c>
      <c r="H43" s="68">
        <v>71700</v>
      </c>
      <c r="I43" s="69">
        <v>122</v>
      </c>
      <c r="J43" s="70">
        <v>45890</v>
      </c>
      <c r="K43" s="70">
        <v>46507</v>
      </c>
      <c r="L43" s="67" t="s">
        <v>28</v>
      </c>
      <c r="M43" s="70"/>
      <c r="N43" s="67" t="s">
        <v>29</v>
      </c>
    </row>
    <row r="44" spans="1:14">
      <c r="A44" s="67" t="s">
        <v>132</v>
      </c>
      <c r="B44" s="67" t="s">
        <v>133</v>
      </c>
      <c r="C44" s="67" t="s">
        <v>25</v>
      </c>
      <c r="D44" s="67" t="s">
        <v>32</v>
      </c>
      <c r="E44" s="67" t="s">
        <v>38</v>
      </c>
      <c r="F44" s="67" t="s">
        <v>61</v>
      </c>
      <c r="G44" s="67" t="s">
        <v>27</v>
      </c>
      <c r="H44" s="68">
        <v>47900</v>
      </c>
      <c r="I44" s="69">
        <v>92</v>
      </c>
      <c r="J44" s="70">
        <v>44541</v>
      </c>
      <c r="K44" s="70">
        <v>46399</v>
      </c>
      <c r="L44" s="67" t="s">
        <v>28</v>
      </c>
      <c r="M44" s="70"/>
      <c r="N44" s="67" t="s">
        <v>29</v>
      </c>
    </row>
    <row r="45" spans="1:14">
      <c r="A45" s="67" t="s">
        <v>134</v>
      </c>
      <c r="B45" s="67" t="s">
        <v>135</v>
      </c>
      <c r="C45" s="67" t="s">
        <v>25</v>
      </c>
      <c r="D45" s="67" t="s">
        <v>43</v>
      </c>
      <c r="E45" s="67" t="s">
        <v>33</v>
      </c>
      <c r="F45" s="67" t="s">
        <v>65</v>
      </c>
      <c r="G45" s="67" t="s">
        <v>27</v>
      </c>
      <c r="H45" s="68">
        <v>105800</v>
      </c>
      <c r="I45" s="69">
        <v>277</v>
      </c>
      <c r="J45" s="70">
        <v>45273</v>
      </c>
      <c r="K45" s="70">
        <v>46656</v>
      </c>
      <c r="L45" s="67" t="s">
        <v>28</v>
      </c>
      <c r="M45" s="70"/>
      <c r="N45" s="67" t="s">
        <v>29</v>
      </c>
    </row>
    <row r="46" spans="1:14">
      <c r="A46" s="67" t="s">
        <v>136</v>
      </c>
      <c r="B46" s="67" t="s">
        <v>137</v>
      </c>
      <c r="C46" s="67" t="s">
        <v>25</v>
      </c>
      <c r="D46" s="67" t="s">
        <v>26</v>
      </c>
      <c r="E46" s="67" t="s">
        <v>38</v>
      </c>
      <c r="F46" s="67" t="s">
        <v>65</v>
      </c>
      <c r="G46" s="67" t="s">
        <v>74</v>
      </c>
      <c r="H46" s="68">
        <v>111700</v>
      </c>
      <c r="I46" s="69">
        <v>284</v>
      </c>
      <c r="J46" s="70">
        <v>44519</v>
      </c>
      <c r="K46" s="70">
        <v>46435</v>
      </c>
      <c r="L46" s="67" t="s">
        <v>28</v>
      </c>
      <c r="M46" s="70"/>
      <c r="N46" s="67" t="s">
        <v>29</v>
      </c>
    </row>
    <row r="47" spans="1:14">
      <c r="A47" s="67" t="s">
        <v>138</v>
      </c>
      <c r="B47" s="67" t="s">
        <v>139</v>
      </c>
      <c r="C47" s="67" t="s">
        <v>37</v>
      </c>
      <c r="D47" s="67" t="s">
        <v>43</v>
      </c>
      <c r="E47" s="67" t="s">
        <v>33</v>
      </c>
      <c r="F47" s="67" t="s">
        <v>61</v>
      </c>
      <c r="G47" s="67" t="s">
        <v>40</v>
      </c>
      <c r="H47" s="68">
        <v>38200</v>
      </c>
      <c r="I47" s="69">
        <v>58</v>
      </c>
      <c r="J47" s="70">
        <v>45681</v>
      </c>
      <c r="K47" s="70">
        <v>46380</v>
      </c>
      <c r="L47" s="67" t="s">
        <v>28</v>
      </c>
      <c r="M47" s="70"/>
      <c r="N47" s="67" t="s">
        <v>29</v>
      </c>
    </row>
    <row r="48" spans="1:14">
      <c r="A48" s="67" t="s">
        <v>140</v>
      </c>
      <c r="B48" s="67" t="s">
        <v>141</v>
      </c>
      <c r="C48" s="67" t="s">
        <v>25</v>
      </c>
      <c r="D48" s="67" t="s">
        <v>43</v>
      </c>
      <c r="E48" s="67" t="s">
        <v>73</v>
      </c>
      <c r="F48" s="67" t="s">
        <v>19</v>
      </c>
      <c r="G48" s="67" t="s">
        <v>46</v>
      </c>
      <c r="H48" s="68">
        <v>108800</v>
      </c>
      <c r="I48" s="69">
        <v>244</v>
      </c>
      <c r="J48" s="70">
        <v>44549</v>
      </c>
      <c r="K48" s="70">
        <v>46575</v>
      </c>
      <c r="L48" s="67" t="s">
        <v>28</v>
      </c>
      <c r="M48" s="70"/>
      <c r="N48" s="67" t="s">
        <v>29</v>
      </c>
    </row>
    <row r="49" spans="1:14">
      <c r="A49" s="67" t="s">
        <v>142</v>
      </c>
      <c r="B49" s="67" t="s">
        <v>143</v>
      </c>
      <c r="C49" s="67" t="s">
        <v>25</v>
      </c>
      <c r="D49" s="67" t="s">
        <v>43</v>
      </c>
      <c r="E49" s="67" t="s">
        <v>77</v>
      </c>
      <c r="F49" s="67" t="s">
        <v>34</v>
      </c>
      <c r="G49" s="67" t="s">
        <v>27</v>
      </c>
      <c r="H49" s="68">
        <v>149100</v>
      </c>
      <c r="I49" s="69">
        <v>283</v>
      </c>
      <c r="J49" s="70">
        <v>45405</v>
      </c>
      <c r="K49" s="70">
        <v>46379</v>
      </c>
      <c r="L49" s="67" t="s">
        <v>28</v>
      </c>
      <c r="M49" s="70"/>
      <c r="N49" s="67" t="s">
        <v>29</v>
      </c>
    </row>
    <row r="50" spans="1:14">
      <c r="A50" s="67" t="s">
        <v>144</v>
      </c>
      <c r="B50" s="67" t="s">
        <v>145</v>
      </c>
      <c r="C50" s="67" t="s">
        <v>37</v>
      </c>
      <c r="D50" s="67" t="s">
        <v>43</v>
      </c>
      <c r="E50" s="67" t="s">
        <v>38</v>
      </c>
      <c r="F50" s="67" t="s">
        <v>65</v>
      </c>
      <c r="G50" s="67" t="s">
        <v>50</v>
      </c>
      <c r="H50" s="68">
        <v>37500</v>
      </c>
      <c r="I50" s="69">
        <v>42</v>
      </c>
      <c r="J50" s="70">
        <v>44907</v>
      </c>
      <c r="K50" s="70">
        <v>46539</v>
      </c>
      <c r="L50" s="67" t="s">
        <v>28</v>
      </c>
      <c r="M50" s="70"/>
      <c r="N50" s="67" t="s">
        <v>29</v>
      </c>
    </row>
    <row r="51" spans="1:14">
      <c r="A51" s="67" t="s">
        <v>146</v>
      </c>
      <c r="B51" s="67" t="s">
        <v>147</v>
      </c>
      <c r="C51" s="67" t="s">
        <v>16</v>
      </c>
      <c r="D51" s="67" t="s">
        <v>32</v>
      </c>
      <c r="E51" s="67" t="s">
        <v>38</v>
      </c>
      <c r="F51" s="67" t="s">
        <v>65</v>
      </c>
      <c r="G51" s="67" t="s">
        <v>80</v>
      </c>
      <c r="H51" s="68">
        <v>305300</v>
      </c>
      <c r="I51" s="69">
        <v>1330</v>
      </c>
      <c r="J51" s="70">
        <v>44693</v>
      </c>
      <c r="K51" s="70">
        <v>46594</v>
      </c>
      <c r="L51" s="67" t="s">
        <v>28</v>
      </c>
      <c r="M51" s="70"/>
      <c r="N51" s="67" t="s">
        <v>29</v>
      </c>
    </row>
    <row r="52" spans="1:14">
      <c r="A52" s="67" t="s">
        <v>148</v>
      </c>
      <c r="B52" s="67" t="s">
        <v>149</v>
      </c>
      <c r="C52" s="67" t="s">
        <v>25</v>
      </c>
      <c r="D52" s="67" t="s">
        <v>32</v>
      </c>
      <c r="E52" s="67" t="s">
        <v>77</v>
      </c>
      <c r="F52" s="67" t="s">
        <v>65</v>
      </c>
      <c r="G52" s="67" t="s">
        <v>74</v>
      </c>
      <c r="H52" s="68">
        <v>127200</v>
      </c>
      <c r="I52" s="69">
        <v>216</v>
      </c>
      <c r="J52" s="70">
        <v>45054</v>
      </c>
      <c r="K52" s="70">
        <v>46320</v>
      </c>
      <c r="L52" s="67" t="s">
        <v>28</v>
      </c>
      <c r="M52" s="70"/>
      <c r="N52" s="67" t="s">
        <v>29</v>
      </c>
    </row>
    <row r="53" spans="1:14">
      <c r="A53" s="67" t="s">
        <v>150</v>
      </c>
      <c r="B53" s="67" t="s">
        <v>151</v>
      </c>
      <c r="C53" s="67" t="s">
        <v>25</v>
      </c>
      <c r="D53" s="67" t="s">
        <v>32</v>
      </c>
      <c r="E53" s="67" t="s">
        <v>38</v>
      </c>
      <c r="F53" s="67" t="s">
        <v>65</v>
      </c>
      <c r="G53" s="67" t="s">
        <v>74</v>
      </c>
      <c r="H53" s="68">
        <v>146700</v>
      </c>
      <c r="I53" s="69">
        <v>69</v>
      </c>
      <c r="J53" s="70">
        <v>44994</v>
      </c>
      <c r="K53" s="70">
        <v>46349</v>
      </c>
      <c r="L53" s="67" t="s">
        <v>28</v>
      </c>
      <c r="M53" s="70"/>
      <c r="N53" s="67" t="s">
        <v>29</v>
      </c>
    </row>
    <row r="54" spans="1:14">
      <c r="A54" s="67" t="s">
        <v>152</v>
      </c>
      <c r="B54" s="67" t="s">
        <v>153</v>
      </c>
      <c r="C54" s="67" t="s">
        <v>37</v>
      </c>
      <c r="D54" s="67" t="s">
        <v>43</v>
      </c>
      <c r="E54" s="67" t="s">
        <v>73</v>
      </c>
      <c r="F54" s="67" t="s">
        <v>68</v>
      </c>
      <c r="G54" s="67" t="s">
        <v>40</v>
      </c>
      <c r="H54" s="68">
        <v>36400</v>
      </c>
      <c r="I54" s="69">
        <v>41</v>
      </c>
      <c r="J54" s="70">
        <v>44514</v>
      </c>
      <c r="K54" s="70">
        <v>46571</v>
      </c>
      <c r="L54" s="67" t="s">
        <v>28</v>
      </c>
      <c r="M54" s="70"/>
      <c r="N54" s="67" t="s">
        <v>29</v>
      </c>
    </row>
    <row r="55" spans="1:14">
      <c r="A55" s="67" t="s">
        <v>154</v>
      </c>
      <c r="B55" s="67" t="s">
        <v>155</v>
      </c>
      <c r="C55" s="67" t="s">
        <v>16</v>
      </c>
      <c r="D55" s="67" t="s">
        <v>26</v>
      </c>
      <c r="E55" s="67" t="s">
        <v>49</v>
      </c>
      <c r="F55" s="67" t="s">
        <v>65</v>
      </c>
      <c r="G55" s="67" t="s">
        <v>20</v>
      </c>
      <c r="H55" s="68">
        <v>462300</v>
      </c>
      <c r="I55" s="69">
        <v>259</v>
      </c>
      <c r="J55" s="70">
        <v>45007</v>
      </c>
      <c r="K55" s="70">
        <v>46348</v>
      </c>
      <c r="L55" s="67" t="s">
        <v>28</v>
      </c>
      <c r="M55" s="70"/>
      <c r="N55" s="67" t="s">
        <v>62</v>
      </c>
    </row>
    <row r="56" spans="1:14">
      <c r="A56" s="67" t="s">
        <v>156</v>
      </c>
      <c r="B56" s="67" t="s">
        <v>157</v>
      </c>
      <c r="C56" s="67" t="s">
        <v>37</v>
      </c>
      <c r="D56" s="67" t="s">
        <v>26</v>
      </c>
      <c r="E56" s="67" t="s">
        <v>38</v>
      </c>
      <c r="F56" s="67" t="s">
        <v>39</v>
      </c>
      <c r="G56" s="67" t="s">
        <v>50</v>
      </c>
      <c r="H56" s="68">
        <v>27500</v>
      </c>
      <c r="I56" s="69">
        <v>34</v>
      </c>
      <c r="J56" s="70">
        <v>44736</v>
      </c>
      <c r="K56" s="70">
        <v>46647</v>
      </c>
      <c r="L56" s="67" t="s">
        <v>28</v>
      </c>
      <c r="M56" s="70"/>
      <c r="N56" s="67" t="s">
        <v>29</v>
      </c>
    </row>
    <row r="57" spans="1:14">
      <c r="A57" s="67" t="s">
        <v>158</v>
      </c>
      <c r="B57" s="67" t="s">
        <v>159</v>
      </c>
      <c r="C57" s="67" t="s">
        <v>25</v>
      </c>
      <c r="D57" s="67" t="s">
        <v>43</v>
      </c>
      <c r="E57" s="67" t="s">
        <v>18</v>
      </c>
      <c r="F57" s="67" t="s">
        <v>68</v>
      </c>
      <c r="G57" s="67" t="s">
        <v>46</v>
      </c>
      <c r="H57" s="68">
        <v>115900</v>
      </c>
      <c r="I57" s="69">
        <v>166</v>
      </c>
      <c r="J57" s="70">
        <v>45572</v>
      </c>
      <c r="K57" s="70">
        <v>46335</v>
      </c>
      <c r="L57" s="67" t="s">
        <v>28</v>
      </c>
      <c r="M57" s="70"/>
      <c r="N57" s="67" t="s">
        <v>29</v>
      </c>
    </row>
    <row r="58" spans="1:14">
      <c r="A58" s="67" t="s">
        <v>160</v>
      </c>
      <c r="B58" s="67" t="s">
        <v>161</v>
      </c>
      <c r="C58" s="67" t="s">
        <v>16</v>
      </c>
      <c r="D58" s="67" t="s">
        <v>43</v>
      </c>
      <c r="E58" s="67" t="s">
        <v>77</v>
      </c>
      <c r="F58" s="67" t="s">
        <v>61</v>
      </c>
      <c r="G58" s="67" t="s">
        <v>20</v>
      </c>
      <c r="H58" s="68">
        <v>404700</v>
      </c>
      <c r="I58" s="69">
        <v>300</v>
      </c>
      <c r="J58" s="70">
        <v>44718</v>
      </c>
      <c r="K58" s="70">
        <v>46449</v>
      </c>
      <c r="L58" s="67" t="s">
        <v>28</v>
      </c>
      <c r="M58" s="70"/>
      <c r="N58" s="67" t="s">
        <v>29</v>
      </c>
    </row>
    <row r="59" spans="1:14">
      <c r="A59" s="67" t="s">
        <v>162</v>
      </c>
      <c r="B59" s="67" t="s">
        <v>163</v>
      </c>
      <c r="C59" s="67" t="s">
        <v>37</v>
      </c>
      <c r="D59" s="67" t="s">
        <v>26</v>
      </c>
      <c r="E59" s="67" t="s">
        <v>49</v>
      </c>
      <c r="F59" s="67" t="s">
        <v>68</v>
      </c>
      <c r="G59" s="67" t="s">
        <v>40</v>
      </c>
      <c r="H59" s="68">
        <v>9300</v>
      </c>
      <c r="I59" s="69">
        <v>60</v>
      </c>
      <c r="J59" s="70">
        <v>44545</v>
      </c>
      <c r="K59" s="70">
        <v>46646</v>
      </c>
      <c r="L59" s="67" t="s">
        <v>28</v>
      </c>
      <c r="M59" s="70"/>
      <c r="N59" s="67" t="s">
        <v>29</v>
      </c>
    </row>
    <row r="60" spans="1:14">
      <c r="A60" s="67" t="s">
        <v>164</v>
      </c>
      <c r="B60" s="67" t="s">
        <v>165</v>
      </c>
      <c r="C60" s="67" t="s">
        <v>25</v>
      </c>
      <c r="D60" s="67" t="s">
        <v>17</v>
      </c>
      <c r="E60" s="67" t="s">
        <v>38</v>
      </c>
      <c r="F60" s="67" t="s">
        <v>61</v>
      </c>
      <c r="G60" s="67" t="s">
        <v>46</v>
      </c>
      <c r="H60" s="68">
        <v>146400</v>
      </c>
      <c r="I60" s="69">
        <v>125</v>
      </c>
      <c r="J60" s="70">
        <v>44791</v>
      </c>
      <c r="K60" s="70">
        <v>46485</v>
      </c>
      <c r="L60" s="67" t="s">
        <v>28</v>
      </c>
      <c r="M60" s="70"/>
      <c r="N60" s="67" t="s">
        <v>29</v>
      </c>
    </row>
    <row r="61" spans="1:14">
      <c r="A61" s="67" t="s">
        <v>166</v>
      </c>
      <c r="B61" s="67" t="s">
        <v>167</v>
      </c>
      <c r="C61" s="67" t="s">
        <v>25</v>
      </c>
      <c r="D61" s="67" t="s">
        <v>17</v>
      </c>
      <c r="E61" s="67" t="s">
        <v>73</v>
      </c>
      <c r="F61" s="67" t="s">
        <v>34</v>
      </c>
      <c r="G61" s="67" t="s">
        <v>46</v>
      </c>
      <c r="H61" s="68">
        <v>41500</v>
      </c>
      <c r="I61" s="69">
        <v>187</v>
      </c>
      <c r="J61" s="70">
        <v>44510</v>
      </c>
      <c r="K61" s="70">
        <v>46643</v>
      </c>
      <c r="L61" s="67" t="s">
        <v>28</v>
      </c>
      <c r="M61" s="70"/>
      <c r="N61" s="67" t="s">
        <v>29</v>
      </c>
    </row>
    <row r="62" spans="1:14">
      <c r="A62" s="67" t="s">
        <v>168</v>
      </c>
      <c r="B62" s="67" t="s">
        <v>169</v>
      </c>
      <c r="C62" s="67" t="s">
        <v>25</v>
      </c>
      <c r="D62" s="67" t="s">
        <v>32</v>
      </c>
      <c r="E62" s="67" t="s">
        <v>73</v>
      </c>
      <c r="F62" s="67" t="s">
        <v>19</v>
      </c>
      <c r="G62" s="67" t="s">
        <v>27</v>
      </c>
      <c r="H62" s="68">
        <v>111200</v>
      </c>
      <c r="I62" s="69">
        <v>212</v>
      </c>
      <c r="J62" s="70">
        <v>45135</v>
      </c>
      <c r="K62" s="70">
        <v>46353</v>
      </c>
      <c r="L62" s="67" t="s">
        <v>28</v>
      </c>
      <c r="M62" s="70"/>
      <c r="N62" s="67" t="s">
        <v>29</v>
      </c>
    </row>
    <row r="63" spans="1:14">
      <c r="A63" s="67" t="s">
        <v>170</v>
      </c>
      <c r="B63" s="67" t="s">
        <v>171</v>
      </c>
      <c r="C63" s="67" t="s">
        <v>37</v>
      </c>
      <c r="D63" s="67" t="s">
        <v>43</v>
      </c>
      <c r="E63" s="67" t="s">
        <v>56</v>
      </c>
      <c r="F63" s="67" t="s">
        <v>19</v>
      </c>
      <c r="G63" s="67" t="s">
        <v>50</v>
      </c>
      <c r="H63" s="68">
        <v>20400</v>
      </c>
      <c r="I63" s="69">
        <v>33</v>
      </c>
      <c r="J63" s="70">
        <v>45272</v>
      </c>
      <c r="K63" s="70">
        <v>46550</v>
      </c>
      <c r="L63" s="67" t="s">
        <v>28</v>
      </c>
      <c r="M63" s="70"/>
      <c r="N63" s="67" t="s">
        <v>29</v>
      </c>
    </row>
    <row r="64" spans="1:14">
      <c r="A64" s="67" t="s">
        <v>172</v>
      </c>
      <c r="B64" s="67" t="s">
        <v>173</v>
      </c>
      <c r="C64" s="67" t="s">
        <v>37</v>
      </c>
      <c r="D64" s="67" t="s">
        <v>43</v>
      </c>
      <c r="E64" s="67" t="s">
        <v>18</v>
      </c>
      <c r="F64" s="67" t="s">
        <v>34</v>
      </c>
      <c r="G64" s="67" t="s">
        <v>40</v>
      </c>
      <c r="H64" s="68">
        <v>19900</v>
      </c>
      <c r="I64" s="69">
        <v>38</v>
      </c>
      <c r="J64" s="70">
        <v>44893</v>
      </c>
      <c r="K64" s="70">
        <v>46613</v>
      </c>
      <c r="L64" s="67" t="s">
        <v>28</v>
      </c>
      <c r="M64" s="70"/>
      <c r="N64" s="67" t="s">
        <v>29</v>
      </c>
    </row>
    <row r="65" spans="1:14">
      <c r="A65" s="67" t="s">
        <v>174</v>
      </c>
      <c r="B65" s="67" t="s">
        <v>175</v>
      </c>
      <c r="C65" s="67" t="s">
        <v>25</v>
      </c>
      <c r="D65" s="67" t="s">
        <v>43</v>
      </c>
      <c r="E65" s="67" t="s">
        <v>49</v>
      </c>
      <c r="F65" s="67" t="s">
        <v>65</v>
      </c>
      <c r="G65" s="67" t="s">
        <v>27</v>
      </c>
      <c r="H65" s="68">
        <v>112900</v>
      </c>
      <c r="I65" s="69">
        <v>214</v>
      </c>
      <c r="J65" s="70">
        <v>44575</v>
      </c>
      <c r="K65" s="70">
        <v>46481</v>
      </c>
      <c r="L65" s="67" t="s">
        <v>28</v>
      </c>
      <c r="M65" s="70"/>
      <c r="N65" s="67" t="s">
        <v>62</v>
      </c>
    </row>
    <row r="66" spans="1:14">
      <c r="A66" s="67" t="s">
        <v>176</v>
      </c>
      <c r="B66" s="67" t="s">
        <v>177</v>
      </c>
      <c r="C66" s="67" t="s">
        <v>37</v>
      </c>
      <c r="D66" s="67" t="s">
        <v>32</v>
      </c>
      <c r="E66" s="67" t="s">
        <v>56</v>
      </c>
      <c r="F66" s="67" t="s">
        <v>61</v>
      </c>
      <c r="G66" s="67" t="s">
        <v>50</v>
      </c>
      <c r="H66" s="68">
        <v>33200</v>
      </c>
      <c r="I66" s="69">
        <v>48</v>
      </c>
      <c r="J66" s="70">
        <v>44760</v>
      </c>
      <c r="K66" s="70">
        <v>46404</v>
      </c>
      <c r="L66" s="67" t="s">
        <v>28</v>
      </c>
      <c r="M66" s="70"/>
      <c r="N66" s="67" t="s">
        <v>29</v>
      </c>
    </row>
    <row r="67" spans="1:14">
      <c r="A67" s="67" t="s">
        <v>178</v>
      </c>
      <c r="B67" s="67" t="s">
        <v>179</v>
      </c>
      <c r="C67" s="67" t="s">
        <v>37</v>
      </c>
      <c r="D67" s="67" t="s">
        <v>43</v>
      </c>
      <c r="E67" s="67" t="s">
        <v>73</v>
      </c>
      <c r="F67" s="67" t="s">
        <v>39</v>
      </c>
      <c r="G67" s="67" t="s">
        <v>40</v>
      </c>
      <c r="H67" s="68">
        <v>18400</v>
      </c>
      <c r="I67" s="69">
        <v>21</v>
      </c>
      <c r="J67" s="70">
        <v>44542</v>
      </c>
      <c r="K67" s="70">
        <v>46311</v>
      </c>
      <c r="L67" s="67" t="s">
        <v>28</v>
      </c>
      <c r="M67" s="70"/>
      <c r="N67" s="67" t="s">
        <v>29</v>
      </c>
    </row>
    <row r="68" spans="1:14">
      <c r="A68" s="67" t="s">
        <v>180</v>
      </c>
      <c r="B68" s="67" t="s">
        <v>181</v>
      </c>
      <c r="C68" s="67" t="s">
        <v>16</v>
      </c>
      <c r="D68" s="67" t="s">
        <v>32</v>
      </c>
      <c r="E68" s="67" t="s">
        <v>56</v>
      </c>
      <c r="F68" s="67" t="s">
        <v>19</v>
      </c>
      <c r="G68" s="67" t="s">
        <v>20</v>
      </c>
      <c r="H68" s="68">
        <v>477300</v>
      </c>
      <c r="I68" s="69">
        <v>1267</v>
      </c>
      <c r="J68" s="70">
        <v>45154</v>
      </c>
      <c r="K68" s="70">
        <v>46560</v>
      </c>
      <c r="L68" s="67" t="s">
        <v>28</v>
      </c>
      <c r="M68" s="70"/>
      <c r="N68" s="67" t="s">
        <v>62</v>
      </c>
    </row>
    <row r="69" spans="1:14">
      <c r="A69" s="67" t="s">
        <v>182</v>
      </c>
      <c r="B69" s="67" t="s">
        <v>183</v>
      </c>
      <c r="C69" s="67" t="s">
        <v>37</v>
      </c>
      <c r="D69" s="67" t="s">
        <v>26</v>
      </c>
      <c r="E69" s="67" t="s">
        <v>73</v>
      </c>
      <c r="F69" s="67" t="s">
        <v>19</v>
      </c>
      <c r="G69" s="67" t="s">
        <v>50</v>
      </c>
      <c r="H69" s="68">
        <v>10100</v>
      </c>
      <c r="I69" s="69">
        <v>27</v>
      </c>
      <c r="J69" s="70">
        <v>44987</v>
      </c>
      <c r="K69" s="70">
        <v>46335</v>
      </c>
      <c r="L69" s="67" t="s">
        <v>28</v>
      </c>
      <c r="M69" s="70"/>
      <c r="N69" s="67" t="s">
        <v>29</v>
      </c>
    </row>
    <row r="70" spans="1:14">
      <c r="A70" s="67" t="s">
        <v>184</v>
      </c>
      <c r="B70" s="67" t="s">
        <v>185</v>
      </c>
      <c r="C70" s="67" t="s">
        <v>25</v>
      </c>
      <c r="D70" s="67" t="s">
        <v>26</v>
      </c>
      <c r="E70" s="67" t="s">
        <v>49</v>
      </c>
      <c r="F70" s="67" t="s">
        <v>68</v>
      </c>
      <c r="G70" s="67" t="s">
        <v>74</v>
      </c>
      <c r="H70" s="68">
        <v>136500</v>
      </c>
      <c r="I70" s="69">
        <v>191</v>
      </c>
      <c r="J70" s="70">
        <v>44860</v>
      </c>
      <c r="K70" s="70">
        <v>46607</v>
      </c>
      <c r="L70" s="67" t="s">
        <v>28</v>
      </c>
      <c r="M70" s="70"/>
      <c r="N70" s="67" t="s">
        <v>29</v>
      </c>
    </row>
    <row r="71" spans="1:14">
      <c r="A71" s="67" t="s">
        <v>186</v>
      </c>
      <c r="B71" s="67" t="s">
        <v>187</v>
      </c>
      <c r="C71" s="67" t="s">
        <v>25</v>
      </c>
      <c r="D71" s="67" t="s">
        <v>43</v>
      </c>
      <c r="E71" s="67" t="s">
        <v>18</v>
      </c>
      <c r="F71" s="67" t="s">
        <v>61</v>
      </c>
      <c r="G71" s="67" t="s">
        <v>27</v>
      </c>
      <c r="H71" s="68">
        <v>115600</v>
      </c>
      <c r="I71" s="69">
        <v>171</v>
      </c>
      <c r="J71" s="70">
        <v>45044</v>
      </c>
      <c r="K71" s="70">
        <v>46346</v>
      </c>
      <c r="L71" s="67" t="s">
        <v>28</v>
      </c>
      <c r="M71" s="70"/>
      <c r="N71" s="67" t="s">
        <v>29</v>
      </c>
    </row>
    <row r="72" spans="1:14">
      <c r="A72" s="67" t="s">
        <v>188</v>
      </c>
      <c r="B72" s="67" t="s">
        <v>189</v>
      </c>
      <c r="C72" s="67" t="s">
        <v>37</v>
      </c>
      <c r="D72" s="67" t="s">
        <v>32</v>
      </c>
      <c r="E72" s="67" t="s">
        <v>49</v>
      </c>
      <c r="F72" s="67" t="s">
        <v>65</v>
      </c>
      <c r="G72" s="67" t="s">
        <v>89</v>
      </c>
      <c r="H72" s="68">
        <v>36000</v>
      </c>
      <c r="I72" s="69">
        <v>58</v>
      </c>
      <c r="J72" s="70">
        <v>44694</v>
      </c>
      <c r="K72" s="70">
        <v>46585</v>
      </c>
      <c r="L72" s="67" t="s">
        <v>28</v>
      </c>
      <c r="M72" s="70"/>
      <c r="N72" s="67" t="s">
        <v>29</v>
      </c>
    </row>
    <row r="73" spans="1:14">
      <c r="A73" s="67" t="s">
        <v>190</v>
      </c>
      <c r="B73" s="67" t="s">
        <v>191</v>
      </c>
      <c r="C73" s="67" t="s">
        <v>37</v>
      </c>
      <c r="D73" s="67" t="s">
        <v>32</v>
      </c>
      <c r="E73" s="67" t="s">
        <v>49</v>
      </c>
      <c r="F73" s="67" t="s">
        <v>61</v>
      </c>
      <c r="G73" s="67" t="s">
        <v>40</v>
      </c>
      <c r="H73" s="68">
        <v>19800</v>
      </c>
      <c r="I73" s="69">
        <v>58</v>
      </c>
      <c r="J73" s="70">
        <v>45579</v>
      </c>
      <c r="K73" s="70">
        <v>46634</v>
      </c>
      <c r="L73" s="67" t="s">
        <v>28</v>
      </c>
      <c r="M73" s="70"/>
      <c r="N73" s="67" t="s">
        <v>29</v>
      </c>
    </row>
    <row r="74" spans="1:14">
      <c r="A74" s="67" t="s">
        <v>192</v>
      </c>
      <c r="B74" s="67" t="s">
        <v>193</v>
      </c>
      <c r="C74" s="67" t="s">
        <v>25</v>
      </c>
      <c r="D74" s="67" t="s">
        <v>32</v>
      </c>
      <c r="E74" s="67" t="s">
        <v>18</v>
      </c>
      <c r="F74" s="67" t="s">
        <v>34</v>
      </c>
      <c r="G74" s="67" t="s">
        <v>27</v>
      </c>
      <c r="H74" s="68">
        <v>70100</v>
      </c>
      <c r="I74" s="69">
        <v>245</v>
      </c>
      <c r="J74" s="70">
        <v>44755</v>
      </c>
      <c r="K74" s="70">
        <v>46311</v>
      </c>
      <c r="L74" s="67" t="s">
        <v>28</v>
      </c>
      <c r="M74" s="70"/>
      <c r="N74" s="67" t="s">
        <v>29</v>
      </c>
    </row>
    <row r="75" spans="1:14">
      <c r="A75" s="67" t="s">
        <v>194</v>
      </c>
      <c r="B75" s="67" t="s">
        <v>195</v>
      </c>
      <c r="C75" s="67" t="s">
        <v>25</v>
      </c>
      <c r="D75" s="67" t="s">
        <v>32</v>
      </c>
      <c r="E75" s="67" t="s">
        <v>77</v>
      </c>
      <c r="F75" s="67" t="s">
        <v>65</v>
      </c>
      <c r="G75" s="67" t="s">
        <v>46</v>
      </c>
      <c r="H75" s="68">
        <v>77500</v>
      </c>
      <c r="I75" s="69">
        <v>144</v>
      </c>
      <c r="J75" s="70">
        <v>44599</v>
      </c>
      <c r="K75" s="70">
        <v>46275</v>
      </c>
      <c r="L75" s="67" t="s">
        <v>21</v>
      </c>
      <c r="M75" s="70">
        <v>46275</v>
      </c>
      <c r="N75" s="67" t="s">
        <v>62</v>
      </c>
    </row>
    <row r="76" spans="1:14">
      <c r="A76" s="67" t="s">
        <v>196</v>
      </c>
      <c r="B76" s="67" t="s">
        <v>197</v>
      </c>
      <c r="C76" s="67" t="s">
        <v>25</v>
      </c>
      <c r="D76" s="67" t="s">
        <v>43</v>
      </c>
      <c r="E76" s="67" t="s">
        <v>18</v>
      </c>
      <c r="F76" s="67" t="s">
        <v>68</v>
      </c>
      <c r="G76" s="67" t="s">
        <v>74</v>
      </c>
      <c r="H76" s="68">
        <v>105200</v>
      </c>
      <c r="I76" s="69">
        <v>184</v>
      </c>
      <c r="J76" s="70">
        <v>45454</v>
      </c>
      <c r="K76" s="70">
        <v>46028</v>
      </c>
      <c r="L76" s="67" t="s">
        <v>21</v>
      </c>
      <c r="M76" s="70">
        <v>46028</v>
      </c>
      <c r="N76" s="67" t="s">
        <v>62</v>
      </c>
    </row>
    <row r="77" spans="1:14">
      <c r="A77" s="67" t="s">
        <v>198</v>
      </c>
      <c r="B77" s="67" t="s">
        <v>199</v>
      </c>
      <c r="C77" s="67" t="s">
        <v>16</v>
      </c>
      <c r="D77" s="67" t="s">
        <v>43</v>
      </c>
      <c r="E77" s="67" t="s">
        <v>49</v>
      </c>
      <c r="F77" s="67" t="s">
        <v>34</v>
      </c>
      <c r="G77" s="67" t="s">
        <v>80</v>
      </c>
      <c r="H77" s="68">
        <v>486200</v>
      </c>
      <c r="I77" s="69">
        <v>559</v>
      </c>
      <c r="J77" s="70">
        <v>45463</v>
      </c>
      <c r="K77" s="70">
        <v>46368</v>
      </c>
      <c r="L77" s="67" t="s">
        <v>28</v>
      </c>
      <c r="M77" s="70"/>
      <c r="N77" s="67" t="s">
        <v>62</v>
      </c>
    </row>
    <row r="78" spans="1:14">
      <c r="A78" s="67" t="s">
        <v>200</v>
      </c>
      <c r="B78" s="67" t="s">
        <v>201</v>
      </c>
      <c r="C78" s="67" t="s">
        <v>25</v>
      </c>
      <c r="D78" s="67" t="s">
        <v>17</v>
      </c>
      <c r="E78" s="67" t="s">
        <v>73</v>
      </c>
      <c r="F78" s="67" t="s">
        <v>19</v>
      </c>
      <c r="G78" s="67" t="s">
        <v>46</v>
      </c>
      <c r="H78" s="68">
        <v>103100</v>
      </c>
      <c r="I78" s="69">
        <v>231</v>
      </c>
      <c r="J78" s="70">
        <v>45809</v>
      </c>
      <c r="K78" s="70">
        <v>46067</v>
      </c>
      <c r="L78" s="67" t="s">
        <v>21</v>
      </c>
      <c r="M78" s="70">
        <v>46067</v>
      </c>
      <c r="N78" s="67" t="s">
        <v>62</v>
      </c>
    </row>
    <row r="79" spans="1:14">
      <c r="A79" s="67" t="s">
        <v>202</v>
      </c>
      <c r="B79" s="67" t="s">
        <v>203</v>
      </c>
      <c r="C79" s="67" t="s">
        <v>25</v>
      </c>
      <c r="D79" s="67" t="s">
        <v>43</v>
      </c>
      <c r="E79" s="67" t="s">
        <v>49</v>
      </c>
      <c r="F79" s="67" t="s">
        <v>39</v>
      </c>
      <c r="G79" s="67" t="s">
        <v>46</v>
      </c>
      <c r="H79" s="68">
        <v>104800</v>
      </c>
      <c r="I79" s="69">
        <v>184</v>
      </c>
      <c r="J79" s="70">
        <v>44953</v>
      </c>
      <c r="K79" s="70">
        <v>46651</v>
      </c>
      <c r="L79" s="67" t="s">
        <v>28</v>
      </c>
      <c r="M79" s="70"/>
      <c r="N79" s="67" t="s">
        <v>29</v>
      </c>
    </row>
    <row r="80" spans="1:14">
      <c r="A80" s="67" t="s">
        <v>204</v>
      </c>
      <c r="B80" s="67" t="s">
        <v>205</v>
      </c>
      <c r="C80" s="67" t="s">
        <v>37</v>
      </c>
      <c r="D80" s="67" t="s">
        <v>43</v>
      </c>
      <c r="E80" s="67" t="s">
        <v>38</v>
      </c>
      <c r="F80" s="67" t="s">
        <v>39</v>
      </c>
      <c r="G80" s="67" t="s">
        <v>50</v>
      </c>
      <c r="H80" s="68">
        <v>12700</v>
      </c>
      <c r="I80" s="69">
        <v>22</v>
      </c>
      <c r="J80" s="70">
        <v>45498</v>
      </c>
      <c r="K80" s="70">
        <v>46476</v>
      </c>
      <c r="L80" s="67" t="s">
        <v>28</v>
      </c>
      <c r="M80" s="70"/>
      <c r="N80" s="67" t="s">
        <v>29</v>
      </c>
    </row>
    <row r="81" spans="1:14">
      <c r="A81" s="67" t="s">
        <v>206</v>
      </c>
      <c r="B81" s="67" t="s">
        <v>207</v>
      </c>
      <c r="C81" s="67" t="s">
        <v>16</v>
      </c>
      <c r="D81" s="67" t="s">
        <v>32</v>
      </c>
      <c r="E81" s="67" t="s">
        <v>73</v>
      </c>
      <c r="F81" s="67" t="s">
        <v>39</v>
      </c>
      <c r="G81" s="67" t="s">
        <v>80</v>
      </c>
      <c r="H81" s="68">
        <v>180700</v>
      </c>
      <c r="I81" s="69">
        <v>1105</v>
      </c>
      <c r="J81" s="70">
        <v>44739</v>
      </c>
      <c r="K81" s="70">
        <v>46627</v>
      </c>
      <c r="L81" s="67" t="s">
        <v>28</v>
      </c>
      <c r="M81" s="70"/>
      <c r="N81" s="67" t="s">
        <v>62</v>
      </c>
    </row>
    <row r="82" spans="1:14">
      <c r="A82" s="67" t="s">
        <v>208</v>
      </c>
      <c r="B82" s="67" t="s">
        <v>209</v>
      </c>
      <c r="C82" s="67" t="s">
        <v>37</v>
      </c>
      <c r="D82" s="67" t="s">
        <v>43</v>
      </c>
      <c r="E82" s="67" t="s">
        <v>18</v>
      </c>
      <c r="F82" s="67" t="s">
        <v>34</v>
      </c>
      <c r="G82" s="67" t="s">
        <v>40</v>
      </c>
      <c r="H82" s="68">
        <v>35700</v>
      </c>
      <c r="I82" s="69">
        <v>15</v>
      </c>
      <c r="J82" s="70">
        <v>45818</v>
      </c>
      <c r="K82" s="70">
        <v>46327</v>
      </c>
      <c r="L82" s="67" t="s">
        <v>28</v>
      </c>
      <c r="M82" s="70"/>
      <c r="N82" s="67" t="s">
        <v>29</v>
      </c>
    </row>
    <row r="83" spans="1:14">
      <c r="A83" s="67" t="s">
        <v>210</v>
      </c>
      <c r="B83" s="67" t="s">
        <v>211</v>
      </c>
      <c r="C83" s="67" t="s">
        <v>25</v>
      </c>
      <c r="D83" s="67" t="s">
        <v>32</v>
      </c>
      <c r="E83" s="67" t="s">
        <v>38</v>
      </c>
      <c r="F83" s="67" t="s">
        <v>34</v>
      </c>
      <c r="G83" s="67" t="s">
        <v>46</v>
      </c>
      <c r="H83" s="68">
        <v>51400</v>
      </c>
      <c r="I83" s="69">
        <v>280</v>
      </c>
      <c r="J83" s="70">
        <v>44725</v>
      </c>
      <c r="K83" s="70">
        <v>46194</v>
      </c>
      <c r="L83" s="67" t="s">
        <v>21</v>
      </c>
      <c r="M83" s="70">
        <v>46194</v>
      </c>
      <c r="N83" s="67" t="s">
        <v>29</v>
      </c>
    </row>
    <row r="84" spans="1:14">
      <c r="A84" s="67" t="s">
        <v>212</v>
      </c>
      <c r="B84" s="67" t="s">
        <v>213</v>
      </c>
      <c r="C84" s="67" t="s">
        <v>37</v>
      </c>
      <c r="D84" s="67" t="s">
        <v>32</v>
      </c>
      <c r="E84" s="67" t="s">
        <v>38</v>
      </c>
      <c r="F84" s="67" t="s">
        <v>61</v>
      </c>
      <c r="G84" s="67" t="s">
        <v>89</v>
      </c>
      <c r="H84" s="68">
        <v>37400</v>
      </c>
      <c r="I84" s="69">
        <v>34</v>
      </c>
      <c r="J84" s="70">
        <v>44996</v>
      </c>
      <c r="K84" s="70">
        <v>46566</v>
      </c>
      <c r="L84" s="67" t="s">
        <v>28</v>
      </c>
      <c r="M84" s="70"/>
      <c r="N84" s="67" t="s">
        <v>29</v>
      </c>
    </row>
    <row r="85" spans="1:14">
      <c r="A85" s="67" t="s">
        <v>214</v>
      </c>
      <c r="B85" s="67" t="s">
        <v>215</v>
      </c>
      <c r="C85" s="67" t="s">
        <v>25</v>
      </c>
      <c r="D85" s="67" t="s">
        <v>43</v>
      </c>
      <c r="E85" s="67" t="s">
        <v>38</v>
      </c>
      <c r="F85" s="67" t="s">
        <v>61</v>
      </c>
      <c r="G85" s="67" t="s">
        <v>27</v>
      </c>
      <c r="H85" s="68">
        <v>104100</v>
      </c>
      <c r="I85" s="69">
        <v>86</v>
      </c>
      <c r="J85" s="70">
        <v>45702</v>
      </c>
      <c r="K85" s="70">
        <v>46583</v>
      </c>
      <c r="L85" s="67" t="s">
        <v>28</v>
      </c>
      <c r="M85" s="70"/>
      <c r="N85" s="67" t="s">
        <v>29</v>
      </c>
    </row>
    <row r="86" spans="1:14">
      <c r="A86" s="67" t="s">
        <v>216</v>
      </c>
      <c r="B86" s="67" t="s">
        <v>217</v>
      </c>
      <c r="C86" s="67" t="s">
        <v>25</v>
      </c>
      <c r="D86" s="67" t="s">
        <v>32</v>
      </c>
      <c r="E86" s="67" t="s">
        <v>73</v>
      </c>
      <c r="F86" s="67" t="s">
        <v>39</v>
      </c>
      <c r="G86" s="67" t="s">
        <v>74</v>
      </c>
      <c r="H86" s="68">
        <v>117300</v>
      </c>
      <c r="I86" s="69">
        <v>292</v>
      </c>
      <c r="J86" s="70">
        <v>45722</v>
      </c>
      <c r="K86" s="70">
        <v>46456</v>
      </c>
      <c r="L86" s="67" t="s">
        <v>28</v>
      </c>
      <c r="M86" s="70"/>
      <c r="N86" s="67" t="s">
        <v>29</v>
      </c>
    </row>
    <row r="87" spans="1:14">
      <c r="A87" s="67" t="s">
        <v>218</v>
      </c>
      <c r="B87" s="67" t="s">
        <v>219</v>
      </c>
      <c r="C87" s="67" t="s">
        <v>37</v>
      </c>
      <c r="D87" s="67" t="s">
        <v>43</v>
      </c>
      <c r="E87" s="67" t="s">
        <v>56</v>
      </c>
      <c r="F87" s="67" t="s">
        <v>61</v>
      </c>
      <c r="G87" s="67" t="s">
        <v>89</v>
      </c>
      <c r="H87" s="68">
        <v>14100</v>
      </c>
      <c r="I87" s="69">
        <v>18</v>
      </c>
      <c r="J87" s="70">
        <v>45153</v>
      </c>
      <c r="K87" s="70">
        <v>46456</v>
      </c>
      <c r="L87" s="67" t="s">
        <v>28</v>
      </c>
      <c r="M87" s="70"/>
      <c r="N87" s="67" t="s">
        <v>29</v>
      </c>
    </row>
    <row r="88" spans="1:14">
      <c r="A88" s="67" t="s">
        <v>220</v>
      </c>
      <c r="B88" s="67" t="s">
        <v>221</v>
      </c>
      <c r="C88" s="67" t="s">
        <v>25</v>
      </c>
      <c r="D88" s="67" t="s">
        <v>26</v>
      </c>
      <c r="E88" s="67" t="s">
        <v>38</v>
      </c>
      <c r="F88" s="67" t="s">
        <v>19</v>
      </c>
      <c r="G88" s="67" t="s">
        <v>46</v>
      </c>
      <c r="H88" s="68">
        <v>57000</v>
      </c>
      <c r="I88" s="69">
        <v>96</v>
      </c>
      <c r="J88" s="70">
        <v>44817</v>
      </c>
      <c r="K88" s="70">
        <v>46317</v>
      </c>
      <c r="L88" s="67" t="s">
        <v>28</v>
      </c>
      <c r="M88" s="70"/>
      <c r="N88" s="67" t="s">
        <v>29</v>
      </c>
    </row>
    <row r="89" spans="1:14">
      <c r="A89" s="67" t="s">
        <v>222</v>
      </c>
      <c r="B89" s="67" t="s">
        <v>223</v>
      </c>
      <c r="C89" s="67" t="s">
        <v>37</v>
      </c>
      <c r="D89" s="67" t="s">
        <v>43</v>
      </c>
      <c r="E89" s="67" t="s">
        <v>33</v>
      </c>
      <c r="F89" s="67" t="s">
        <v>39</v>
      </c>
      <c r="G89" s="67" t="s">
        <v>40</v>
      </c>
      <c r="H89" s="68">
        <v>15700</v>
      </c>
      <c r="I89" s="69">
        <v>60</v>
      </c>
      <c r="J89" s="70">
        <v>44986</v>
      </c>
      <c r="K89" s="70">
        <v>46610</v>
      </c>
      <c r="L89" s="67" t="s">
        <v>28</v>
      </c>
      <c r="M89" s="70"/>
      <c r="N89" s="67" t="s">
        <v>29</v>
      </c>
    </row>
    <row r="90" spans="1:14">
      <c r="A90" s="67" t="s">
        <v>224</v>
      </c>
      <c r="B90" s="67" t="s">
        <v>225</v>
      </c>
      <c r="C90" s="67" t="s">
        <v>37</v>
      </c>
      <c r="D90" s="67" t="s">
        <v>17</v>
      </c>
      <c r="E90" s="67" t="s">
        <v>56</v>
      </c>
      <c r="F90" s="67" t="s">
        <v>19</v>
      </c>
      <c r="G90" s="67" t="s">
        <v>50</v>
      </c>
      <c r="H90" s="68">
        <v>35900</v>
      </c>
      <c r="I90" s="69">
        <v>13</v>
      </c>
      <c r="J90" s="70">
        <v>44815</v>
      </c>
      <c r="K90" s="70">
        <v>46512</v>
      </c>
      <c r="L90" s="67" t="s">
        <v>28</v>
      </c>
      <c r="M90" s="70"/>
      <c r="N90" s="67" t="s">
        <v>29</v>
      </c>
    </row>
    <row r="91" spans="1:14">
      <c r="A91" s="67" t="s">
        <v>226</v>
      </c>
      <c r="B91" s="67" t="s">
        <v>227</v>
      </c>
      <c r="C91" s="67" t="s">
        <v>37</v>
      </c>
      <c r="D91" s="67" t="s">
        <v>43</v>
      </c>
      <c r="E91" s="67" t="s">
        <v>38</v>
      </c>
      <c r="F91" s="67" t="s">
        <v>65</v>
      </c>
      <c r="G91" s="67" t="s">
        <v>50</v>
      </c>
      <c r="H91" s="68">
        <v>38300</v>
      </c>
      <c r="I91" s="69">
        <v>24</v>
      </c>
      <c r="J91" s="70">
        <v>45567</v>
      </c>
      <c r="K91" s="70">
        <v>46151</v>
      </c>
      <c r="L91" s="67" t="s">
        <v>21</v>
      </c>
      <c r="M91" s="70">
        <v>46151</v>
      </c>
      <c r="N91" s="67" t="s">
        <v>29</v>
      </c>
    </row>
    <row r="92" spans="1:14">
      <c r="A92" s="67" t="s">
        <v>228</v>
      </c>
      <c r="B92" s="67" t="s">
        <v>229</v>
      </c>
      <c r="C92" s="67" t="s">
        <v>37</v>
      </c>
      <c r="D92" s="67" t="s">
        <v>43</v>
      </c>
      <c r="E92" s="67" t="s">
        <v>49</v>
      </c>
      <c r="F92" s="67" t="s">
        <v>68</v>
      </c>
      <c r="G92" s="67" t="s">
        <v>40</v>
      </c>
      <c r="H92" s="68">
        <v>18700</v>
      </c>
      <c r="I92" s="69">
        <v>19</v>
      </c>
      <c r="J92" s="70">
        <v>45436</v>
      </c>
      <c r="K92" s="70">
        <v>46312</v>
      </c>
      <c r="L92" s="67" t="s">
        <v>28</v>
      </c>
      <c r="M92" s="70"/>
      <c r="N92" s="67" t="s">
        <v>29</v>
      </c>
    </row>
    <row r="93" spans="1:14">
      <c r="A93" s="67" t="s">
        <v>230</v>
      </c>
      <c r="B93" s="67" t="s">
        <v>231</v>
      </c>
      <c r="C93" s="67" t="s">
        <v>25</v>
      </c>
      <c r="D93" s="67" t="s">
        <v>43</v>
      </c>
      <c r="E93" s="67" t="s">
        <v>18</v>
      </c>
      <c r="F93" s="67" t="s">
        <v>39</v>
      </c>
      <c r="G93" s="67" t="s">
        <v>27</v>
      </c>
      <c r="H93" s="68">
        <v>100400</v>
      </c>
      <c r="I93" s="69">
        <v>236</v>
      </c>
      <c r="J93" s="70">
        <v>44977</v>
      </c>
      <c r="K93" s="70">
        <v>46613</v>
      </c>
      <c r="L93" s="67" t="s">
        <v>28</v>
      </c>
      <c r="M93" s="70"/>
      <c r="N93" s="67" t="s">
        <v>62</v>
      </c>
    </row>
    <row r="94" spans="1:14">
      <c r="A94" s="67" t="s">
        <v>232</v>
      </c>
      <c r="B94" s="67" t="s">
        <v>233</v>
      </c>
      <c r="C94" s="67" t="s">
        <v>25</v>
      </c>
      <c r="D94" s="67" t="s">
        <v>43</v>
      </c>
      <c r="E94" s="67" t="s">
        <v>33</v>
      </c>
      <c r="F94" s="67" t="s">
        <v>19</v>
      </c>
      <c r="G94" s="67" t="s">
        <v>74</v>
      </c>
      <c r="H94" s="68">
        <v>41800</v>
      </c>
      <c r="I94" s="69">
        <v>181</v>
      </c>
      <c r="J94" s="70">
        <v>44587</v>
      </c>
      <c r="K94" s="70">
        <v>46616</v>
      </c>
      <c r="L94" s="67" t="s">
        <v>28</v>
      </c>
      <c r="M94" s="70"/>
      <c r="N94" s="67" t="s">
        <v>29</v>
      </c>
    </row>
    <row r="95" spans="1:14">
      <c r="A95" s="67" t="s">
        <v>234</v>
      </c>
      <c r="B95" s="67" t="s">
        <v>235</v>
      </c>
      <c r="C95" s="67" t="s">
        <v>37</v>
      </c>
      <c r="D95" s="67" t="s">
        <v>43</v>
      </c>
      <c r="E95" s="67" t="s">
        <v>53</v>
      </c>
      <c r="F95" s="67" t="s">
        <v>65</v>
      </c>
      <c r="G95" s="67" t="s">
        <v>89</v>
      </c>
      <c r="H95" s="68">
        <v>9400</v>
      </c>
      <c r="I95" s="69">
        <v>34</v>
      </c>
      <c r="J95" s="70">
        <v>44823</v>
      </c>
      <c r="K95" s="70">
        <v>46482</v>
      </c>
      <c r="L95" s="67" t="s">
        <v>28</v>
      </c>
      <c r="M95" s="70"/>
      <c r="N95" s="67" t="s">
        <v>29</v>
      </c>
    </row>
    <row r="96" spans="1:14">
      <c r="A96" s="67" t="s">
        <v>236</v>
      </c>
      <c r="B96" s="67" t="s">
        <v>237</v>
      </c>
      <c r="C96" s="67" t="s">
        <v>25</v>
      </c>
      <c r="D96" s="67" t="s">
        <v>43</v>
      </c>
      <c r="E96" s="67" t="s">
        <v>73</v>
      </c>
      <c r="F96" s="67" t="s">
        <v>68</v>
      </c>
      <c r="G96" s="67" t="s">
        <v>27</v>
      </c>
      <c r="H96" s="68">
        <v>131300</v>
      </c>
      <c r="I96" s="69">
        <v>225</v>
      </c>
      <c r="J96" s="70">
        <v>44704</v>
      </c>
      <c r="K96" s="70">
        <v>46468</v>
      </c>
      <c r="L96" s="67" t="s">
        <v>28</v>
      </c>
      <c r="M96" s="70"/>
      <c r="N96" s="67" t="s">
        <v>62</v>
      </c>
    </row>
    <row r="97" spans="1:14">
      <c r="A97" s="67" t="s">
        <v>238</v>
      </c>
      <c r="B97" s="67" t="s">
        <v>239</v>
      </c>
      <c r="C97" s="67" t="s">
        <v>37</v>
      </c>
      <c r="D97" s="67" t="s">
        <v>43</v>
      </c>
      <c r="E97" s="67" t="s">
        <v>53</v>
      </c>
      <c r="F97" s="67" t="s">
        <v>39</v>
      </c>
      <c r="G97" s="67" t="s">
        <v>50</v>
      </c>
      <c r="H97" s="68">
        <v>18100</v>
      </c>
      <c r="I97" s="69">
        <v>29</v>
      </c>
      <c r="J97" s="70">
        <v>44958</v>
      </c>
      <c r="K97" s="70">
        <v>46316</v>
      </c>
      <c r="L97" s="67" t="s">
        <v>28</v>
      </c>
      <c r="M97" s="70"/>
      <c r="N97" s="67" t="s">
        <v>29</v>
      </c>
    </row>
    <row r="98" spans="1:14">
      <c r="A98" s="67" t="s">
        <v>240</v>
      </c>
      <c r="B98" s="67" t="s">
        <v>241</v>
      </c>
      <c r="C98" s="67" t="s">
        <v>37</v>
      </c>
      <c r="D98" s="67" t="s">
        <v>43</v>
      </c>
      <c r="E98" s="67" t="s">
        <v>73</v>
      </c>
      <c r="F98" s="67" t="s">
        <v>65</v>
      </c>
      <c r="G98" s="67" t="s">
        <v>89</v>
      </c>
      <c r="H98" s="68">
        <v>31800</v>
      </c>
      <c r="I98" s="69">
        <v>34</v>
      </c>
      <c r="J98" s="70">
        <v>44553</v>
      </c>
      <c r="K98" s="70">
        <v>46467</v>
      </c>
      <c r="L98" s="67" t="s">
        <v>28</v>
      </c>
      <c r="M98" s="70"/>
      <c r="N98" s="67" t="s">
        <v>29</v>
      </c>
    </row>
    <row r="99" spans="1:14">
      <c r="A99" s="67" t="s">
        <v>242</v>
      </c>
      <c r="B99" s="67" t="s">
        <v>243</v>
      </c>
      <c r="C99" s="67" t="s">
        <v>16</v>
      </c>
      <c r="D99" s="67" t="s">
        <v>43</v>
      </c>
      <c r="E99" s="67" t="s">
        <v>18</v>
      </c>
      <c r="F99" s="67" t="s">
        <v>61</v>
      </c>
      <c r="G99" s="67" t="s">
        <v>20</v>
      </c>
      <c r="H99" s="68">
        <v>186000</v>
      </c>
      <c r="I99" s="69">
        <v>805</v>
      </c>
      <c r="J99" s="70">
        <v>45014</v>
      </c>
      <c r="K99" s="70">
        <v>46606</v>
      </c>
      <c r="L99" s="67" t="s">
        <v>28</v>
      </c>
      <c r="M99" s="70"/>
      <c r="N99" s="67" t="s">
        <v>29</v>
      </c>
    </row>
    <row r="100" spans="1:14">
      <c r="A100" s="67" t="s">
        <v>244</v>
      </c>
      <c r="B100" s="67" t="s">
        <v>245</v>
      </c>
      <c r="C100" s="67" t="s">
        <v>37</v>
      </c>
      <c r="D100" s="67" t="s">
        <v>17</v>
      </c>
      <c r="E100" s="67" t="s">
        <v>18</v>
      </c>
      <c r="F100" s="67" t="s">
        <v>68</v>
      </c>
      <c r="G100" s="67" t="s">
        <v>50</v>
      </c>
      <c r="H100" s="68">
        <v>10400</v>
      </c>
      <c r="I100" s="69">
        <v>50</v>
      </c>
      <c r="J100" s="70">
        <v>45173</v>
      </c>
      <c r="K100" s="70">
        <v>46612</v>
      </c>
      <c r="L100" s="67" t="s">
        <v>28</v>
      </c>
      <c r="M100" s="70"/>
      <c r="N100" s="67" t="s">
        <v>29</v>
      </c>
    </row>
    <row r="101" spans="1:14">
      <c r="A101" s="67" t="s">
        <v>246</v>
      </c>
      <c r="B101" s="67" t="s">
        <v>247</v>
      </c>
      <c r="C101" s="67" t="s">
        <v>25</v>
      </c>
      <c r="D101" s="67" t="s">
        <v>43</v>
      </c>
      <c r="E101" s="67" t="s">
        <v>73</v>
      </c>
      <c r="F101" s="67" t="s">
        <v>61</v>
      </c>
      <c r="G101" s="67" t="s">
        <v>46</v>
      </c>
      <c r="H101" s="68">
        <v>144400</v>
      </c>
      <c r="I101" s="69">
        <v>58</v>
      </c>
      <c r="J101" s="70">
        <v>44507</v>
      </c>
      <c r="K101" s="70">
        <v>46522</v>
      </c>
      <c r="L101" s="67" t="s">
        <v>28</v>
      </c>
      <c r="M101" s="70"/>
      <c r="N101" s="67" t="s">
        <v>62</v>
      </c>
    </row>
    <row r="102" spans="1:14">
      <c r="A102" s="67" t="s">
        <v>248</v>
      </c>
      <c r="B102" s="67" t="s">
        <v>249</v>
      </c>
      <c r="C102" s="67" t="s">
        <v>37</v>
      </c>
      <c r="D102" s="67" t="s">
        <v>43</v>
      </c>
      <c r="E102" s="67" t="s">
        <v>49</v>
      </c>
      <c r="F102" s="67" t="s">
        <v>34</v>
      </c>
      <c r="G102" s="67" t="s">
        <v>40</v>
      </c>
      <c r="H102" s="68">
        <v>14000</v>
      </c>
      <c r="I102" s="69">
        <v>43</v>
      </c>
      <c r="J102" s="70">
        <v>44565</v>
      </c>
      <c r="K102" s="70">
        <v>46440</v>
      </c>
      <c r="L102" s="67" t="s">
        <v>28</v>
      </c>
      <c r="M102" s="70"/>
      <c r="N102" s="67" t="s">
        <v>29</v>
      </c>
    </row>
    <row r="103" spans="1:14">
      <c r="A103" s="67" t="s">
        <v>250</v>
      </c>
      <c r="B103" s="67" t="s">
        <v>251</v>
      </c>
      <c r="C103" s="67" t="s">
        <v>25</v>
      </c>
      <c r="D103" s="67" t="s">
        <v>32</v>
      </c>
      <c r="E103" s="67" t="s">
        <v>49</v>
      </c>
      <c r="F103" s="67" t="s">
        <v>39</v>
      </c>
      <c r="G103" s="67" t="s">
        <v>27</v>
      </c>
      <c r="H103" s="68">
        <v>89700</v>
      </c>
      <c r="I103" s="69">
        <v>280</v>
      </c>
      <c r="J103" s="70">
        <v>45311</v>
      </c>
      <c r="K103" s="70">
        <v>46653</v>
      </c>
      <c r="L103" s="67" t="s">
        <v>28</v>
      </c>
      <c r="M103" s="70"/>
      <c r="N103" s="67" t="s">
        <v>29</v>
      </c>
    </row>
    <row r="104" spans="1:14">
      <c r="A104" s="67" t="s">
        <v>252</v>
      </c>
      <c r="B104" s="67" t="s">
        <v>253</v>
      </c>
      <c r="C104" s="67" t="s">
        <v>37</v>
      </c>
      <c r="D104" s="67" t="s">
        <v>26</v>
      </c>
      <c r="E104" s="67" t="s">
        <v>38</v>
      </c>
      <c r="F104" s="67" t="s">
        <v>61</v>
      </c>
      <c r="G104" s="67" t="s">
        <v>40</v>
      </c>
      <c r="H104" s="68">
        <v>15200</v>
      </c>
      <c r="I104" s="69">
        <v>22</v>
      </c>
      <c r="J104" s="70">
        <v>45301</v>
      </c>
      <c r="K104" s="70">
        <v>46451</v>
      </c>
      <c r="L104" s="67" t="s">
        <v>28</v>
      </c>
      <c r="M104" s="70"/>
      <c r="N104" s="67" t="s">
        <v>29</v>
      </c>
    </row>
    <row r="105" spans="1:14">
      <c r="A105" s="67" t="s">
        <v>254</v>
      </c>
      <c r="B105" s="67" t="s">
        <v>255</v>
      </c>
      <c r="C105" s="67" t="s">
        <v>25</v>
      </c>
      <c r="D105" s="67" t="s">
        <v>43</v>
      </c>
      <c r="E105" s="67" t="s">
        <v>18</v>
      </c>
      <c r="F105" s="67" t="s">
        <v>65</v>
      </c>
      <c r="G105" s="67" t="s">
        <v>74</v>
      </c>
      <c r="H105" s="68">
        <v>119100</v>
      </c>
      <c r="I105" s="69">
        <v>184</v>
      </c>
      <c r="J105" s="70">
        <v>44766</v>
      </c>
      <c r="K105" s="70">
        <v>46364</v>
      </c>
      <c r="L105" s="67" t="s">
        <v>28</v>
      </c>
      <c r="M105" s="70"/>
      <c r="N105" s="67" t="s">
        <v>29</v>
      </c>
    </row>
    <row r="106" spans="1:14">
      <c r="A106" s="67" t="s">
        <v>256</v>
      </c>
      <c r="B106" s="67" t="s">
        <v>257</v>
      </c>
      <c r="C106" s="67" t="s">
        <v>25</v>
      </c>
      <c r="D106" s="67" t="s">
        <v>43</v>
      </c>
      <c r="E106" s="67" t="s">
        <v>38</v>
      </c>
      <c r="F106" s="67" t="s">
        <v>39</v>
      </c>
      <c r="G106" s="67" t="s">
        <v>46</v>
      </c>
      <c r="H106" s="68">
        <v>95300</v>
      </c>
      <c r="I106" s="69">
        <v>272</v>
      </c>
      <c r="J106" s="70">
        <v>44941</v>
      </c>
      <c r="K106" s="70">
        <v>46646</v>
      </c>
      <c r="L106" s="67" t="s">
        <v>28</v>
      </c>
      <c r="M106" s="70"/>
      <c r="N106" s="67" t="s">
        <v>29</v>
      </c>
    </row>
    <row r="107" spans="1:14">
      <c r="A107" s="67" t="s">
        <v>258</v>
      </c>
      <c r="B107" s="67" t="s">
        <v>259</v>
      </c>
      <c r="C107" s="67" t="s">
        <v>16</v>
      </c>
      <c r="D107" s="67" t="s">
        <v>26</v>
      </c>
      <c r="E107" s="67" t="s">
        <v>18</v>
      </c>
      <c r="F107" s="67" t="s">
        <v>39</v>
      </c>
      <c r="G107" s="67" t="s">
        <v>80</v>
      </c>
      <c r="H107" s="68">
        <v>206300</v>
      </c>
      <c r="I107" s="69">
        <v>820</v>
      </c>
      <c r="J107" s="70">
        <v>45187</v>
      </c>
      <c r="K107" s="70">
        <v>46563</v>
      </c>
      <c r="L107" s="67" t="s">
        <v>28</v>
      </c>
      <c r="M107" s="70"/>
      <c r="N107" s="67" t="s">
        <v>29</v>
      </c>
    </row>
    <row r="108" spans="1:14">
      <c r="A108" s="67" t="s">
        <v>260</v>
      </c>
      <c r="B108" s="67" t="s">
        <v>261</v>
      </c>
      <c r="C108" s="67" t="s">
        <v>16</v>
      </c>
      <c r="D108" s="67" t="s">
        <v>17</v>
      </c>
      <c r="E108" s="67" t="s">
        <v>53</v>
      </c>
      <c r="F108" s="67" t="s">
        <v>34</v>
      </c>
      <c r="G108" s="67" t="s">
        <v>20</v>
      </c>
      <c r="H108" s="68">
        <v>170500</v>
      </c>
      <c r="I108" s="69">
        <v>1381</v>
      </c>
      <c r="J108" s="70">
        <v>44617</v>
      </c>
      <c r="K108" s="70">
        <v>46607</v>
      </c>
      <c r="L108" s="67" t="s">
        <v>28</v>
      </c>
      <c r="M108" s="70"/>
      <c r="N108" s="67" t="s">
        <v>22</v>
      </c>
    </row>
    <row r="109" spans="1:14">
      <c r="A109" s="67" t="s">
        <v>262</v>
      </c>
      <c r="B109" s="67" t="s">
        <v>263</v>
      </c>
      <c r="C109" s="67" t="s">
        <v>25</v>
      </c>
      <c r="D109" s="67" t="s">
        <v>43</v>
      </c>
      <c r="E109" s="67" t="s">
        <v>56</v>
      </c>
      <c r="F109" s="67" t="s">
        <v>68</v>
      </c>
      <c r="G109" s="67" t="s">
        <v>46</v>
      </c>
      <c r="H109" s="68">
        <v>72700</v>
      </c>
      <c r="I109" s="69">
        <v>68</v>
      </c>
      <c r="J109" s="70">
        <v>44778</v>
      </c>
      <c r="K109" s="70">
        <v>46446</v>
      </c>
      <c r="L109" s="67" t="s">
        <v>28</v>
      </c>
      <c r="M109" s="70"/>
      <c r="N109" s="67" t="s">
        <v>29</v>
      </c>
    </row>
    <row r="110" spans="1:14">
      <c r="A110" s="67" t="s">
        <v>264</v>
      </c>
      <c r="B110" s="67" t="s">
        <v>265</v>
      </c>
      <c r="C110" s="67" t="s">
        <v>16</v>
      </c>
      <c r="D110" s="67" t="s">
        <v>43</v>
      </c>
      <c r="E110" s="67" t="s">
        <v>73</v>
      </c>
      <c r="F110" s="67" t="s">
        <v>19</v>
      </c>
      <c r="G110" s="67" t="s">
        <v>20</v>
      </c>
      <c r="H110" s="68">
        <v>293600</v>
      </c>
      <c r="I110" s="69">
        <v>1155</v>
      </c>
      <c r="J110" s="70">
        <v>45242</v>
      </c>
      <c r="K110" s="70">
        <v>46474</v>
      </c>
      <c r="L110" s="67" t="s">
        <v>28</v>
      </c>
      <c r="M110" s="70"/>
      <c r="N110" s="67" t="s">
        <v>29</v>
      </c>
    </row>
    <row r="111" spans="1:14">
      <c r="A111" s="67" t="s">
        <v>266</v>
      </c>
      <c r="B111" s="67" t="s">
        <v>267</v>
      </c>
      <c r="C111" s="67" t="s">
        <v>25</v>
      </c>
      <c r="D111" s="67" t="s">
        <v>26</v>
      </c>
      <c r="E111" s="67" t="s">
        <v>56</v>
      </c>
      <c r="F111" s="67" t="s">
        <v>39</v>
      </c>
      <c r="G111" s="67" t="s">
        <v>46</v>
      </c>
      <c r="H111" s="68">
        <v>149600</v>
      </c>
      <c r="I111" s="69">
        <v>169</v>
      </c>
      <c r="J111" s="70">
        <v>45568</v>
      </c>
      <c r="K111" s="70">
        <v>46465</v>
      </c>
      <c r="L111" s="67" t="s">
        <v>28</v>
      </c>
      <c r="M111" s="70"/>
      <c r="N111" s="67" t="s">
        <v>29</v>
      </c>
    </row>
    <row r="112" spans="1:14">
      <c r="A112" s="67" t="s">
        <v>268</v>
      </c>
      <c r="B112" s="67" t="s">
        <v>269</v>
      </c>
      <c r="C112" s="67" t="s">
        <v>25</v>
      </c>
      <c r="D112" s="67" t="s">
        <v>32</v>
      </c>
      <c r="E112" s="67" t="s">
        <v>33</v>
      </c>
      <c r="F112" s="67" t="s">
        <v>61</v>
      </c>
      <c r="G112" s="67" t="s">
        <v>74</v>
      </c>
      <c r="H112" s="68">
        <v>40900</v>
      </c>
      <c r="I112" s="69">
        <v>77</v>
      </c>
      <c r="J112" s="70">
        <v>45173</v>
      </c>
      <c r="K112" s="70">
        <v>46266</v>
      </c>
      <c r="L112" s="67" t="s">
        <v>21</v>
      </c>
      <c r="M112" s="70">
        <v>46266</v>
      </c>
      <c r="N112" s="67" t="s">
        <v>62</v>
      </c>
    </row>
    <row r="113" spans="1:14">
      <c r="A113" s="67" t="s">
        <v>270</v>
      </c>
      <c r="B113" s="67" t="s">
        <v>271</v>
      </c>
      <c r="C113" s="67" t="s">
        <v>37</v>
      </c>
      <c r="D113" s="67" t="s">
        <v>43</v>
      </c>
      <c r="E113" s="67" t="s">
        <v>18</v>
      </c>
      <c r="F113" s="67" t="s">
        <v>34</v>
      </c>
      <c r="G113" s="67" t="s">
        <v>89</v>
      </c>
      <c r="H113" s="68">
        <v>24100</v>
      </c>
      <c r="I113" s="69">
        <v>58</v>
      </c>
      <c r="J113" s="70">
        <v>44728</v>
      </c>
      <c r="K113" s="70">
        <v>46585</v>
      </c>
      <c r="L113" s="67" t="s">
        <v>28</v>
      </c>
      <c r="M113" s="70"/>
      <c r="N113" s="67" t="s">
        <v>29</v>
      </c>
    </row>
    <row r="114" spans="1:14">
      <c r="A114" s="67" t="s">
        <v>272</v>
      </c>
      <c r="B114" s="67" t="s">
        <v>273</v>
      </c>
      <c r="C114" s="67" t="s">
        <v>37</v>
      </c>
      <c r="D114" s="67" t="s">
        <v>32</v>
      </c>
      <c r="E114" s="67" t="s">
        <v>73</v>
      </c>
      <c r="F114" s="67" t="s">
        <v>39</v>
      </c>
      <c r="G114" s="67" t="s">
        <v>50</v>
      </c>
      <c r="H114" s="68">
        <v>27300</v>
      </c>
      <c r="I114" s="69">
        <v>35</v>
      </c>
      <c r="J114" s="70">
        <v>45131</v>
      </c>
      <c r="K114" s="70">
        <v>46471</v>
      </c>
      <c r="L114" s="67" t="s">
        <v>28</v>
      </c>
      <c r="M114" s="70"/>
      <c r="N114" s="67" t="s">
        <v>29</v>
      </c>
    </row>
    <row r="115" spans="1:14">
      <c r="A115" s="67" t="s">
        <v>274</v>
      </c>
      <c r="B115" s="67" t="s">
        <v>275</v>
      </c>
      <c r="C115" s="67" t="s">
        <v>16</v>
      </c>
      <c r="D115" s="67" t="s">
        <v>17</v>
      </c>
      <c r="E115" s="67" t="s">
        <v>73</v>
      </c>
      <c r="F115" s="67" t="s">
        <v>39</v>
      </c>
      <c r="G115" s="67" t="s">
        <v>80</v>
      </c>
      <c r="H115" s="68">
        <v>595800</v>
      </c>
      <c r="I115" s="69">
        <v>812</v>
      </c>
      <c r="J115" s="70">
        <v>44654</v>
      </c>
      <c r="K115" s="70">
        <v>46561</v>
      </c>
      <c r="L115" s="67" t="s">
        <v>28</v>
      </c>
      <c r="M115" s="70"/>
      <c r="N115" s="67" t="s">
        <v>22</v>
      </c>
    </row>
    <row r="116" spans="1:14">
      <c r="A116" s="67" t="s">
        <v>276</v>
      </c>
      <c r="B116" s="67" t="s">
        <v>277</v>
      </c>
      <c r="C116" s="67" t="s">
        <v>25</v>
      </c>
      <c r="D116" s="67" t="s">
        <v>43</v>
      </c>
      <c r="E116" s="67" t="s">
        <v>77</v>
      </c>
      <c r="F116" s="67" t="s">
        <v>19</v>
      </c>
      <c r="G116" s="67" t="s">
        <v>46</v>
      </c>
      <c r="H116" s="68">
        <v>127600</v>
      </c>
      <c r="I116" s="69">
        <v>235</v>
      </c>
      <c r="J116" s="70">
        <v>45861</v>
      </c>
      <c r="K116" s="70">
        <v>46486</v>
      </c>
      <c r="L116" s="67" t="s">
        <v>28</v>
      </c>
      <c r="M116" s="70"/>
      <c r="N116" s="67" t="s">
        <v>29</v>
      </c>
    </row>
    <row r="117" spans="1:14">
      <c r="A117" s="67" t="s">
        <v>278</v>
      </c>
      <c r="B117" s="67" t="s">
        <v>279</v>
      </c>
      <c r="C117" s="67" t="s">
        <v>37</v>
      </c>
      <c r="D117" s="67" t="s">
        <v>43</v>
      </c>
      <c r="E117" s="67" t="s">
        <v>53</v>
      </c>
      <c r="F117" s="67" t="s">
        <v>19</v>
      </c>
      <c r="G117" s="67" t="s">
        <v>89</v>
      </c>
      <c r="H117" s="68">
        <v>13500</v>
      </c>
      <c r="I117" s="69">
        <v>50</v>
      </c>
      <c r="J117" s="70">
        <v>44711</v>
      </c>
      <c r="K117" s="70">
        <v>46593</v>
      </c>
      <c r="L117" s="67" t="s">
        <v>28</v>
      </c>
      <c r="M117" s="70"/>
      <c r="N117" s="67" t="s">
        <v>29</v>
      </c>
    </row>
    <row r="118" spans="1:14">
      <c r="A118" s="67" t="s">
        <v>280</v>
      </c>
      <c r="B118" s="67" t="s">
        <v>281</v>
      </c>
      <c r="C118" s="67" t="s">
        <v>37</v>
      </c>
      <c r="D118" s="67" t="s">
        <v>43</v>
      </c>
      <c r="E118" s="67" t="s">
        <v>73</v>
      </c>
      <c r="F118" s="67" t="s">
        <v>65</v>
      </c>
      <c r="G118" s="67" t="s">
        <v>50</v>
      </c>
      <c r="H118" s="68">
        <v>21200</v>
      </c>
      <c r="I118" s="69">
        <v>23</v>
      </c>
      <c r="J118" s="70">
        <v>45670</v>
      </c>
      <c r="K118" s="70">
        <v>46395</v>
      </c>
      <c r="L118" s="67" t="s">
        <v>28</v>
      </c>
      <c r="M118" s="70"/>
      <c r="N118" s="67" t="s">
        <v>29</v>
      </c>
    </row>
    <row r="119" spans="1:14">
      <c r="A119" s="67" t="s">
        <v>282</v>
      </c>
      <c r="B119" s="67" t="s">
        <v>283</v>
      </c>
      <c r="C119" s="67" t="s">
        <v>37</v>
      </c>
      <c r="D119" s="67" t="s">
        <v>32</v>
      </c>
      <c r="E119" s="67" t="s">
        <v>77</v>
      </c>
      <c r="F119" s="67" t="s">
        <v>61</v>
      </c>
      <c r="G119" s="67" t="s">
        <v>50</v>
      </c>
      <c r="H119" s="68">
        <v>22700</v>
      </c>
      <c r="I119" s="69">
        <v>44</v>
      </c>
      <c r="J119" s="70">
        <v>45230</v>
      </c>
      <c r="K119" s="70">
        <v>46637</v>
      </c>
      <c r="L119" s="67" t="s">
        <v>28</v>
      </c>
      <c r="M119" s="70"/>
      <c r="N119" s="67" t="s">
        <v>29</v>
      </c>
    </row>
    <row r="120" spans="1:14">
      <c r="A120" s="67" t="s">
        <v>284</v>
      </c>
      <c r="B120" s="67" t="s">
        <v>285</v>
      </c>
      <c r="C120" s="67" t="s">
        <v>25</v>
      </c>
      <c r="D120" s="67" t="s">
        <v>43</v>
      </c>
      <c r="E120" s="67" t="s">
        <v>18</v>
      </c>
      <c r="F120" s="67" t="s">
        <v>39</v>
      </c>
      <c r="G120" s="67" t="s">
        <v>46</v>
      </c>
      <c r="H120" s="68">
        <v>124800</v>
      </c>
      <c r="I120" s="69">
        <v>230</v>
      </c>
      <c r="J120" s="70">
        <v>44646</v>
      </c>
      <c r="K120" s="70">
        <v>46545</v>
      </c>
      <c r="L120" s="67" t="s">
        <v>28</v>
      </c>
      <c r="M120" s="70"/>
      <c r="N120" s="67" t="s">
        <v>62</v>
      </c>
    </row>
    <row r="121" spans="1:14">
      <c r="A121" s="67" t="s">
        <v>286</v>
      </c>
      <c r="B121" s="67" t="s">
        <v>287</v>
      </c>
      <c r="C121" s="67" t="s">
        <v>37</v>
      </c>
      <c r="D121" s="67" t="s">
        <v>43</v>
      </c>
      <c r="E121" s="67" t="s">
        <v>77</v>
      </c>
      <c r="F121" s="67" t="s">
        <v>61</v>
      </c>
      <c r="G121" s="67" t="s">
        <v>50</v>
      </c>
      <c r="H121" s="68">
        <v>17300</v>
      </c>
      <c r="I121" s="69">
        <v>28</v>
      </c>
      <c r="J121" s="70">
        <v>44510</v>
      </c>
      <c r="K121" s="70">
        <v>46576</v>
      </c>
      <c r="L121" s="67" t="s">
        <v>28</v>
      </c>
      <c r="M121" s="70"/>
      <c r="N121" s="67" t="s">
        <v>29</v>
      </c>
    </row>
    <row r="122" spans="1:14">
      <c r="A122" s="67" t="s">
        <v>288</v>
      </c>
      <c r="B122" s="67" t="s">
        <v>289</v>
      </c>
      <c r="C122" s="67" t="s">
        <v>16</v>
      </c>
      <c r="D122" s="67" t="s">
        <v>43</v>
      </c>
      <c r="E122" s="67" t="s">
        <v>53</v>
      </c>
      <c r="F122" s="67" t="s">
        <v>68</v>
      </c>
      <c r="G122" s="67" t="s">
        <v>20</v>
      </c>
      <c r="H122" s="68">
        <v>437100</v>
      </c>
      <c r="I122" s="69">
        <v>307</v>
      </c>
      <c r="J122" s="70">
        <v>45672</v>
      </c>
      <c r="K122" s="70">
        <v>46613</v>
      </c>
      <c r="L122" s="67" t="s">
        <v>28</v>
      </c>
      <c r="M122" s="70"/>
      <c r="N122" s="67" t="s">
        <v>62</v>
      </c>
    </row>
    <row r="123" spans="1:14">
      <c r="A123" s="67" t="s">
        <v>290</v>
      </c>
      <c r="B123" s="67" t="s">
        <v>291</v>
      </c>
      <c r="C123" s="67" t="s">
        <v>25</v>
      </c>
      <c r="D123" s="67" t="s">
        <v>26</v>
      </c>
      <c r="E123" s="67" t="s">
        <v>33</v>
      </c>
      <c r="F123" s="67" t="s">
        <v>65</v>
      </c>
      <c r="G123" s="67" t="s">
        <v>74</v>
      </c>
      <c r="H123" s="68">
        <v>61900</v>
      </c>
      <c r="I123" s="69">
        <v>296</v>
      </c>
      <c r="J123" s="70">
        <v>45572</v>
      </c>
      <c r="K123" s="70">
        <v>46506</v>
      </c>
      <c r="L123" s="67" t="s">
        <v>28</v>
      </c>
      <c r="M123" s="70"/>
      <c r="N123" s="67" t="s">
        <v>29</v>
      </c>
    </row>
    <row r="124" spans="1:14">
      <c r="A124" s="67" t="s">
        <v>292</v>
      </c>
      <c r="B124" s="67" t="s">
        <v>293</v>
      </c>
      <c r="C124" s="67" t="s">
        <v>25</v>
      </c>
      <c r="D124" s="67" t="s">
        <v>26</v>
      </c>
      <c r="E124" s="67" t="s">
        <v>53</v>
      </c>
      <c r="F124" s="67" t="s">
        <v>65</v>
      </c>
      <c r="G124" s="67" t="s">
        <v>46</v>
      </c>
      <c r="H124" s="68">
        <v>60500</v>
      </c>
      <c r="I124" s="69">
        <v>241</v>
      </c>
      <c r="J124" s="70">
        <v>45819</v>
      </c>
      <c r="K124" s="70">
        <v>46387</v>
      </c>
      <c r="L124" s="67" t="s">
        <v>28</v>
      </c>
      <c r="M124" s="70"/>
      <c r="N124" s="67" t="s">
        <v>29</v>
      </c>
    </row>
    <row r="125" spans="1:14">
      <c r="A125" s="67" t="s">
        <v>294</v>
      </c>
      <c r="B125" s="67" t="s">
        <v>295</v>
      </c>
      <c r="C125" s="67" t="s">
        <v>37</v>
      </c>
      <c r="D125" s="67" t="s">
        <v>43</v>
      </c>
      <c r="E125" s="67" t="s">
        <v>49</v>
      </c>
      <c r="F125" s="67" t="s">
        <v>61</v>
      </c>
      <c r="G125" s="67" t="s">
        <v>50</v>
      </c>
      <c r="H125" s="68">
        <v>31400</v>
      </c>
      <c r="I125" s="69">
        <v>51</v>
      </c>
      <c r="J125" s="70">
        <v>44863</v>
      </c>
      <c r="K125" s="70">
        <v>46537</v>
      </c>
      <c r="L125" s="67" t="s">
        <v>28</v>
      </c>
      <c r="M125" s="70"/>
      <c r="N125" s="67" t="s">
        <v>29</v>
      </c>
    </row>
    <row r="126" spans="1:14">
      <c r="A126" s="67" t="s">
        <v>296</v>
      </c>
      <c r="B126" s="67" t="s">
        <v>297</v>
      </c>
      <c r="C126" s="67" t="s">
        <v>16</v>
      </c>
      <c r="D126" s="67" t="s">
        <v>26</v>
      </c>
      <c r="E126" s="67" t="s">
        <v>77</v>
      </c>
      <c r="F126" s="67" t="s">
        <v>19</v>
      </c>
      <c r="G126" s="67" t="s">
        <v>80</v>
      </c>
      <c r="H126" s="68">
        <v>189000</v>
      </c>
      <c r="I126" s="69">
        <v>395</v>
      </c>
      <c r="J126" s="70">
        <v>45536</v>
      </c>
      <c r="K126" s="70">
        <v>46610</v>
      </c>
      <c r="L126" s="67" t="s">
        <v>28</v>
      </c>
      <c r="M126" s="70"/>
      <c r="N126" s="67" t="s">
        <v>29</v>
      </c>
    </row>
    <row r="127" spans="1:14">
      <c r="A127" s="67" t="s">
        <v>298</v>
      </c>
      <c r="B127" s="67" t="s">
        <v>299</v>
      </c>
      <c r="C127" s="67" t="s">
        <v>16</v>
      </c>
      <c r="D127" s="67" t="s">
        <v>26</v>
      </c>
      <c r="E127" s="67" t="s">
        <v>53</v>
      </c>
      <c r="F127" s="67" t="s">
        <v>61</v>
      </c>
      <c r="G127" s="67" t="s">
        <v>80</v>
      </c>
      <c r="H127" s="68">
        <v>461700</v>
      </c>
      <c r="I127" s="69">
        <v>327</v>
      </c>
      <c r="J127" s="70">
        <v>45349</v>
      </c>
      <c r="K127" s="70">
        <v>46466</v>
      </c>
      <c r="L127" s="67" t="s">
        <v>28</v>
      </c>
      <c r="M127" s="70"/>
      <c r="N127" s="67" t="s">
        <v>22</v>
      </c>
    </row>
    <row r="128" spans="1:14">
      <c r="A128" s="67" t="s">
        <v>300</v>
      </c>
      <c r="B128" s="67" t="s">
        <v>301</v>
      </c>
      <c r="C128" s="67" t="s">
        <v>25</v>
      </c>
      <c r="D128" s="67" t="s">
        <v>43</v>
      </c>
      <c r="E128" s="67" t="s">
        <v>38</v>
      </c>
      <c r="F128" s="67" t="s">
        <v>65</v>
      </c>
      <c r="G128" s="67" t="s">
        <v>27</v>
      </c>
      <c r="H128" s="68">
        <v>90000</v>
      </c>
      <c r="I128" s="69">
        <v>205</v>
      </c>
      <c r="J128" s="70">
        <v>45291</v>
      </c>
      <c r="K128" s="70">
        <v>46486</v>
      </c>
      <c r="L128" s="67" t="s">
        <v>28</v>
      </c>
      <c r="M128" s="70"/>
      <c r="N128" s="67" t="s">
        <v>29</v>
      </c>
    </row>
    <row r="129" spans="1:14">
      <c r="A129" s="67" t="s">
        <v>302</v>
      </c>
      <c r="B129" s="67" t="s">
        <v>303</v>
      </c>
      <c r="C129" s="67" t="s">
        <v>37</v>
      </c>
      <c r="D129" s="67" t="s">
        <v>26</v>
      </c>
      <c r="E129" s="67" t="s">
        <v>49</v>
      </c>
      <c r="F129" s="67" t="s">
        <v>19</v>
      </c>
      <c r="G129" s="67" t="s">
        <v>89</v>
      </c>
      <c r="H129" s="68">
        <v>24900</v>
      </c>
      <c r="I129" s="69">
        <v>33</v>
      </c>
      <c r="J129" s="70">
        <v>45389</v>
      </c>
      <c r="K129" s="70">
        <v>46646</v>
      </c>
      <c r="L129" s="67" t="s">
        <v>28</v>
      </c>
      <c r="M129" s="70"/>
      <c r="N129" s="67" t="s">
        <v>29</v>
      </c>
    </row>
    <row r="130" spans="1:14">
      <c r="A130" s="67" t="s">
        <v>304</v>
      </c>
      <c r="B130" s="67" t="s">
        <v>305</v>
      </c>
      <c r="C130" s="67" t="s">
        <v>25</v>
      </c>
      <c r="D130" s="67" t="s">
        <v>32</v>
      </c>
      <c r="E130" s="67" t="s">
        <v>33</v>
      </c>
      <c r="F130" s="67" t="s">
        <v>34</v>
      </c>
      <c r="G130" s="67" t="s">
        <v>74</v>
      </c>
      <c r="H130" s="68">
        <v>89000</v>
      </c>
      <c r="I130" s="69">
        <v>64</v>
      </c>
      <c r="J130" s="70">
        <v>45224</v>
      </c>
      <c r="K130" s="70">
        <v>46024</v>
      </c>
      <c r="L130" s="67" t="s">
        <v>21</v>
      </c>
      <c r="M130" s="70">
        <v>46024</v>
      </c>
      <c r="N130" s="67" t="s">
        <v>29</v>
      </c>
    </row>
    <row r="131" spans="1:14">
      <c r="A131" s="67" t="s">
        <v>306</v>
      </c>
      <c r="B131" s="67" t="s">
        <v>307</v>
      </c>
      <c r="C131" s="67" t="s">
        <v>25</v>
      </c>
      <c r="D131" s="67" t="s">
        <v>43</v>
      </c>
      <c r="E131" s="67" t="s">
        <v>56</v>
      </c>
      <c r="F131" s="67" t="s">
        <v>19</v>
      </c>
      <c r="G131" s="67" t="s">
        <v>27</v>
      </c>
      <c r="H131" s="68">
        <v>45000</v>
      </c>
      <c r="I131" s="69">
        <v>138</v>
      </c>
      <c r="J131" s="70">
        <v>45851</v>
      </c>
      <c r="K131" s="70">
        <v>46500</v>
      </c>
      <c r="L131" s="67" t="s">
        <v>28</v>
      </c>
      <c r="M131" s="70"/>
      <c r="N131" s="67" t="s">
        <v>29</v>
      </c>
    </row>
    <row r="132" spans="1:14">
      <c r="A132" s="67" t="s">
        <v>308</v>
      </c>
      <c r="B132" s="67" t="s">
        <v>309</v>
      </c>
      <c r="C132" s="67" t="s">
        <v>25</v>
      </c>
      <c r="D132" s="67" t="s">
        <v>32</v>
      </c>
      <c r="E132" s="67" t="s">
        <v>77</v>
      </c>
      <c r="F132" s="67" t="s">
        <v>61</v>
      </c>
      <c r="G132" s="67" t="s">
        <v>46</v>
      </c>
      <c r="H132" s="68">
        <v>89300</v>
      </c>
      <c r="I132" s="69">
        <v>284</v>
      </c>
      <c r="J132" s="70">
        <v>45618</v>
      </c>
      <c r="K132" s="70">
        <v>46626</v>
      </c>
      <c r="L132" s="67" t="s">
        <v>28</v>
      </c>
      <c r="M132" s="70"/>
      <c r="N132" s="67" t="s">
        <v>29</v>
      </c>
    </row>
    <row r="133" spans="1:14">
      <c r="A133" s="67" t="s">
        <v>310</v>
      </c>
      <c r="B133" s="67" t="s">
        <v>311</v>
      </c>
      <c r="C133" s="67" t="s">
        <v>25</v>
      </c>
      <c r="D133" s="67" t="s">
        <v>32</v>
      </c>
      <c r="E133" s="67" t="s">
        <v>38</v>
      </c>
      <c r="F133" s="67" t="s">
        <v>68</v>
      </c>
      <c r="G133" s="67" t="s">
        <v>27</v>
      </c>
      <c r="H133" s="68">
        <v>131800</v>
      </c>
      <c r="I133" s="69">
        <v>243</v>
      </c>
      <c r="J133" s="70">
        <v>45183</v>
      </c>
      <c r="K133" s="70">
        <v>46358</v>
      </c>
      <c r="L133" s="67" t="s">
        <v>28</v>
      </c>
      <c r="M133" s="70"/>
      <c r="N133" s="67" t="s">
        <v>62</v>
      </c>
    </row>
    <row r="134" spans="1:14">
      <c r="A134" s="67" t="s">
        <v>312</v>
      </c>
      <c r="B134" s="67" t="s">
        <v>313</v>
      </c>
      <c r="C134" s="67" t="s">
        <v>25</v>
      </c>
      <c r="D134" s="67" t="s">
        <v>43</v>
      </c>
      <c r="E134" s="67" t="s">
        <v>49</v>
      </c>
      <c r="F134" s="67" t="s">
        <v>34</v>
      </c>
      <c r="G134" s="67" t="s">
        <v>74</v>
      </c>
      <c r="H134" s="68">
        <v>86100</v>
      </c>
      <c r="I134" s="69">
        <v>246</v>
      </c>
      <c r="J134" s="70">
        <v>45389</v>
      </c>
      <c r="K134" s="70">
        <v>46533</v>
      </c>
      <c r="L134" s="67" t="s">
        <v>28</v>
      </c>
      <c r="M134" s="70"/>
      <c r="N134" s="67" t="s">
        <v>29</v>
      </c>
    </row>
    <row r="135" spans="1:14">
      <c r="A135" s="67" t="s">
        <v>314</v>
      </c>
      <c r="B135" s="67" t="s">
        <v>315</v>
      </c>
      <c r="C135" s="67" t="s">
        <v>37</v>
      </c>
      <c r="D135" s="67" t="s">
        <v>26</v>
      </c>
      <c r="E135" s="67" t="s">
        <v>56</v>
      </c>
      <c r="F135" s="67" t="s">
        <v>68</v>
      </c>
      <c r="G135" s="67" t="s">
        <v>50</v>
      </c>
      <c r="H135" s="68">
        <v>20900</v>
      </c>
      <c r="I135" s="69">
        <v>24</v>
      </c>
      <c r="J135" s="70">
        <v>44519</v>
      </c>
      <c r="K135" s="70">
        <v>46658</v>
      </c>
      <c r="L135" s="67" t="s">
        <v>28</v>
      </c>
      <c r="M135" s="70"/>
      <c r="N135" s="67" t="s">
        <v>29</v>
      </c>
    </row>
    <row r="136" spans="1:14">
      <c r="A136" s="67" t="s">
        <v>316</v>
      </c>
      <c r="B136" s="67" t="s">
        <v>317</v>
      </c>
      <c r="C136" s="67" t="s">
        <v>37</v>
      </c>
      <c r="D136" s="67" t="s">
        <v>43</v>
      </c>
      <c r="E136" s="67" t="s">
        <v>38</v>
      </c>
      <c r="F136" s="67" t="s">
        <v>68</v>
      </c>
      <c r="G136" s="67" t="s">
        <v>40</v>
      </c>
      <c r="H136" s="68">
        <v>21700</v>
      </c>
      <c r="I136" s="69">
        <v>41</v>
      </c>
      <c r="J136" s="70">
        <v>45049</v>
      </c>
      <c r="K136" s="70">
        <v>46451</v>
      </c>
      <c r="L136" s="67" t="s">
        <v>28</v>
      </c>
      <c r="M136" s="70"/>
      <c r="N136" s="67" t="s">
        <v>29</v>
      </c>
    </row>
    <row r="137" spans="1:14">
      <c r="A137" s="67" t="s">
        <v>318</v>
      </c>
      <c r="B137" s="67" t="s">
        <v>319</v>
      </c>
      <c r="C137" s="67" t="s">
        <v>25</v>
      </c>
      <c r="D137" s="67" t="s">
        <v>43</v>
      </c>
      <c r="E137" s="67" t="s">
        <v>33</v>
      </c>
      <c r="F137" s="67" t="s">
        <v>39</v>
      </c>
      <c r="G137" s="67" t="s">
        <v>27</v>
      </c>
      <c r="H137" s="68">
        <v>73100</v>
      </c>
      <c r="I137" s="69">
        <v>231</v>
      </c>
      <c r="J137" s="70">
        <v>45059</v>
      </c>
      <c r="K137" s="70">
        <v>46374</v>
      </c>
      <c r="L137" s="67" t="s">
        <v>28</v>
      </c>
      <c r="M137" s="70"/>
      <c r="N137" s="67" t="s">
        <v>29</v>
      </c>
    </row>
    <row r="138" spans="1:14">
      <c r="A138" s="67" t="s">
        <v>320</v>
      </c>
      <c r="B138" s="67" t="s">
        <v>321</v>
      </c>
      <c r="C138" s="67" t="s">
        <v>25</v>
      </c>
      <c r="D138" s="67" t="s">
        <v>43</v>
      </c>
      <c r="E138" s="67" t="s">
        <v>33</v>
      </c>
      <c r="F138" s="67" t="s">
        <v>61</v>
      </c>
      <c r="G138" s="67" t="s">
        <v>27</v>
      </c>
      <c r="H138" s="68">
        <v>98900</v>
      </c>
      <c r="I138" s="69">
        <v>262</v>
      </c>
      <c r="J138" s="70">
        <v>45373</v>
      </c>
      <c r="K138" s="70">
        <v>46186</v>
      </c>
      <c r="L138" s="67" t="s">
        <v>21</v>
      </c>
      <c r="M138" s="70">
        <v>46186</v>
      </c>
      <c r="N138" s="67" t="s">
        <v>29</v>
      </c>
    </row>
    <row r="139" spans="1:14">
      <c r="A139" s="67" t="s">
        <v>322</v>
      </c>
      <c r="B139" s="67" t="s">
        <v>323</v>
      </c>
      <c r="C139" s="67" t="s">
        <v>25</v>
      </c>
      <c r="D139" s="67" t="s">
        <v>26</v>
      </c>
      <c r="E139" s="67" t="s">
        <v>73</v>
      </c>
      <c r="F139" s="67" t="s">
        <v>61</v>
      </c>
      <c r="G139" s="67" t="s">
        <v>27</v>
      </c>
      <c r="H139" s="68">
        <v>63300</v>
      </c>
      <c r="I139" s="69">
        <v>98</v>
      </c>
      <c r="J139" s="70">
        <v>44751</v>
      </c>
      <c r="K139" s="70">
        <v>46409</v>
      </c>
      <c r="L139" s="67" t="s">
        <v>28</v>
      </c>
      <c r="M139" s="70"/>
      <c r="N139" s="67" t="s">
        <v>29</v>
      </c>
    </row>
    <row r="140" spans="1:14">
      <c r="A140" s="67" t="s">
        <v>324</v>
      </c>
      <c r="B140" s="67" t="s">
        <v>325</v>
      </c>
      <c r="C140" s="67" t="s">
        <v>16</v>
      </c>
      <c r="D140" s="67" t="s">
        <v>43</v>
      </c>
      <c r="E140" s="67" t="s">
        <v>73</v>
      </c>
      <c r="F140" s="67" t="s">
        <v>61</v>
      </c>
      <c r="G140" s="67" t="s">
        <v>80</v>
      </c>
      <c r="H140" s="68">
        <v>311800</v>
      </c>
      <c r="I140" s="69">
        <v>1218</v>
      </c>
      <c r="J140" s="70">
        <v>44765</v>
      </c>
      <c r="K140" s="70">
        <v>46462</v>
      </c>
      <c r="L140" s="67" t="s">
        <v>28</v>
      </c>
      <c r="M140" s="70"/>
      <c r="N140" s="67" t="s">
        <v>62</v>
      </c>
    </row>
    <row r="141" spans="1:14">
      <c r="A141" s="67" t="s">
        <v>326</v>
      </c>
      <c r="B141" s="67" t="s">
        <v>327</v>
      </c>
      <c r="C141" s="67" t="s">
        <v>37</v>
      </c>
      <c r="D141" s="67" t="s">
        <v>43</v>
      </c>
      <c r="E141" s="67" t="s">
        <v>56</v>
      </c>
      <c r="F141" s="67" t="s">
        <v>68</v>
      </c>
      <c r="G141" s="67" t="s">
        <v>50</v>
      </c>
      <c r="H141" s="68">
        <v>8500</v>
      </c>
      <c r="I141" s="69">
        <v>45</v>
      </c>
      <c r="J141" s="70">
        <v>45255</v>
      </c>
      <c r="K141" s="70">
        <v>46509</v>
      </c>
      <c r="L141" s="67" t="s">
        <v>28</v>
      </c>
      <c r="M141" s="70"/>
      <c r="N141" s="67" t="s">
        <v>29</v>
      </c>
    </row>
    <row r="142" spans="1:14">
      <c r="A142" s="67" t="s">
        <v>328</v>
      </c>
      <c r="B142" s="67" t="s">
        <v>329</v>
      </c>
      <c r="C142" s="67" t="s">
        <v>25</v>
      </c>
      <c r="D142" s="67" t="s">
        <v>17</v>
      </c>
      <c r="E142" s="67" t="s">
        <v>73</v>
      </c>
      <c r="F142" s="67" t="s">
        <v>61</v>
      </c>
      <c r="G142" s="67" t="s">
        <v>46</v>
      </c>
      <c r="H142" s="68">
        <v>146300</v>
      </c>
      <c r="I142" s="69">
        <v>214</v>
      </c>
      <c r="J142" s="70">
        <v>45392</v>
      </c>
      <c r="K142" s="70">
        <v>46553</v>
      </c>
      <c r="L142" s="67" t="s">
        <v>28</v>
      </c>
      <c r="M142" s="70"/>
      <c r="N142" s="67" t="s">
        <v>29</v>
      </c>
    </row>
    <row r="143" spans="1:14">
      <c r="A143" s="67" t="s">
        <v>330</v>
      </c>
      <c r="B143" s="67" t="s">
        <v>331</v>
      </c>
      <c r="C143" s="67" t="s">
        <v>25</v>
      </c>
      <c r="D143" s="67" t="s">
        <v>17</v>
      </c>
      <c r="E143" s="67" t="s">
        <v>53</v>
      </c>
      <c r="F143" s="67" t="s">
        <v>34</v>
      </c>
      <c r="G143" s="67" t="s">
        <v>74</v>
      </c>
      <c r="H143" s="68">
        <v>45300</v>
      </c>
      <c r="I143" s="69">
        <v>51</v>
      </c>
      <c r="J143" s="70">
        <v>45519</v>
      </c>
      <c r="K143" s="70">
        <v>46575</v>
      </c>
      <c r="L143" s="67" t="s">
        <v>28</v>
      </c>
      <c r="M143" s="70"/>
      <c r="N143" s="67" t="s">
        <v>29</v>
      </c>
    </row>
    <row r="144" spans="1:14">
      <c r="A144" s="67" t="s">
        <v>332</v>
      </c>
      <c r="B144" s="67" t="s">
        <v>333</v>
      </c>
      <c r="C144" s="67" t="s">
        <v>37</v>
      </c>
      <c r="D144" s="67" t="s">
        <v>32</v>
      </c>
      <c r="E144" s="67" t="s">
        <v>33</v>
      </c>
      <c r="F144" s="67" t="s">
        <v>68</v>
      </c>
      <c r="G144" s="67" t="s">
        <v>89</v>
      </c>
      <c r="H144" s="68">
        <v>8500</v>
      </c>
      <c r="I144" s="69">
        <v>44</v>
      </c>
      <c r="J144" s="70">
        <v>45131</v>
      </c>
      <c r="K144" s="70">
        <v>46328</v>
      </c>
      <c r="L144" s="67" t="s">
        <v>28</v>
      </c>
      <c r="M144" s="70"/>
      <c r="N144" s="67" t="s">
        <v>29</v>
      </c>
    </row>
    <row r="145" spans="1:14">
      <c r="A145" s="67" t="s">
        <v>334</v>
      </c>
      <c r="B145" s="67" t="s">
        <v>335</v>
      </c>
      <c r="C145" s="67" t="s">
        <v>16</v>
      </c>
      <c r="D145" s="67" t="s">
        <v>32</v>
      </c>
      <c r="E145" s="67" t="s">
        <v>56</v>
      </c>
      <c r="F145" s="67" t="s">
        <v>39</v>
      </c>
      <c r="G145" s="67" t="s">
        <v>80</v>
      </c>
      <c r="H145" s="68">
        <v>516800</v>
      </c>
      <c r="I145" s="69">
        <v>747</v>
      </c>
      <c r="J145" s="70">
        <v>45528</v>
      </c>
      <c r="K145" s="70">
        <v>46352</v>
      </c>
      <c r="L145" s="67" t="s">
        <v>28</v>
      </c>
      <c r="M145" s="70"/>
      <c r="N145" s="67" t="s">
        <v>29</v>
      </c>
    </row>
    <row r="146" spans="1:14">
      <c r="A146" s="67" t="s">
        <v>336</v>
      </c>
      <c r="B146" s="67" t="s">
        <v>337</v>
      </c>
      <c r="C146" s="67" t="s">
        <v>16</v>
      </c>
      <c r="D146" s="67" t="s">
        <v>32</v>
      </c>
      <c r="E146" s="67" t="s">
        <v>53</v>
      </c>
      <c r="F146" s="67" t="s">
        <v>34</v>
      </c>
      <c r="G146" s="67" t="s">
        <v>80</v>
      </c>
      <c r="H146" s="68">
        <v>320700</v>
      </c>
      <c r="I146" s="69">
        <v>1331</v>
      </c>
      <c r="J146" s="70">
        <v>45730</v>
      </c>
      <c r="K146" s="70">
        <v>46632</v>
      </c>
      <c r="L146" s="67" t="s">
        <v>28</v>
      </c>
      <c r="M146" s="70"/>
      <c r="N146" s="67" t="s">
        <v>29</v>
      </c>
    </row>
    <row r="147" spans="1:14">
      <c r="A147" s="67" t="s">
        <v>338</v>
      </c>
      <c r="B147" s="67" t="s">
        <v>339</v>
      </c>
      <c r="C147" s="67" t="s">
        <v>37</v>
      </c>
      <c r="D147" s="67" t="s">
        <v>17</v>
      </c>
      <c r="E147" s="67" t="s">
        <v>49</v>
      </c>
      <c r="F147" s="67" t="s">
        <v>19</v>
      </c>
      <c r="G147" s="67" t="s">
        <v>50</v>
      </c>
      <c r="H147" s="68">
        <v>15400</v>
      </c>
      <c r="I147" s="69">
        <v>54</v>
      </c>
      <c r="J147" s="70">
        <v>45217</v>
      </c>
      <c r="K147" s="70">
        <v>46587</v>
      </c>
      <c r="L147" s="67" t="s">
        <v>28</v>
      </c>
      <c r="M147" s="70"/>
      <c r="N147" s="67" t="s">
        <v>29</v>
      </c>
    </row>
    <row r="148" spans="1:14">
      <c r="A148" s="67" t="s">
        <v>340</v>
      </c>
      <c r="B148" s="67" t="s">
        <v>341</v>
      </c>
      <c r="C148" s="67" t="s">
        <v>25</v>
      </c>
      <c r="D148" s="67" t="s">
        <v>32</v>
      </c>
      <c r="E148" s="67" t="s">
        <v>77</v>
      </c>
      <c r="F148" s="67" t="s">
        <v>34</v>
      </c>
      <c r="G148" s="67" t="s">
        <v>46</v>
      </c>
      <c r="H148" s="68">
        <v>57900</v>
      </c>
      <c r="I148" s="69">
        <v>111</v>
      </c>
      <c r="J148" s="70">
        <v>45251</v>
      </c>
      <c r="K148" s="70">
        <v>46306</v>
      </c>
      <c r="L148" s="67" t="s">
        <v>28</v>
      </c>
      <c r="M148" s="70"/>
      <c r="N148" s="67" t="s">
        <v>29</v>
      </c>
    </row>
    <row r="149" spans="1:14">
      <c r="A149" s="67" t="s">
        <v>342</v>
      </c>
      <c r="B149" s="67" t="s">
        <v>343</v>
      </c>
      <c r="C149" s="67" t="s">
        <v>37</v>
      </c>
      <c r="D149" s="67" t="s">
        <v>26</v>
      </c>
      <c r="E149" s="67" t="s">
        <v>73</v>
      </c>
      <c r="F149" s="67" t="s">
        <v>34</v>
      </c>
      <c r="G149" s="67" t="s">
        <v>50</v>
      </c>
      <c r="H149" s="68">
        <v>22000</v>
      </c>
      <c r="I149" s="69">
        <v>14</v>
      </c>
      <c r="J149" s="70">
        <v>45735</v>
      </c>
      <c r="K149" s="70">
        <v>46554</v>
      </c>
      <c r="L149" s="67" t="s">
        <v>28</v>
      </c>
      <c r="M149" s="70"/>
      <c r="N149" s="67" t="s">
        <v>29</v>
      </c>
    </row>
    <row r="150" spans="1:14">
      <c r="A150" s="67" t="s">
        <v>344</v>
      </c>
      <c r="B150" s="67" t="s">
        <v>345</v>
      </c>
      <c r="C150" s="67" t="s">
        <v>37</v>
      </c>
      <c r="D150" s="67" t="s">
        <v>43</v>
      </c>
      <c r="E150" s="67" t="s">
        <v>77</v>
      </c>
      <c r="F150" s="67" t="s">
        <v>34</v>
      </c>
      <c r="G150" s="67" t="s">
        <v>40</v>
      </c>
      <c r="H150" s="68">
        <v>17500</v>
      </c>
      <c r="I150" s="69">
        <v>25</v>
      </c>
      <c r="J150" s="70">
        <v>45127</v>
      </c>
      <c r="K150" s="70">
        <v>46519</v>
      </c>
      <c r="L150" s="67" t="s">
        <v>28</v>
      </c>
      <c r="M150" s="70"/>
      <c r="N150" s="67" t="s">
        <v>29</v>
      </c>
    </row>
    <row r="151" spans="1:14">
      <c r="A151" s="67" t="s">
        <v>346</v>
      </c>
      <c r="B151" s="67" t="s">
        <v>347</v>
      </c>
      <c r="C151" s="67" t="s">
        <v>16</v>
      </c>
      <c r="D151" s="67" t="s">
        <v>43</v>
      </c>
      <c r="E151" s="67" t="s">
        <v>73</v>
      </c>
      <c r="F151" s="67" t="s">
        <v>61</v>
      </c>
      <c r="G151" s="67" t="s">
        <v>20</v>
      </c>
      <c r="H151" s="68">
        <v>209600</v>
      </c>
      <c r="I151" s="69">
        <v>583</v>
      </c>
      <c r="J151" s="70">
        <v>45677</v>
      </c>
      <c r="K151" s="70">
        <v>46244</v>
      </c>
      <c r="L151" s="67" t="s">
        <v>21</v>
      </c>
      <c r="M151" s="70">
        <v>46244</v>
      </c>
      <c r="N151" s="67" t="s">
        <v>22</v>
      </c>
    </row>
  </sheetData>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sheetPr>
    <tabColor rgb="FF808080"/>
  </sheetPr>
  <dimension ref="A1:E9"/>
  <sheetViews>
    <sheetView workbookViewId="0">
      <pane ySplit="1" topLeftCell="A2" activePane="bottomLeft" state="frozen"/>
      <selection pane="bottomLeft"/>
    </sheetView>
  </sheetViews>
  <sheetFormatPr defaultRowHeight="15"/>
  <cols>
    <col min="1" max="1" width="9.7109375" customWidth="1"/>
    <col min="2" max="2" width="16.7109375" customWidth="1"/>
    <col min="3" max="3" width="33.7109375" customWidth="1"/>
    <col min="4" max="4" width="12.7109375" customWidth="1"/>
    <col min="5" max="5" width="14.7109375" customWidth="1"/>
  </cols>
  <sheetData>
    <row r="1" spans="1:5">
      <c r="A1" t="s">
        <v>6</v>
      </c>
      <c r="B1" t="s">
        <v>348</v>
      </c>
      <c r="C1" t="s">
        <v>349</v>
      </c>
      <c r="D1" t="s">
        <v>350</v>
      </c>
      <c r="E1" t="s">
        <v>351</v>
      </c>
    </row>
    <row r="2" spans="1:5">
      <c r="A2" s="67" t="s">
        <v>20</v>
      </c>
      <c r="B2" s="67" t="s">
        <v>352</v>
      </c>
      <c r="C2" s="67" t="s">
        <v>353</v>
      </c>
      <c r="D2" s="67" t="s">
        <v>16</v>
      </c>
      <c r="E2" s="67" t="s">
        <v>354</v>
      </c>
    </row>
    <row r="3" spans="1:5">
      <c r="A3" s="67" t="s">
        <v>80</v>
      </c>
      <c r="B3" s="67" t="s">
        <v>355</v>
      </c>
      <c r="C3" s="67" t="s">
        <v>356</v>
      </c>
      <c r="D3" s="67" t="s">
        <v>16</v>
      </c>
      <c r="E3" s="67" t="s">
        <v>354</v>
      </c>
    </row>
    <row r="4" spans="1:5">
      <c r="A4" s="67" t="s">
        <v>27</v>
      </c>
      <c r="B4" s="67" t="s">
        <v>357</v>
      </c>
      <c r="C4" s="67" t="s">
        <v>358</v>
      </c>
      <c r="D4" s="67" t="s">
        <v>25</v>
      </c>
      <c r="E4" s="67" t="s">
        <v>354</v>
      </c>
    </row>
    <row r="5" spans="1:5">
      <c r="A5" s="67" t="s">
        <v>46</v>
      </c>
      <c r="B5" s="67" t="s">
        <v>359</v>
      </c>
      <c r="C5" s="67" t="s">
        <v>360</v>
      </c>
      <c r="D5" s="67" t="s">
        <v>25</v>
      </c>
      <c r="E5" s="67" t="s">
        <v>361</v>
      </c>
    </row>
    <row r="6" spans="1:5">
      <c r="A6" s="67" t="s">
        <v>74</v>
      </c>
      <c r="B6" s="67" t="s">
        <v>362</v>
      </c>
      <c r="C6" s="67" t="s">
        <v>363</v>
      </c>
      <c r="D6" s="67" t="s">
        <v>25</v>
      </c>
      <c r="E6" s="67" t="s">
        <v>361</v>
      </c>
    </row>
    <row r="7" spans="1:5">
      <c r="A7" s="67" t="s">
        <v>50</v>
      </c>
      <c r="B7" s="67" t="s">
        <v>364</v>
      </c>
      <c r="C7" s="67" t="s">
        <v>365</v>
      </c>
      <c r="D7" s="67" t="s">
        <v>37</v>
      </c>
      <c r="E7" s="67" t="s">
        <v>361</v>
      </c>
    </row>
    <row r="8" spans="1:5">
      <c r="A8" s="67" t="s">
        <v>89</v>
      </c>
      <c r="B8" s="67" t="s">
        <v>366</v>
      </c>
      <c r="C8" s="67" t="s">
        <v>367</v>
      </c>
      <c r="D8" s="67" t="s">
        <v>37</v>
      </c>
      <c r="E8" s="67" t="s">
        <v>361</v>
      </c>
    </row>
    <row r="9" spans="1:5">
      <c r="A9" s="67" t="s">
        <v>40</v>
      </c>
      <c r="B9" s="67" t="s">
        <v>368</v>
      </c>
      <c r="C9" s="67" t="s">
        <v>369</v>
      </c>
      <c r="D9" s="67" t="s">
        <v>37</v>
      </c>
      <c r="E9" s="67" t="s">
        <v>354</v>
      </c>
    </row>
  </sheetData>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sheetPr>
    <tabColor rgb="FF808080"/>
  </sheetPr>
  <dimension ref="A1:G1749"/>
  <sheetViews>
    <sheetView workbookViewId="0">
      <pane ySplit="1" topLeftCell="A2" activePane="bottomLeft" state="frozen"/>
      <selection pane="bottomLeft"/>
    </sheetView>
  </sheetViews>
  <sheetFormatPr defaultRowHeight="15"/>
  <cols>
    <col min="1" max="2" width="12.7109375" customWidth="1"/>
    <col min="3" max="3" width="14.7109375" customWidth="1"/>
    <col min="4" max="4" width="9.7109375" customWidth="1"/>
    <col min="5" max="5" width="13.7109375" customWidth="1"/>
    <col min="6" max="6" width="18.7109375" customWidth="1"/>
    <col min="7" max="7" width="16.7109375" customWidth="1"/>
  </cols>
  <sheetData>
    <row r="1" spans="1:7">
      <c r="A1" t="s">
        <v>0</v>
      </c>
      <c r="B1" t="s">
        <v>370</v>
      </c>
      <c r="C1" t="s">
        <v>371</v>
      </c>
      <c r="D1" t="s">
        <v>372</v>
      </c>
      <c r="E1" t="s">
        <v>373</v>
      </c>
      <c r="F1" t="s">
        <v>374</v>
      </c>
      <c r="G1" t="s">
        <v>375</v>
      </c>
    </row>
    <row r="2" spans="1:7">
      <c r="A2" s="67" t="s">
        <v>14</v>
      </c>
      <c r="B2" s="70">
        <v>45931</v>
      </c>
      <c r="C2" s="69">
        <v>153</v>
      </c>
      <c r="D2" s="69">
        <v>970</v>
      </c>
      <c r="E2" s="69">
        <v>76</v>
      </c>
      <c r="F2" s="67">
        <v>2</v>
      </c>
      <c r="G2" s="71">
        <v>24.4</v>
      </c>
    </row>
    <row r="3" spans="1:7">
      <c r="A3" s="67" t="s">
        <v>23</v>
      </c>
      <c r="B3" s="70">
        <v>45931</v>
      </c>
      <c r="C3" s="69">
        <v>45</v>
      </c>
      <c r="D3" s="69">
        <v>730</v>
      </c>
      <c r="E3" s="69">
        <v>15</v>
      </c>
      <c r="F3" s="67">
        <v>6</v>
      </c>
      <c r="G3" s="71">
        <v>19.5</v>
      </c>
    </row>
    <row r="4" spans="1:7">
      <c r="A4" s="67" t="s">
        <v>30</v>
      </c>
      <c r="B4" s="70">
        <v>45931</v>
      </c>
      <c r="C4" s="69">
        <v>190</v>
      </c>
      <c r="D4" s="69">
        <v>2332</v>
      </c>
      <c r="E4" s="69">
        <v>472</v>
      </c>
      <c r="F4" s="67">
        <v>6</v>
      </c>
      <c r="G4" s="71">
        <v>13.5</v>
      </c>
    </row>
    <row r="5" spans="1:7">
      <c r="A5" s="67" t="s">
        <v>35</v>
      </c>
      <c r="B5" s="70">
        <v>45931</v>
      </c>
      <c r="C5" s="69">
        <v>26</v>
      </c>
      <c r="D5" s="69">
        <v>187</v>
      </c>
      <c r="E5" s="69">
        <v>23</v>
      </c>
      <c r="F5" s="67">
        <v>4</v>
      </c>
      <c r="G5" s="71">
        <v>14.4</v>
      </c>
    </row>
    <row r="6" spans="1:7">
      <c r="A6" s="67" t="s">
        <v>41</v>
      </c>
      <c r="B6" s="70">
        <v>45931</v>
      </c>
      <c r="C6" s="69">
        <v>83</v>
      </c>
      <c r="D6" s="69">
        <v>713</v>
      </c>
      <c r="E6" s="69">
        <v>80</v>
      </c>
      <c r="F6" s="67">
        <v>6</v>
      </c>
      <c r="G6" s="71">
        <v>32.4</v>
      </c>
    </row>
    <row r="7" spans="1:7">
      <c r="A7" s="67" t="s">
        <v>44</v>
      </c>
      <c r="B7" s="70">
        <v>45931</v>
      </c>
      <c r="C7" s="69">
        <v>61</v>
      </c>
      <c r="D7" s="69">
        <v>877</v>
      </c>
      <c r="E7" s="69">
        <v>85</v>
      </c>
      <c r="F7" s="67">
        <v>8</v>
      </c>
      <c r="G7" s="71">
        <v>26.6</v>
      </c>
    </row>
    <row r="8" spans="1:7">
      <c r="A8" s="67" t="s">
        <v>47</v>
      </c>
      <c r="B8" s="70">
        <v>45931</v>
      </c>
      <c r="C8" s="69">
        <v>24</v>
      </c>
      <c r="D8" s="69">
        <v>122</v>
      </c>
      <c r="E8" s="69">
        <v>28</v>
      </c>
      <c r="F8" s="67">
        <v>5</v>
      </c>
      <c r="G8" s="71">
        <v>34.5</v>
      </c>
    </row>
    <row r="9" spans="1:7">
      <c r="A9" s="67" t="s">
        <v>51</v>
      </c>
      <c r="B9" s="70">
        <v>45931</v>
      </c>
      <c r="C9" s="69">
        <v>863</v>
      </c>
      <c r="D9" s="69">
        <v>9254</v>
      </c>
      <c r="E9" s="69">
        <v>1076</v>
      </c>
      <c r="F9" s="67">
        <v>9</v>
      </c>
      <c r="G9" s="71">
        <v>33.8</v>
      </c>
    </row>
    <row r="10" spans="1:7">
      <c r="A10" s="67" t="s">
        <v>54</v>
      </c>
      <c r="B10" s="70">
        <v>45931</v>
      </c>
      <c r="C10" s="69">
        <v>6</v>
      </c>
      <c r="D10" s="69">
        <v>53</v>
      </c>
      <c r="E10" s="69">
        <v>10</v>
      </c>
      <c r="F10" s="67">
        <v>3</v>
      </c>
      <c r="G10" s="71">
        <v>29.3</v>
      </c>
    </row>
    <row r="11" spans="1:7">
      <c r="A11" s="67" t="s">
        <v>57</v>
      </c>
      <c r="B11" s="70">
        <v>45931</v>
      </c>
      <c r="C11" s="69">
        <v>725</v>
      </c>
      <c r="D11" s="69">
        <v>7378</v>
      </c>
      <c r="E11" s="69">
        <v>727</v>
      </c>
      <c r="F11" s="67">
        <v>7</v>
      </c>
      <c r="G11" s="71">
        <v>30.7</v>
      </c>
    </row>
    <row r="12" spans="1:7">
      <c r="A12" s="67" t="s">
        <v>59</v>
      </c>
      <c r="B12" s="70">
        <v>45931</v>
      </c>
      <c r="C12" s="69">
        <v>91</v>
      </c>
      <c r="D12" s="69">
        <v>1380</v>
      </c>
      <c r="E12" s="69">
        <v>93</v>
      </c>
      <c r="F12" s="67">
        <v>3</v>
      </c>
      <c r="G12" s="71">
        <v>14.8</v>
      </c>
    </row>
    <row r="13" spans="1:7">
      <c r="A13" s="67" t="s">
        <v>63</v>
      </c>
      <c r="B13" s="70">
        <v>45931</v>
      </c>
      <c r="C13" s="69">
        <v>19</v>
      </c>
      <c r="D13" s="69">
        <v>325</v>
      </c>
      <c r="E13" s="69">
        <v>14</v>
      </c>
      <c r="F13" s="67">
        <v>4</v>
      </c>
      <c r="G13" s="71">
        <v>39.9</v>
      </c>
    </row>
    <row r="14" spans="1:7">
      <c r="A14" s="67" t="s">
        <v>66</v>
      </c>
      <c r="B14" s="70">
        <v>45931</v>
      </c>
      <c r="C14" s="69">
        <v>16</v>
      </c>
      <c r="D14" s="69">
        <v>86</v>
      </c>
      <c r="E14" s="69">
        <v>30</v>
      </c>
      <c r="F14" s="67">
        <v>7</v>
      </c>
      <c r="G14" s="71">
        <v>38</v>
      </c>
    </row>
    <row r="15" spans="1:7">
      <c r="A15" s="67" t="s">
        <v>69</v>
      </c>
      <c r="B15" s="70">
        <v>45931</v>
      </c>
      <c r="C15" s="69">
        <v>10</v>
      </c>
      <c r="D15" s="69">
        <v>158</v>
      </c>
      <c r="E15" s="69">
        <v>5</v>
      </c>
      <c r="F15" s="67">
        <v>7</v>
      </c>
      <c r="G15" s="71">
        <v>34.7</v>
      </c>
    </row>
    <row r="16" spans="1:7">
      <c r="A16" s="67" t="s">
        <v>71</v>
      </c>
      <c r="B16" s="70">
        <v>45931</v>
      </c>
      <c r="C16" s="69">
        <v>64</v>
      </c>
      <c r="D16" s="69">
        <v>436</v>
      </c>
      <c r="E16" s="69">
        <v>62</v>
      </c>
      <c r="F16" s="67">
        <v>6</v>
      </c>
      <c r="G16" s="71">
        <v>13.8</v>
      </c>
    </row>
    <row r="17" spans="1:7">
      <c r="A17" s="67" t="s">
        <v>75</v>
      </c>
      <c r="B17" s="70">
        <v>45931</v>
      </c>
      <c r="C17" s="69">
        <v>269</v>
      </c>
      <c r="D17" s="69">
        <v>2663</v>
      </c>
      <c r="E17" s="69">
        <v>346</v>
      </c>
      <c r="F17" s="67">
        <v>9</v>
      </c>
      <c r="G17" s="71">
        <v>25.9</v>
      </c>
    </row>
    <row r="18" spans="1:7">
      <c r="A18" s="67" t="s">
        <v>78</v>
      </c>
      <c r="B18" s="70">
        <v>45931</v>
      </c>
      <c r="C18" s="69">
        <v>643</v>
      </c>
      <c r="D18" s="69">
        <v>10935</v>
      </c>
      <c r="E18" s="69">
        <v>1423</v>
      </c>
      <c r="F18" s="67">
        <v>5</v>
      </c>
      <c r="G18" s="71">
        <v>19.6</v>
      </c>
    </row>
    <row r="19" spans="1:7">
      <c r="A19" s="67" t="s">
        <v>81</v>
      </c>
      <c r="B19" s="70">
        <v>45931</v>
      </c>
      <c r="C19" s="69">
        <v>10</v>
      </c>
      <c r="D19" s="69">
        <v>141</v>
      </c>
      <c r="E19" s="69">
        <v>21</v>
      </c>
      <c r="F19" s="67">
        <v>8</v>
      </c>
      <c r="G19" s="71">
        <v>25.8</v>
      </c>
    </row>
    <row r="20" spans="1:7">
      <c r="A20" s="67" t="s">
        <v>83</v>
      </c>
      <c r="B20" s="70">
        <v>45931</v>
      </c>
      <c r="C20" s="69">
        <v>10</v>
      </c>
      <c r="D20" s="69">
        <v>82</v>
      </c>
      <c r="E20" s="69">
        <v>18</v>
      </c>
      <c r="F20" s="67">
        <v>5</v>
      </c>
      <c r="G20" s="71">
        <v>10.8</v>
      </c>
    </row>
    <row r="21" spans="1:7">
      <c r="A21" s="67" t="s">
        <v>85</v>
      </c>
      <c r="B21" s="70">
        <v>45931</v>
      </c>
      <c r="C21" s="69">
        <v>168</v>
      </c>
      <c r="D21" s="69">
        <v>2249</v>
      </c>
      <c r="E21" s="69">
        <v>289</v>
      </c>
      <c r="F21" s="67">
        <v>8</v>
      </c>
      <c r="G21" s="71">
        <v>38.8</v>
      </c>
    </row>
    <row r="22" spans="1:7">
      <c r="A22" s="67" t="s">
        <v>87</v>
      </c>
      <c r="B22" s="70">
        <v>45931</v>
      </c>
      <c r="C22" s="69">
        <v>10</v>
      </c>
      <c r="D22" s="69">
        <v>64</v>
      </c>
      <c r="E22" s="69">
        <v>5</v>
      </c>
      <c r="F22" s="67">
        <v>7</v>
      </c>
      <c r="G22" s="71">
        <v>12.8</v>
      </c>
    </row>
    <row r="23" spans="1:7">
      <c r="A23" s="67" t="s">
        <v>90</v>
      </c>
      <c r="B23" s="70">
        <v>45931</v>
      </c>
      <c r="C23" s="69">
        <v>55</v>
      </c>
      <c r="D23" s="69">
        <v>767</v>
      </c>
      <c r="E23" s="69">
        <v>43</v>
      </c>
      <c r="F23" s="67">
        <v>4</v>
      </c>
      <c r="G23" s="71">
        <v>18.1</v>
      </c>
    </row>
    <row r="24" spans="1:7">
      <c r="A24" s="67" t="s">
        <v>92</v>
      </c>
      <c r="B24" s="70">
        <v>45931</v>
      </c>
      <c r="C24" s="69">
        <v>7</v>
      </c>
      <c r="D24" s="69">
        <v>98</v>
      </c>
      <c r="E24" s="69">
        <v>4</v>
      </c>
      <c r="F24" s="67">
        <v>4</v>
      </c>
      <c r="G24" s="71">
        <v>39.9</v>
      </c>
    </row>
    <row r="25" spans="1:7">
      <c r="A25" s="67" t="s">
        <v>94</v>
      </c>
      <c r="B25" s="70">
        <v>45931</v>
      </c>
      <c r="C25" s="69">
        <v>33</v>
      </c>
      <c r="D25" s="69">
        <v>560</v>
      </c>
      <c r="E25" s="69">
        <v>16</v>
      </c>
      <c r="F25" s="67">
        <v>7</v>
      </c>
      <c r="G25" s="71">
        <v>34.1</v>
      </c>
    </row>
    <row r="26" spans="1:7">
      <c r="A26" s="67" t="s">
        <v>96</v>
      </c>
      <c r="B26" s="70">
        <v>45931</v>
      </c>
      <c r="C26" s="69">
        <v>660</v>
      </c>
      <c r="D26" s="69">
        <v>6244</v>
      </c>
      <c r="E26" s="69">
        <v>1337</v>
      </c>
      <c r="F26" s="67">
        <v>4</v>
      </c>
      <c r="G26" s="71">
        <v>23.2</v>
      </c>
    </row>
    <row r="27" spans="1:7">
      <c r="A27" s="67" t="s">
        <v>98</v>
      </c>
      <c r="B27" s="70">
        <v>45931</v>
      </c>
      <c r="C27" s="69">
        <v>1044</v>
      </c>
      <c r="D27" s="69">
        <v>15019</v>
      </c>
      <c r="E27" s="69">
        <v>1352</v>
      </c>
      <c r="F27" s="67">
        <v>8</v>
      </c>
      <c r="G27" s="71">
        <v>7.4</v>
      </c>
    </row>
    <row r="28" spans="1:7">
      <c r="A28" s="67" t="s">
        <v>100</v>
      </c>
      <c r="B28" s="70">
        <v>45931</v>
      </c>
      <c r="C28" s="69">
        <v>1032</v>
      </c>
      <c r="D28" s="69">
        <v>5463</v>
      </c>
      <c r="E28" s="69">
        <v>1089</v>
      </c>
      <c r="F28" s="67">
        <v>7</v>
      </c>
      <c r="G28" s="71">
        <v>8.800000000000001</v>
      </c>
    </row>
    <row r="29" spans="1:7">
      <c r="A29" s="67" t="s">
        <v>102</v>
      </c>
      <c r="B29" s="70">
        <v>45931</v>
      </c>
      <c r="C29" s="69">
        <v>429</v>
      </c>
      <c r="D29" s="69">
        <v>6275</v>
      </c>
      <c r="E29" s="69">
        <v>616</v>
      </c>
      <c r="F29" s="67">
        <v>2</v>
      </c>
      <c r="G29" s="71">
        <v>24.3</v>
      </c>
    </row>
    <row r="30" spans="1:7">
      <c r="A30" s="67" t="s">
        <v>104</v>
      </c>
      <c r="B30" s="70">
        <v>45931</v>
      </c>
      <c r="C30" s="69">
        <v>22</v>
      </c>
      <c r="D30" s="69">
        <v>242</v>
      </c>
      <c r="E30" s="69">
        <v>45</v>
      </c>
      <c r="F30" s="67">
        <v>5</v>
      </c>
      <c r="G30" s="71">
        <v>27</v>
      </c>
    </row>
    <row r="31" spans="1:7">
      <c r="A31" s="67" t="s">
        <v>106</v>
      </c>
      <c r="B31" s="70">
        <v>45931</v>
      </c>
      <c r="C31" s="69">
        <v>185</v>
      </c>
      <c r="D31" s="69">
        <v>1876</v>
      </c>
      <c r="E31" s="69">
        <v>356</v>
      </c>
      <c r="F31" s="67">
        <v>7</v>
      </c>
      <c r="G31" s="71">
        <v>35.9</v>
      </c>
    </row>
    <row r="32" spans="1:7">
      <c r="A32" s="67" t="s">
        <v>108</v>
      </c>
      <c r="B32" s="70">
        <v>45931</v>
      </c>
      <c r="C32" s="69">
        <v>20</v>
      </c>
      <c r="D32" s="69">
        <v>101</v>
      </c>
      <c r="E32" s="69">
        <v>15</v>
      </c>
      <c r="F32" s="67">
        <v>6</v>
      </c>
      <c r="G32" s="71">
        <v>14.7</v>
      </c>
    </row>
    <row r="33" spans="1:7">
      <c r="A33" s="67" t="s">
        <v>110</v>
      </c>
      <c r="B33" s="70">
        <v>45931</v>
      </c>
      <c r="C33" s="69">
        <v>170</v>
      </c>
      <c r="D33" s="69">
        <v>2126</v>
      </c>
      <c r="E33" s="69">
        <v>350</v>
      </c>
      <c r="F33" s="67">
        <v>3</v>
      </c>
      <c r="G33" s="71">
        <v>23.8</v>
      </c>
    </row>
    <row r="34" spans="1:7">
      <c r="A34" s="67" t="s">
        <v>112</v>
      </c>
      <c r="B34" s="70">
        <v>45931</v>
      </c>
      <c r="C34" s="69">
        <v>7</v>
      </c>
      <c r="D34" s="69">
        <v>45</v>
      </c>
      <c r="E34" s="69">
        <v>12</v>
      </c>
      <c r="F34" s="67">
        <v>4</v>
      </c>
      <c r="G34" s="71">
        <v>22.1</v>
      </c>
    </row>
    <row r="35" spans="1:7">
      <c r="A35" s="67" t="s">
        <v>114</v>
      </c>
      <c r="B35" s="70">
        <v>45931</v>
      </c>
      <c r="C35" s="69">
        <v>147</v>
      </c>
      <c r="D35" s="69">
        <v>1478</v>
      </c>
      <c r="E35" s="69">
        <v>171</v>
      </c>
      <c r="F35" s="67">
        <v>8</v>
      </c>
      <c r="G35" s="71">
        <v>9</v>
      </c>
    </row>
    <row r="36" spans="1:7">
      <c r="A36" s="67" t="s">
        <v>116</v>
      </c>
      <c r="B36" s="70">
        <v>45931</v>
      </c>
      <c r="C36" s="69">
        <v>13</v>
      </c>
      <c r="D36" s="69">
        <v>94</v>
      </c>
      <c r="E36" s="69">
        <v>23</v>
      </c>
      <c r="F36" s="67">
        <v>6</v>
      </c>
      <c r="G36" s="71">
        <v>33</v>
      </c>
    </row>
    <row r="37" spans="1:7">
      <c r="A37" s="67" t="s">
        <v>118</v>
      </c>
      <c r="B37" s="70">
        <v>45931</v>
      </c>
      <c r="C37" s="69">
        <v>45</v>
      </c>
      <c r="D37" s="69">
        <v>618</v>
      </c>
      <c r="E37" s="69">
        <v>45</v>
      </c>
      <c r="F37" s="67">
        <v>8</v>
      </c>
      <c r="G37" s="71">
        <v>13.4</v>
      </c>
    </row>
    <row r="38" spans="1:7">
      <c r="A38" s="67" t="s">
        <v>120</v>
      </c>
      <c r="B38" s="70">
        <v>45931</v>
      </c>
      <c r="C38" s="69">
        <v>63</v>
      </c>
      <c r="D38" s="69">
        <v>431</v>
      </c>
      <c r="E38" s="69">
        <v>73</v>
      </c>
      <c r="F38" s="67">
        <v>3</v>
      </c>
      <c r="G38" s="71">
        <v>25.9</v>
      </c>
    </row>
    <row r="39" spans="1:7">
      <c r="A39" s="67" t="s">
        <v>122</v>
      </c>
      <c r="B39" s="70">
        <v>45931</v>
      </c>
      <c r="C39" s="69">
        <v>551</v>
      </c>
      <c r="D39" s="69">
        <v>6241</v>
      </c>
      <c r="E39" s="69">
        <v>817</v>
      </c>
      <c r="F39" s="67">
        <v>4</v>
      </c>
      <c r="G39" s="71">
        <v>37.2</v>
      </c>
    </row>
    <row r="40" spans="1:7">
      <c r="A40" s="67" t="s">
        <v>124</v>
      </c>
      <c r="B40" s="70">
        <v>45931</v>
      </c>
      <c r="C40" s="69">
        <v>169</v>
      </c>
      <c r="D40" s="69">
        <v>1212</v>
      </c>
      <c r="E40" s="69">
        <v>158</v>
      </c>
      <c r="F40" s="67">
        <v>5</v>
      </c>
      <c r="G40" s="71">
        <v>11.5</v>
      </c>
    </row>
    <row r="41" spans="1:7">
      <c r="A41" s="67" t="s">
        <v>126</v>
      </c>
      <c r="B41" s="70">
        <v>45931</v>
      </c>
      <c r="C41" s="69">
        <v>34</v>
      </c>
      <c r="D41" s="69">
        <v>553</v>
      </c>
      <c r="E41" s="69">
        <v>81</v>
      </c>
      <c r="F41" s="67">
        <v>3</v>
      </c>
      <c r="G41" s="71">
        <v>22</v>
      </c>
    </row>
    <row r="42" spans="1:7">
      <c r="A42" s="67" t="s">
        <v>128</v>
      </c>
      <c r="B42" s="70">
        <v>45931</v>
      </c>
      <c r="C42" s="69">
        <v>177</v>
      </c>
      <c r="D42" s="69">
        <v>2177</v>
      </c>
      <c r="E42" s="69">
        <v>307</v>
      </c>
      <c r="F42" s="67">
        <v>7</v>
      </c>
      <c r="G42" s="71">
        <v>19.3</v>
      </c>
    </row>
    <row r="43" spans="1:7">
      <c r="A43" s="67" t="s">
        <v>130</v>
      </c>
      <c r="B43" s="70">
        <v>45931</v>
      </c>
      <c r="C43" s="69">
        <v>81</v>
      </c>
      <c r="D43" s="69">
        <v>872</v>
      </c>
      <c r="E43" s="69">
        <v>54</v>
      </c>
      <c r="F43" s="67">
        <v>8</v>
      </c>
      <c r="G43" s="71">
        <v>24.8</v>
      </c>
    </row>
    <row r="44" spans="1:7">
      <c r="A44" s="67" t="s">
        <v>132</v>
      </c>
      <c r="B44" s="70">
        <v>45931</v>
      </c>
      <c r="C44" s="69">
        <v>42</v>
      </c>
      <c r="D44" s="69">
        <v>228</v>
      </c>
      <c r="E44" s="69">
        <v>33</v>
      </c>
      <c r="F44" s="67">
        <v>4</v>
      </c>
      <c r="G44" s="71">
        <v>15.1</v>
      </c>
    </row>
    <row r="45" spans="1:7">
      <c r="A45" s="67" t="s">
        <v>134</v>
      </c>
      <c r="B45" s="70">
        <v>45931</v>
      </c>
      <c r="C45" s="69">
        <v>203</v>
      </c>
      <c r="D45" s="69">
        <v>3054</v>
      </c>
      <c r="E45" s="69">
        <v>282</v>
      </c>
      <c r="F45" s="67">
        <v>6</v>
      </c>
      <c r="G45" s="71">
        <v>22.9</v>
      </c>
    </row>
    <row r="46" spans="1:7">
      <c r="A46" s="67" t="s">
        <v>136</v>
      </c>
      <c r="B46" s="70">
        <v>45931</v>
      </c>
      <c r="C46" s="69">
        <v>169</v>
      </c>
      <c r="D46" s="69">
        <v>2038</v>
      </c>
      <c r="E46" s="69">
        <v>419</v>
      </c>
      <c r="F46" s="67">
        <v>4</v>
      </c>
      <c r="G46" s="71">
        <v>24</v>
      </c>
    </row>
    <row r="47" spans="1:7">
      <c r="A47" s="67" t="s">
        <v>138</v>
      </c>
      <c r="B47" s="70">
        <v>45931</v>
      </c>
      <c r="C47" s="69">
        <v>34</v>
      </c>
      <c r="D47" s="69">
        <v>365</v>
      </c>
      <c r="E47" s="69">
        <v>27</v>
      </c>
      <c r="F47" s="67">
        <v>5</v>
      </c>
      <c r="G47" s="71">
        <v>19.9</v>
      </c>
    </row>
    <row r="48" spans="1:7">
      <c r="A48" s="67" t="s">
        <v>140</v>
      </c>
      <c r="B48" s="70">
        <v>45931</v>
      </c>
      <c r="C48" s="69">
        <v>138</v>
      </c>
      <c r="D48" s="69">
        <v>1134</v>
      </c>
      <c r="E48" s="69">
        <v>307</v>
      </c>
      <c r="F48" s="67">
        <v>4</v>
      </c>
      <c r="G48" s="71">
        <v>6.1</v>
      </c>
    </row>
    <row r="49" spans="1:7">
      <c r="A49" s="67" t="s">
        <v>142</v>
      </c>
      <c r="B49" s="70">
        <v>45931</v>
      </c>
      <c r="C49" s="69">
        <v>230</v>
      </c>
      <c r="D49" s="69">
        <v>1410</v>
      </c>
      <c r="E49" s="69">
        <v>507</v>
      </c>
      <c r="F49" s="67">
        <v>9</v>
      </c>
      <c r="G49" s="71">
        <v>9.1</v>
      </c>
    </row>
    <row r="50" spans="1:7">
      <c r="A50" s="67" t="s">
        <v>144</v>
      </c>
      <c r="B50" s="70">
        <v>45931</v>
      </c>
      <c r="C50" s="69">
        <v>21</v>
      </c>
      <c r="D50" s="69">
        <v>306</v>
      </c>
      <c r="E50" s="69">
        <v>38</v>
      </c>
      <c r="F50" s="67">
        <v>5</v>
      </c>
      <c r="G50" s="71">
        <v>35.1</v>
      </c>
    </row>
    <row r="51" spans="1:7">
      <c r="A51" s="67" t="s">
        <v>146</v>
      </c>
      <c r="B51" s="70">
        <v>45931</v>
      </c>
      <c r="C51" s="69">
        <v>1018</v>
      </c>
      <c r="D51" s="69">
        <v>13244</v>
      </c>
      <c r="E51" s="69">
        <v>2063</v>
      </c>
      <c r="F51" s="67">
        <v>8</v>
      </c>
      <c r="G51" s="71">
        <v>33.5</v>
      </c>
    </row>
    <row r="52" spans="1:7">
      <c r="A52" s="67" t="s">
        <v>148</v>
      </c>
      <c r="B52" s="70">
        <v>45931</v>
      </c>
      <c r="C52" s="69">
        <v>156</v>
      </c>
      <c r="D52" s="69">
        <v>1859</v>
      </c>
      <c r="E52" s="69">
        <v>252</v>
      </c>
      <c r="F52" s="67">
        <v>7</v>
      </c>
      <c r="G52" s="71">
        <v>10.9</v>
      </c>
    </row>
    <row r="53" spans="1:7">
      <c r="A53" s="67" t="s">
        <v>150</v>
      </c>
      <c r="B53" s="70">
        <v>45931</v>
      </c>
      <c r="C53" s="69">
        <v>32</v>
      </c>
      <c r="D53" s="69">
        <v>398</v>
      </c>
      <c r="E53" s="69">
        <v>77</v>
      </c>
      <c r="F53" s="67">
        <v>3</v>
      </c>
      <c r="G53" s="71">
        <v>23</v>
      </c>
    </row>
    <row r="54" spans="1:7">
      <c r="A54" s="67" t="s">
        <v>152</v>
      </c>
      <c r="B54" s="70">
        <v>45931</v>
      </c>
      <c r="C54" s="69">
        <v>25</v>
      </c>
      <c r="D54" s="69">
        <v>169</v>
      </c>
      <c r="E54" s="69">
        <v>49</v>
      </c>
      <c r="F54" s="67">
        <v>4</v>
      </c>
      <c r="G54" s="71">
        <v>19.4</v>
      </c>
    </row>
    <row r="55" spans="1:7">
      <c r="A55" s="67" t="s">
        <v>154</v>
      </c>
      <c r="B55" s="70">
        <v>45931</v>
      </c>
      <c r="C55" s="69">
        <v>108</v>
      </c>
      <c r="D55" s="69">
        <v>1461</v>
      </c>
      <c r="E55" s="69">
        <v>199</v>
      </c>
      <c r="F55" s="67">
        <v>2</v>
      </c>
      <c r="G55" s="71">
        <v>9.6</v>
      </c>
    </row>
    <row r="56" spans="1:7">
      <c r="A56" s="67" t="s">
        <v>156</v>
      </c>
      <c r="B56" s="70">
        <v>45931</v>
      </c>
      <c r="C56" s="69">
        <v>23</v>
      </c>
      <c r="D56" s="69">
        <v>189</v>
      </c>
      <c r="E56" s="69">
        <v>50</v>
      </c>
      <c r="F56" s="67">
        <v>7</v>
      </c>
      <c r="G56" s="71">
        <v>18.7</v>
      </c>
    </row>
    <row r="57" spans="1:7">
      <c r="A57" s="67" t="s">
        <v>158</v>
      </c>
      <c r="B57" s="70">
        <v>45931</v>
      </c>
      <c r="C57" s="69">
        <v>89</v>
      </c>
      <c r="D57" s="69">
        <v>1171</v>
      </c>
      <c r="E57" s="69">
        <v>100</v>
      </c>
      <c r="F57" s="67">
        <v>5</v>
      </c>
      <c r="G57" s="71">
        <v>7.6</v>
      </c>
    </row>
    <row r="58" spans="1:7">
      <c r="A58" s="67" t="s">
        <v>160</v>
      </c>
      <c r="B58" s="70">
        <v>45931</v>
      </c>
      <c r="C58" s="69">
        <v>182</v>
      </c>
      <c r="D58" s="69">
        <v>1863</v>
      </c>
      <c r="E58" s="69">
        <v>355</v>
      </c>
      <c r="F58" s="67">
        <v>5</v>
      </c>
      <c r="G58" s="71">
        <v>29.3</v>
      </c>
    </row>
    <row r="59" spans="1:7">
      <c r="A59" s="67" t="s">
        <v>162</v>
      </c>
      <c r="B59" s="70">
        <v>45931</v>
      </c>
      <c r="C59" s="69">
        <v>50</v>
      </c>
      <c r="D59" s="69">
        <v>567</v>
      </c>
      <c r="E59" s="69">
        <v>79</v>
      </c>
      <c r="F59" s="67">
        <v>7</v>
      </c>
      <c r="G59" s="71">
        <v>35.4</v>
      </c>
    </row>
    <row r="60" spans="1:7">
      <c r="A60" s="67" t="s">
        <v>164</v>
      </c>
      <c r="B60" s="70">
        <v>45931</v>
      </c>
      <c r="C60" s="69">
        <v>79</v>
      </c>
      <c r="D60" s="69">
        <v>1393</v>
      </c>
      <c r="E60" s="69">
        <v>134</v>
      </c>
      <c r="F60" s="67">
        <v>6</v>
      </c>
      <c r="G60" s="71">
        <v>29.4</v>
      </c>
    </row>
    <row r="61" spans="1:7">
      <c r="A61" s="67" t="s">
        <v>166</v>
      </c>
      <c r="B61" s="70">
        <v>45931</v>
      </c>
      <c r="C61" s="69">
        <v>131</v>
      </c>
      <c r="D61" s="69">
        <v>1332</v>
      </c>
      <c r="E61" s="69">
        <v>318</v>
      </c>
      <c r="F61" s="67">
        <v>5</v>
      </c>
      <c r="G61" s="71">
        <v>33.9</v>
      </c>
    </row>
    <row r="62" spans="1:7">
      <c r="A62" s="67" t="s">
        <v>168</v>
      </c>
      <c r="B62" s="70">
        <v>45931</v>
      </c>
      <c r="C62" s="69">
        <v>130</v>
      </c>
      <c r="D62" s="69">
        <v>1129</v>
      </c>
      <c r="E62" s="69">
        <v>196</v>
      </c>
      <c r="F62" s="67">
        <v>7</v>
      </c>
      <c r="G62" s="71">
        <v>9.6</v>
      </c>
    </row>
    <row r="63" spans="1:7">
      <c r="A63" s="67" t="s">
        <v>170</v>
      </c>
      <c r="B63" s="70">
        <v>45931</v>
      </c>
      <c r="C63" s="69">
        <v>23</v>
      </c>
      <c r="D63" s="69">
        <v>382</v>
      </c>
      <c r="E63" s="69">
        <v>45</v>
      </c>
      <c r="F63" s="67">
        <v>6</v>
      </c>
      <c r="G63" s="71">
        <v>6.6</v>
      </c>
    </row>
    <row r="64" spans="1:7">
      <c r="A64" s="67" t="s">
        <v>172</v>
      </c>
      <c r="B64" s="70">
        <v>45931</v>
      </c>
      <c r="C64" s="69">
        <v>25</v>
      </c>
      <c r="D64" s="69">
        <v>130</v>
      </c>
      <c r="E64" s="69">
        <v>59</v>
      </c>
      <c r="F64" s="67">
        <v>6</v>
      </c>
      <c r="G64" s="71">
        <v>10.5</v>
      </c>
    </row>
    <row r="65" spans="1:7">
      <c r="A65" s="67" t="s">
        <v>174</v>
      </c>
      <c r="B65" s="70">
        <v>45931</v>
      </c>
      <c r="C65" s="69">
        <v>95</v>
      </c>
      <c r="D65" s="69">
        <v>1003</v>
      </c>
      <c r="E65" s="69">
        <v>237</v>
      </c>
      <c r="F65" s="67">
        <v>7</v>
      </c>
      <c r="G65" s="71">
        <v>36.8</v>
      </c>
    </row>
    <row r="66" spans="1:7">
      <c r="A66" s="67" t="s">
        <v>176</v>
      </c>
      <c r="B66" s="70">
        <v>45931</v>
      </c>
      <c r="C66" s="69">
        <v>28</v>
      </c>
      <c r="D66" s="69">
        <v>458</v>
      </c>
      <c r="E66" s="69">
        <v>62</v>
      </c>
      <c r="F66" s="67">
        <v>4</v>
      </c>
      <c r="G66" s="71">
        <v>8.300000000000001</v>
      </c>
    </row>
    <row r="67" spans="1:7">
      <c r="A67" s="67" t="s">
        <v>178</v>
      </c>
      <c r="B67" s="70">
        <v>45931</v>
      </c>
      <c r="C67" s="69">
        <v>12</v>
      </c>
      <c r="D67" s="69">
        <v>164</v>
      </c>
      <c r="E67" s="69">
        <v>21</v>
      </c>
      <c r="F67" s="67">
        <v>6</v>
      </c>
      <c r="G67" s="71">
        <v>6.8</v>
      </c>
    </row>
    <row r="68" spans="1:7">
      <c r="A68" s="67" t="s">
        <v>180</v>
      </c>
      <c r="B68" s="70">
        <v>45931</v>
      </c>
      <c r="C68" s="69">
        <v>973</v>
      </c>
      <c r="D68" s="69">
        <v>14418</v>
      </c>
      <c r="E68" s="69">
        <v>1211</v>
      </c>
      <c r="F68" s="67">
        <v>7</v>
      </c>
      <c r="G68" s="71">
        <v>8.199999999999999</v>
      </c>
    </row>
    <row r="69" spans="1:7">
      <c r="A69" s="67" t="s">
        <v>182</v>
      </c>
      <c r="B69" s="70">
        <v>45931</v>
      </c>
      <c r="C69" s="69">
        <v>14</v>
      </c>
      <c r="D69" s="69">
        <v>84</v>
      </c>
      <c r="E69" s="69">
        <v>22</v>
      </c>
      <c r="F69" s="67">
        <v>5</v>
      </c>
      <c r="G69" s="71">
        <v>23.2</v>
      </c>
    </row>
    <row r="70" spans="1:7">
      <c r="A70" s="67" t="s">
        <v>184</v>
      </c>
      <c r="B70" s="70">
        <v>45931</v>
      </c>
      <c r="C70" s="69">
        <v>108</v>
      </c>
      <c r="D70" s="69">
        <v>1022</v>
      </c>
      <c r="E70" s="69">
        <v>61</v>
      </c>
      <c r="F70" s="67">
        <v>6</v>
      </c>
      <c r="G70" s="71">
        <v>35.1</v>
      </c>
    </row>
    <row r="71" spans="1:7">
      <c r="A71" s="67" t="s">
        <v>186</v>
      </c>
      <c r="B71" s="70">
        <v>45931</v>
      </c>
      <c r="C71" s="69">
        <v>117</v>
      </c>
      <c r="D71" s="69">
        <v>933</v>
      </c>
      <c r="E71" s="69">
        <v>58</v>
      </c>
      <c r="F71" s="67">
        <v>5</v>
      </c>
      <c r="G71" s="71">
        <v>33.2</v>
      </c>
    </row>
    <row r="72" spans="1:7">
      <c r="A72" s="67" t="s">
        <v>188</v>
      </c>
      <c r="B72" s="70">
        <v>45931</v>
      </c>
      <c r="C72" s="69">
        <v>27</v>
      </c>
      <c r="D72" s="69">
        <v>240</v>
      </c>
      <c r="E72" s="69">
        <v>31</v>
      </c>
      <c r="F72" s="67">
        <v>3</v>
      </c>
      <c r="G72" s="71">
        <v>33.5</v>
      </c>
    </row>
    <row r="73" spans="1:7">
      <c r="A73" s="67" t="s">
        <v>190</v>
      </c>
      <c r="B73" s="70">
        <v>45931</v>
      </c>
      <c r="C73" s="69">
        <v>36</v>
      </c>
      <c r="D73" s="69">
        <v>497</v>
      </c>
      <c r="E73" s="69">
        <v>16</v>
      </c>
      <c r="F73" s="67">
        <v>3</v>
      </c>
      <c r="G73" s="71">
        <v>24.7</v>
      </c>
    </row>
    <row r="74" spans="1:7">
      <c r="A74" s="67" t="s">
        <v>192</v>
      </c>
      <c r="B74" s="70">
        <v>45931</v>
      </c>
      <c r="C74" s="69">
        <v>140</v>
      </c>
      <c r="D74" s="69">
        <v>1339</v>
      </c>
      <c r="E74" s="69">
        <v>108</v>
      </c>
      <c r="F74" s="67">
        <v>4</v>
      </c>
      <c r="G74" s="71">
        <v>31.2</v>
      </c>
    </row>
    <row r="75" spans="1:7">
      <c r="A75" s="67" t="s">
        <v>194</v>
      </c>
      <c r="B75" s="70">
        <v>45931</v>
      </c>
      <c r="C75" s="69">
        <v>59</v>
      </c>
      <c r="D75" s="69">
        <v>634</v>
      </c>
      <c r="E75" s="69">
        <v>46</v>
      </c>
      <c r="F75" s="67">
        <v>1</v>
      </c>
      <c r="G75" s="71">
        <v>36.4</v>
      </c>
    </row>
    <row r="76" spans="1:7">
      <c r="A76" s="67" t="s">
        <v>196</v>
      </c>
      <c r="B76" s="70">
        <v>45931</v>
      </c>
      <c r="C76" s="69">
        <v>99</v>
      </c>
      <c r="D76" s="69">
        <v>1435</v>
      </c>
      <c r="E76" s="69">
        <v>106</v>
      </c>
      <c r="F76" s="67">
        <v>4</v>
      </c>
      <c r="G76" s="71">
        <v>20</v>
      </c>
    </row>
    <row r="77" spans="1:7">
      <c r="A77" s="67" t="s">
        <v>198</v>
      </c>
      <c r="B77" s="70">
        <v>45931</v>
      </c>
      <c r="C77" s="69">
        <v>517</v>
      </c>
      <c r="D77" s="69">
        <v>6917</v>
      </c>
      <c r="E77" s="69">
        <v>437</v>
      </c>
      <c r="F77" s="67">
        <v>8</v>
      </c>
      <c r="G77" s="71">
        <v>26</v>
      </c>
    </row>
    <row r="78" spans="1:7">
      <c r="A78" s="67" t="s">
        <v>200</v>
      </c>
      <c r="B78" s="70">
        <v>45931</v>
      </c>
      <c r="C78" s="69">
        <v>119</v>
      </c>
      <c r="D78" s="69">
        <v>2051</v>
      </c>
      <c r="E78" s="69">
        <v>43</v>
      </c>
      <c r="F78" s="67">
        <v>3</v>
      </c>
      <c r="G78" s="71">
        <v>34.6</v>
      </c>
    </row>
    <row r="79" spans="1:7">
      <c r="A79" s="67" t="s">
        <v>202</v>
      </c>
      <c r="B79" s="70">
        <v>45931</v>
      </c>
      <c r="C79" s="69">
        <v>145</v>
      </c>
      <c r="D79" s="69">
        <v>1869</v>
      </c>
      <c r="E79" s="69">
        <v>104</v>
      </c>
      <c r="F79" s="67">
        <v>7</v>
      </c>
      <c r="G79" s="71">
        <v>18.7</v>
      </c>
    </row>
    <row r="80" spans="1:7">
      <c r="A80" s="67" t="s">
        <v>204</v>
      </c>
      <c r="B80" s="70">
        <v>45931</v>
      </c>
      <c r="C80" s="69">
        <v>14</v>
      </c>
      <c r="D80" s="69">
        <v>214</v>
      </c>
      <c r="E80" s="69">
        <v>12</v>
      </c>
      <c r="F80" s="67">
        <v>5</v>
      </c>
      <c r="G80" s="71">
        <v>18.5</v>
      </c>
    </row>
    <row r="81" spans="1:7">
      <c r="A81" s="67" t="s">
        <v>206</v>
      </c>
      <c r="B81" s="70">
        <v>45931</v>
      </c>
      <c r="C81" s="69">
        <v>558</v>
      </c>
      <c r="D81" s="69">
        <v>3305</v>
      </c>
      <c r="E81" s="69">
        <v>1258</v>
      </c>
      <c r="F81" s="67">
        <v>6</v>
      </c>
      <c r="G81" s="71">
        <v>5.4</v>
      </c>
    </row>
    <row r="82" spans="1:7">
      <c r="A82" s="67" t="s">
        <v>208</v>
      </c>
      <c r="B82" s="70">
        <v>45931</v>
      </c>
      <c r="C82" s="69">
        <v>11</v>
      </c>
      <c r="D82" s="69">
        <v>110</v>
      </c>
      <c r="E82" s="69">
        <v>24</v>
      </c>
      <c r="F82" s="67">
        <v>9</v>
      </c>
      <c r="G82" s="71">
        <v>19.7</v>
      </c>
    </row>
    <row r="83" spans="1:7">
      <c r="A83" s="67" t="s">
        <v>210</v>
      </c>
      <c r="B83" s="70">
        <v>45931</v>
      </c>
      <c r="C83" s="69">
        <v>137</v>
      </c>
      <c r="D83" s="69">
        <v>1524</v>
      </c>
      <c r="E83" s="69">
        <v>339</v>
      </c>
      <c r="F83" s="67">
        <v>4</v>
      </c>
      <c r="G83" s="71">
        <v>7.6</v>
      </c>
    </row>
    <row r="84" spans="1:7">
      <c r="A84" s="67" t="s">
        <v>212</v>
      </c>
      <c r="B84" s="70">
        <v>45931</v>
      </c>
      <c r="C84" s="69">
        <v>24</v>
      </c>
      <c r="D84" s="69">
        <v>187</v>
      </c>
      <c r="E84" s="69">
        <v>56</v>
      </c>
      <c r="F84" s="67">
        <v>7</v>
      </c>
      <c r="G84" s="71">
        <v>38.2</v>
      </c>
    </row>
    <row r="85" spans="1:7">
      <c r="A85" s="67" t="s">
        <v>214</v>
      </c>
      <c r="B85" s="70">
        <v>45931</v>
      </c>
      <c r="C85" s="69">
        <v>38</v>
      </c>
      <c r="D85" s="69">
        <v>542</v>
      </c>
      <c r="E85" s="69">
        <v>76</v>
      </c>
      <c r="F85" s="67">
        <v>6</v>
      </c>
      <c r="G85" s="71">
        <v>19.8</v>
      </c>
    </row>
    <row r="86" spans="1:7">
      <c r="A86" s="67" t="s">
        <v>216</v>
      </c>
      <c r="B86" s="70">
        <v>45931</v>
      </c>
      <c r="C86" s="69">
        <v>202</v>
      </c>
      <c r="D86" s="69">
        <v>2422</v>
      </c>
      <c r="E86" s="69">
        <v>128</v>
      </c>
      <c r="F86" s="67">
        <v>9</v>
      </c>
      <c r="G86" s="71">
        <v>7.9</v>
      </c>
    </row>
    <row r="87" spans="1:7">
      <c r="A87" s="67" t="s">
        <v>218</v>
      </c>
      <c r="B87" s="70">
        <v>45931</v>
      </c>
      <c r="C87" s="69">
        <v>14</v>
      </c>
      <c r="D87" s="69">
        <v>247</v>
      </c>
      <c r="E87" s="69">
        <v>9</v>
      </c>
      <c r="F87" s="67">
        <v>7</v>
      </c>
      <c r="G87" s="71">
        <v>16.4</v>
      </c>
    </row>
    <row r="88" spans="1:7">
      <c r="A88" s="67" t="s">
        <v>220</v>
      </c>
      <c r="B88" s="70">
        <v>45931</v>
      </c>
      <c r="C88" s="69">
        <v>53</v>
      </c>
      <c r="D88" s="69">
        <v>713</v>
      </c>
      <c r="E88" s="69">
        <v>91</v>
      </c>
      <c r="F88" s="67">
        <v>6</v>
      </c>
      <c r="G88" s="71">
        <v>15.9</v>
      </c>
    </row>
    <row r="89" spans="1:7">
      <c r="A89" s="67" t="s">
        <v>222</v>
      </c>
      <c r="B89" s="70">
        <v>45931</v>
      </c>
      <c r="C89" s="69">
        <v>23</v>
      </c>
      <c r="D89" s="69">
        <v>186</v>
      </c>
      <c r="E89" s="69">
        <v>19</v>
      </c>
      <c r="F89" s="67">
        <v>5</v>
      </c>
      <c r="G89" s="71">
        <v>37.4</v>
      </c>
    </row>
    <row r="90" spans="1:7">
      <c r="A90" s="67" t="s">
        <v>224</v>
      </c>
      <c r="B90" s="70">
        <v>45931</v>
      </c>
      <c r="C90" s="69">
        <v>8</v>
      </c>
      <c r="D90" s="69">
        <v>46</v>
      </c>
      <c r="E90" s="69">
        <v>14</v>
      </c>
      <c r="F90" s="67">
        <v>7</v>
      </c>
      <c r="G90" s="71">
        <v>28</v>
      </c>
    </row>
    <row r="91" spans="1:7">
      <c r="A91" s="67" t="s">
        <v>226</v>
      </c>
      <c r="B91" s="70">
        <v>45931</v>
      </c>
      <c r="C91" s="69">
        <v>12</v>
      </c>
      <c r="D91" s="69">
        <v>81</v>
      </c>
      <c r="E91" s="69">
        <v>4</v>
      </c>
      <c r="F91" s="67">
        <v>4</v>
      </c>
      <c r="G91" s="71">
        <v>22.4</v>
      </c>
    </row>
    <row r="92" spans="1:7">
      <c r="A92" s="67" t="s">
        <v>228</v>
      </c>
      <c r="B92" s="70">
        <v>45931</v>
      </c>
      <c r="C92" s="69">
        <v>12</v>
      </c>
      <c r="D92" s="69">
        <v>188</v>
      </c>
      <c r="E92" s="69">
        <v>10</v>
      </c>
      <c r="F92" s="67">
        <v>7</v>
      </c>
      <c r="G92" s="71">
        <v>18</v>
      </c>
    </row>
    <row r="93" spans="1:7">
      <c r="A93" s="67" t="s">
        <v>230</v>
      </c>
      <c r="B93" s="70">
        <v>45931</v>
      </c>
      <c r="C93" s="69">
        <v>187</v>
      </c>
      <c r="D93" s="69">
        <v>2717</v>
      </c>
      <c r="E93" s="69">
        <v>105</v>
      </c>
      <c r="F93" s="67">
        <v>7</v>
      </c>
      <c r="G93" s="71">
        <v>36.5</v>
      </c>
    </row>
    <row r="94" spans="1:7">
      <c r="A94" s="67" t="s">
        <v>232</v>
      </c>
      <c r="B94" s="70">
        <v>45931</v>
      </c>
      <c r="C94" s="69">
        <v>140</v>
      </c>
      <c r="D94" s="69">
        <v>1653</v>
      </c>
      <c r="E94" s="69">
        <v>123</v>
      </c>
      <c r="F94" s="67">
        <v>9</v>
      </c>
      <c r="G94" s="71">
        <v>39.1</v>
      </c>
    </row>
    <row r="95" spans="1:7">
      <c r="A95" s="67" t="s">
        <v>234</v>
      </c>
      <c r="B95" s="70">
        <v>45931</v>
      </c>
      <c r="C95" s="69">
        <v>19</v>
      </c>
      <c r="D95" s="69">
        <v>221</v>
      </c>
      <c r="E95" s="69">
        <v>8</v>
      </c>
      <c r="F95" s="67">
        <v>6</v>
      </c>
      <c r="G95" s="71">
        <v>35.1</v>
      </c>
    </row>
    <row r="96" spans="1:7">
      <c r="A96" s="67" t="s">
        <v>236</v>
      </c>
      <c r="B96" s="70">
        <v>45931</v>
      </c>
      <c r="C96" s="69">
        <v>105</v>
      </c>
      <c r="D96" s="69">
        <v>1581</v>
      </c>
      <c r="E96" s="69">
        <v>238</v>
      </c>
      <c r="F96" s="67">
        <v>3</v>
      </c>
      <c r="G96" s="71">
        <v>28.6</v>
      </c>
    </row>
    <row r="97" spans="1:7">
      <c r="A97" s="67" t="s">
        <v>238</v>
      </c>
      <c r="B97" s="70">
        <v>45931</v>
      </c>
      <c r="C97" s="69">
        <v>25</v>
      </c>
      <c r="D97" s="69">
        <v>126</v>
      </c>
      <c r="E97" s="69">
        <v>55</v>
      </c>
      <c r="F97" s="67">
        <v>9</v>
      </c>
      <c r="G97" s="71">
        <v>5.4</v>
      </c>
    </row>
    <row r="98" spans="1:7">
      <c r="A98" s="67" t="s">
        <v>240</v>
      </c>
      <c r="B98" s="70">
        <v>45931</v>
      </c>
      <c r="C98" s="69">
        <v>24</v>
      </c>
      <c r="D98" s="69">
        <v>407</v>
      </c>
      <c r="E98" s="69">
        <v>17</v>
      </c>
      <c r="F98" s="67">
        <v>7</v>
      </c>
      <c r="G98" s="71">
        <v>38.6</v>
      </c>
    </row>
    <row r="99" spans="1:7">
      <c r="A99" s="67" t="s">
        <v>242</v>
      </c>
      <c r="B99" s="70">
        <v>45931</v>
      </c>
      <c r="C99" s="69">
        <v>734</v>
      </c>
      <c r="D99" s="69">
        <v>10483</v>
      </c>
      <c r="E99" s="69">
        <v>1279</v>
      </c>
      <c r="F99" s="67">
        <v>8</v>
      </c>
      <c r="G99" s="71">
        <v>12.9</v>
      </c>
    </row>
    <row r="100" spans="1:7">
      <c r="A100" s="67" t="s">
        <v>244</v>
      </c>
      <c r="B100" s="70">
        <v>45931</v>
      </c>
      <c r="C100" s="69">
        <v>32</v>
      </c>
      <c r="D100" s="69">
        <v>293</v>
      </c>
      <c r="E100" s="69">
        <v>68</v>
      </c>
      <c r="F100" s="67">
        <v>8</v>
      </c>
      <c r="G100" s="71">
        <v>25</v>
      </c>
    </row>
    <row r="101" spans="1:7">
      <c r="A101" s="67" t="s">
        <v>246</v>
      </c>
      <c r="B101" s="70">
        <v>45931</v>
      </c>
      <c r="C101" s="69">
        <v>51</v>
      </c>
      <c r="D101" s="69">
        <v>290</v>
      </c>
      <c r="E101" s="69">
        <v>40</v>
      </c>
      <c r="F101" s="67">
        <v>9</v>
      </c>
      <c r="G101" s="71">
        <v>23.1</v>
      </c>
    </row>
    <row r="102" spans="1:7">
      <c r="A102" s="67" t="s">
        <v>248</v>
      </c>
      <c r="B102" s="70">
        <v>45931</v>
      </c>
      <c r="C102" s="69">
        <v>31</v>
      </c>
      <c r="D102" s="69">
        <v>508</v>
      </c>
      <c r="E102" s="69">
        <v>68</v>
      </c>
      <c r="F102" s="67">
        <v>7</v>
      </c>
      <c r="G102" s="71">
        <v>32.1</v>
      </c>
    </row>
    <row r="103" spans="1:7">
      <c r="A103" s="67" t="s">
        <v>250</v>
      </c>
      <c r="B103" s="70">
        <v>45931</v>
      </c>
      <c r="C103" s="69">
        <v>130</v>
      </c>
      <c r="D103" s="69">
        <v>1422</v>
      </c>
      <c r="E103" s="69">
        <v>145</v>
      </c>
      <c r="F103" s="67">
        <v>5</v>
      </c>
      <c r="G103" s="71">
        <v>15.2</v>
      </c>
    </row>
    <row r="104" spans="1:7">
      <c r="A104" s="67" t="s">
        <v>252</v>
      </c>
      <c r="B104" s="70">
        <v>45931</v>
      </c>
      <c r="C104" s="69">
        <v>12</v>
      </c>
      <c r="D104" s="69">
        <v>98</v>
      </c>
      <c r="E104" s="69">
        <v>13</v>
      </c>
      <c r="F104" s="67">
        <v>5</v>
      </c>
      <c r="G104" s="71">
        <v>39</v>
      </c>
    </row>
    <row r="105" spans="1:7">
      <c r="A105" s="67" t="s">
        <v>254</v>
      </c>
      <c r="B105" s="70">
        <v>45931</v>
      </c>
      <c r="C105" s="69">
        <v>114</v>
      </c>
      <c r="D105" s="69">
        <v>1656</v>
      </c>
      <c r="E105" s="69">
        <v>171</v>
      </c>
      <c r="F105" s="67">
        <v>5</v>
      </c>
      <c r="G105" s="71">
        <v>32.9</v>
      </c>
    </row>
    <row r="106" spans="1:7">
      <c r="A106" s="67" t="s">
        <v>256</v>
      </c>
      <c r="B106" s="70">
        <v>45931</v>
      </c>
      <c r="C106" s="69">
        <v>218</v>
      </c>
      <c r="D106" s="69">
        <v>1158</v>
      </c>
      <c r="E106" s="69">
        <v>325</v>
      </c>
      <c r="F106" s="67">
        <v>8</v>
      </c>
      <c r="G106" s="71">
        <v>27.3</v>
      </c>
    </row>
    <row r="107" spans="1:7">
      <c r="A107" s="67" t="s">
        <v>258</v>
      </c>
      <c r="B107" s="70">
        <v>45931</v>
      </c>
      <c r="C107" s="69">
        <v>398</v>
      </c>
      <c r="D107" s="69">
        <v>3723</v>
      </c>
      <c r="E107" s="69">
        <v>784</v>
      </c>
      <c r="F107" s="67">
        <v>5</v>
      </c>
      <c r="G107" s="71">
        <v>18.2</v>
      </c>
    </row>
    <row r="108" spans="1:7">
      <c r="A108" s="67" t="s">
        <v>260</v>
      </c>
      <c r="B108" s="70">
        <v>45931</v>
      </c>
      <c r="C108" s="69">
        <v>859</v>
      </c>
      <c r="D108" s="69">
        <v>6586</v>
      </c>
      <c r="E108" s="69">
        <v>2116</v>
      </c>
      <c r="F108" s="67">
        <v>5</v>
      </c>
      <c r="G108" s="71">
        <v>19.7</v>
      </c>
    </row>
    <row r="109" spans="1:7">
      <c r="A109" s="67" t="s">
        <v>262</v>
      </c>
      <c r="B109" s="70">
        <v>45931</v>
      </c>
      <c r="C109" s="69">
        <v>62</v>
      </c>
      <c r="D109" s="69">
        <v>425</v>
      </c>
      <c r="E109" s="69">
        <v>57</v>
      </c>
      <c r="F109" s="67">
        <v>8</v>
      </c>
      <c r="G109" s="71">
        <v>6.5</v>
      </c>
    </row>
    <row r="110" spans="1:7">
      <c r="A110" s="67" t="s">
        <v>264</v>
      </c>
      <c r="B110" s="70">
        <v>45931</v>
      </c>
      <c r="C110" s="69">
        <v>793</v>
      </c>
      <c r="D110" s="69">
        <v>8223</v>
      </c>
      <c r="E110" s="69">
        <v>1800</v>
      </c>
      <c r="F110" s="67">
        <v>8</v>
      </c>
      <c r="G110" s="71">
        <v>21</v>
      </c>
    </row>
    <row r="111" spans="1:7">
      <c r="A111" s="67" t="s">
        <v>266</v>
      </c>
      <c r="B111" s="70">
        <v>45931</v>
      </c>
      <c r="C111" s="69">
        <v>102</v>
      </c>
      <c r="D111" s="69">
        <v>1180</v>
      </c>
      <c r="E111" s="69">
        <v>174</v>
      </c>
      <c r="F111" s="67">
        <v>4</v>
      </c>
      <c r="G111" s="71">
        <v>18.8</v>
      </c>
    </row>
    <row r="112" spans="1:7">
      <c r="A112" s="67" t="s">
        <v>268</v>
      </c>
      <c r="B112" s="70">
        <v>45931</v>
      </c>
      <c r="C112" s="69">
        <v>32</v>
      </c>
      <c r="D112" s="69">
        <v>436</v>
      </c>
      <c r="E112" s="69">
        <v>19</v>
      </c>
      <c r="F112" s="67">
        <v>3</v>
      </c>
      <c r="G112" s="71">
        <v>15.2</v>
      </c>
    </row>
    <row r="113" spans="1:7">
      <c r="A113" s="67" t="s">
        <v>270</v>
      </c>
      <c r="B113" s="70">
        <v>45931</v>
      </c>
      <c r="C113" s="69">
        <v>43</v>
      </c>
      <c r="D113" s="69">
        <v>435</v>
      </c>
      <c r="E113" s="69">
        <v>92</v>
      </c>
      <c r="F113" s="67">
        <v>6</v>
      </c>
      <c r="G113" s="71">
        <v>16.4</v>
      </c>
    </row>
    <row r="114" spans="1:7">
      <c r="A114" s="67" t="s">
        <v>272</v>
      </c>
      <c r="B114" s="70">
        <v>45931</v>
      </c>
      <c r="C114" s="69">
        <v>26</v>
      </c>
      <c r="D114" s="69">
        <v>449</v>
      </c>
      <c r="E114" s="69">
        <v>16</v>
      </c>
      <c r="F114" s="67">
        <v>8</v>
      </c>
      <c r="G114" s="71">
        <v>32</v>
      </c>
    </row>
    <row r="115" spans="1:7">
      <c r="A115" s="67" t="s">
        <v>274</v>
      </c>
      <c r="B115" s="70">
        <v>45931</v>
      </c>
      <c r="C115" s="69">
        <v>467</v>
      </c>
      <c r="D115" s="69">
        <v>5064</v>
      </c>
      <c r="E115" s="69">
        <v>463</v>
      </c>
      <c r="F115" s="67">
        <v>5</v>
      </c>
      <c r="G115" s="71">
        <v>9.199999999999999</v>
      </c>
    </row>
    <row r="116" spans="1:7">
      <c r="A116" s="67" t="s">
        <v>276</v>
      </c>
      <c r="B116" s="70">
        <v>45931</v>
      </c>
      <c r="C116" s="69">
        <v>104</v>
      </c>
      <c r="D116" s="69">
        <v>1131</v>
      </c>
      <c r="E116" s="69">
        <v>137</v>
      </c>
      <c r="F116" s="67">
        <v>7</v>
      </c>
      <c r="G116" s="71">
        <v>34.8</v>
      </c>
    </row>
    <row r="117" spans="1:7">
      <c r="A117" s="67" t="s">
        <v>278</v>
      </c>
      <c r="B117" s="70">
        <v>45931</v>
      </c>
      <c r="C117" s="69">
        <v>28</v>
      </c>
      <c r="D117" s="69">
        <v>251</v>
      </c>
      <c r="E117" s="69">
        <v>52</v>
      </c>
      <c r="F117" s="67">
        <v>6</v>
      </c>
      <c r="G117" s="71">
        <v>26.1</v>
      </c>
    </row>
    <row r="118" spans="1:7">
      <c r="A118" s="67" t="s">
        <v>280</v>
      </c>
      <c r="B118" s="70">
        <v>45931</v>
      </c>
      <c r="C118" s="69">
        <v>16</v>
      </c>
      <c r="D118" s="69">
        <v>111</v>
      </c>
      <c r="E118" s="69">
        <v>30</v>
      </c>
      <c r="F118" s="67">
        <v>8</v>
      </c>
      <c r="G118" s="71">
        <v>38.9</v>
      </c>
    </row>
    <row r="119" spans="1:7">
      <c r="A119" s="67" t="s">
        <v>282</v>
      </c>
      <c r="B119" s="70">
        <v>45931</v>
      </c>
      <c r="C119" s="69">
        <v>37</v>
      </c>
      <c r="D119" s="69">
        <v>329</v>
      </c>
      <c r="E119" s="69">
        <v>78</v>
      </c>
      <c r="F119" s="67">
        <v>9</v>
      </c>
      <c r="G119" s="71">
        <v>11.1</v>
      </c>
    </row>
    <row r="120" spans="1:7">
      <c r="A120" s="67" t="s">
        <v>284</v>
      </c>
      <c r="B120" s="70">
        <v>45931</v>
      </c>
      <c r="C120" s="69">
        <v>169</v>
      </c>
      <c r="D120" s="69">
        <v>2066</v>
      </c>
      <c r="E120" s="69">
        <v>255</v>
      </c>
      <c r="F120" s="67">
        <v>6</v>
      </c>
      <c r="G120" s="71">
        <v>8.300000000000001</v>
      </c>
    </row>
    <row r="121" spans="1:7">
      <c r="A121" s="67" t="s">
        <v>286</v>
      </c>
      <c r="B121" s="70">
        <v>45931</v>
      </c>
      <c r="C121" s="69">
        <v>17</v>
      </c>
      <c r="D121" s="69">
        <v>112</v>
      </c>
      <c r="E121" s="69">
        <v>7</v>
      </c>
      <c r="F121" s="67">
        <v>7</v>
      </c>
      <c r="G121" s="71">
        <v>32.3</v>
      </c>
    </row>
    <row r="122" spans="1:7">
      <c r="A122" s="67" t="s">
        <v>288</v>
      </c>
      <c r="B122" s="70">
        <v>45931</v>
      </c>
      <c r="C122" s="69">
        <v>217</v>
      </c>
      <c r="D122" s="69">
        <v>2215</v>
      </c>
      <c r="E122" s="69">
        <v>393</v>
      </c>
      <c r="F122" s="67">
        <v>7</v>
      </c>
      <c r="G122" s="71">
        <v>37.8</v>
      </c>
    </row>
    <row r="123" spans="1:7">
      <c r="A123" s="67" t="s">
        <v>290</v>
      </c>
      <c r="B123" s="70">
        <v>45931</v>
      </c>
      <c r="C123" s="69">
        <v>242</v>
      </c>
      <c r="D123" s="69">
        <v>4096</v>
      </c>
      <c r="E123" s="69">
        <v>113</v>
      </c>
      <c r="F123" s="67">
        <v>8</v>
      </c>
      <c r="G123" s="71">
        <v>39.9</v>
      </c>
    </row>
    <row r="124" spans="1:7">
      <c r="A124" s="67" t="s">
        <v>292</v>
      </c>
      <c r="B124" s="70">
        <v>45931</v>
      </c>
      <c r="C124" s="69">
        <v>93</v>
      </c>
      <c r="D124" s="69">
        <v>1443</v>
      </c>
      <c r="E124" s="69">
        <v>47</v>
      </c>
      <c r="F124" s="67">
        <v>4</v>
      </c>
      <c r="G124" s="71">
        <v>34.7</v>
      </c>
    </row>
    <row r="125" spans="1:7">
      <c r="A125" s="67" t="s">
        <v>294</v>
      </c>
      <c r="B125" s="70">
        <v>45931</v>
      </c>
      <c r="C125" s="69">
        <v>33</v>
      </c>
      <c r="D125" s="69">
        <v>569</v>
      </c>
      <c r="E125" s="69">
        <v>14</v>
      </c>
      <c r="F125" s="67">
        <v>6</v>
      </c>
      <c r="G125" s="71">
        <v>37.3</v>
      </c>
    </row>
    <row r="126" spans="1:7">
      <c r="A126" s="67" t="s">
        <v>296</v>
      </c>
      <c r="B126" s="70">
        <v>45931</v>
      </c>
      <c r="C126" s="69">
        <v>246</v>
      </c>
      <c r="D126" s="69">
        <v>2817</v>
      </c>
      <c r="E126" s="69">
        <v>281</v>
      </c>
      <c r="F126" s="67">
        <v>7</v>
      </c>
      <c r="G126" s="71">
        <v>19.9</v>
      </c>
    </row>
    <row r="127" spans="1:7">
      <c r="A127" s="67" t="s">
        <v>298</v>
      </c>
      <c r="B127" s="70">
        <v>45931</v>
      </c>
      <c r="C127" s="69">
        <v>177</v>
      </c>
      <c r="D127" s="69">
        <v>1518</v>
      </c>
      <c r="E127" s="69">
        <v>227</v>
      </c>
      <c r="F127" s="67">
        <v>8</v>
      </c>
      <c r="G127" s="71">
        <v>10.2</v>
      </c>
    </row>
    <row r="128" spans="1:7">
      <c r="A128" s="67" t="s">
        <v>300</v>
      </c>
      <c r="B128" s="70">
        <v>45931</v>
      </c>
      <c r="C128" s="69">
        <v>88</v>
      </c>
      <c r="D128" s="69">
        <v>1180</v>
      </c>
      <c r="E128" s="69">
        <v>123</v>
      </c>
      <c r="F128" s="67">
        <v>2</v>
      </c>
      <c r="G128" s="71">
        <v>35.9</v>
      </c>
    </row>
    <row r="129" spans="1:7">
      <c r="A129" s="67" t="s">
        <v>302</v>
      </c>
      <c r="B129" s="70">
        <v>45931</v>
      </c>
      <c r="C129" s="69">
        <v>22</v>
      </c>
      <c r="D129" s="69">
        <v>220</v>
      </c>
      <c r="E129" s="69">
        <v>27</v>
      </c>
      <c r="F129" s="67">
        <v>6</v>
      </c>
      <c r="G129" s="71">
        <v>27.5</v>
      </c>
    </row>
    <row r="130" spans="1:7">
      <c r="A130" s="67" t="s">
        <v>304</v>
      </c>
      <c r="B130" s="70">
        <v>45931</v>
      </c>
      <c r="C130" s="69">
        <v>32</v>
      </c>
      <c r="D130" s="69">
        <v>574</v>
      </c>
      <c r="E130" s="69">
        <v>48</v>
      </c>
      <c r="F130" s="67">
        <v>3</v>
      </c>
      <c r="G130" s="71">
        <v>5.7</v>
      </c>
    </row>
    <row r="131" spans="1:7">
      <c r="A131" s="67" t="s">
        <v>306</v>
      </c>
      <c r="B131" s="70">
        <v>45931</v>
      </c>
      <c r="C131" s="69">
        <v>68</v>
      </c>
      <c r="D131" s="69">
        <v>764</v>
      </c>
      <c r="E131" s="69">
        <v>137</v>
      </c>
      <c r="F131" s="67">
        <v>7</v>
      </c>
      <c r="G131" s="71">
        <v>17</v>
      </c>
    </row>
    <row r="132" spans="1:7">
      <c r="A132" s="67" t="s">
        <v>308</v>
      </c>
      <c r="B132" s="70">
        <v>45931</v>
      </c>
      <c r="C132" s="69">
        <v>141</v>
      </c>
      <c r="D132" s="69">
        <v>1201</v>
      </c>
      <c r="E132" s="69">
        <v>50</v>
      </c>
      <c r="F132" s="67">
        <v>4</v>
      </c>
      <c r="G132" s="71">
        <v>25.9</v>
      </c>
    </row>
    <row r="133" spans="1:7">
      <c r="A133" s="67" t="s">
        <v>310</v>
      </c>
      <c r="B133" s="70">
        <v>45931</v>
      </c>
      <c r="C133" s="69">
        <v>187</v>
      </c>
      <c r="D133" s="69">
        <v>1618</v>
      </c>
      <c r="E133" s="69">
        <v>389</v>
      </c>
      <c r="F133" s="67">
        <v>7</v>
      </c>
      <c r="G133" s="71">
        <v>21.5</v>
      </c>
    </row>
    <row r="134" spans="1:7">
      <c r="A134" s="67" t="s">
        <v>312</v>
      </c>
      <c r="B134" s="70">
        <v>45931</v>
      </c>
      <c r="C134" s="69">
        <v>126</v>
      </c>
      <c r="D134" s="69">
        <v>1011</v>
      </c>
      <c r="E134" s="69">
        <v>82</v>
      </c>
      <c r="F134" s="67">
        <v>7</v>
      </c>
      <c r="G134" s="71">
        <v>13.7</v>
      </c>
    </row>
    <row r="135" spans="1:7">
      <c r="A135" s="67" t="s">
        <v>314</v>
      </c>
      <c r="B135" s="70">
        <v>45931</v>
      </c>
      <c r="C135" s="69">
        <v>14</v>
      </c>
      <c r="D135" s="69">
        <v>214</v>
      </c>
      <c r="E135" s="69">
        <v>27</v>
      </c>
      <c r="F135" s="67">
        <v>5</v>
      </c>
      <c r="G135" s="71">
        <v>31.7</v>
      </c>
    </row>
    <row r="136" spans="1:7">
      <c r="A136" s="67" t="s">
        <v>316</v>
      </c>
      <c r="B136" s="70">
        <v>45931</v>
      </c>
      <c r="C136" s="69">
        <v>26</v>
      </c>
      <c r="D136" s="69">
        <v>462</v>
      </c>
      <c r="E136" s="69">
        <v>30</v>
      </c>
      <c r="F136" s="67">
        <v>4</v>
      </c>
      <c r="G136" s="71">
        <v>37.7</v>
      </c>
    </row>
    <row r="137" spans="1:7">
      <c r="A137" s="67" t="s">
        <v>318</v>
      </c>
      <c r="B137" s="70">
        <v>45931</v>
      </c>
      <c r="C137" s="69">
        <v>160</v>
      </c>
      <c r="D137" s="69">
        <v>1292</v>
      </c>
      <c r="E137" s="69">
        <v>160</v>
      </c>
      <c r="F137" s="67">
        <v>6</v>
      </c>
      <c r="G137" s="71">
        <v>30.8</v>
      </c>
    </row>
    <row r="138" spans="1:7">
      <c r="A138" s="67" t="s">
        <v>320</v>
      </c>
      <c r="B138" s="70">
        <v>45931</v>
      </c>
      <c r="C138" s="69">
        <v>138</v>
      </c>
      <c r="D138" s="69">
        <v>1952</v>
      </c>
      <c r="E138" s="69">
        <v>148</v>
      </c>
      <c r="F138" s="67">
        <v>5</v>
      </c>
      <c r="G138" s="71">
        <v>24.9</v>
      </c>
    </row>
    <row r="139" spans="1:7">
      <c r="A139" s="67" t="s">
        <v>322</v>
      </c>
      <c r="B139" s="70">
        <v>45931</v>
      </c>
      <c r="C139" s="69">
        <v>48</v>
      </c>
      <c r="D139" s="69">
        <v>762</v>
      </c>
      <c r="E139" s="69">
        <v>100</v>
      </c>
      <c r="F139" s="67">
        <v>7</v>
      </c>
      <c r="G139" s="71">
        <v>39</v>
      </c>
    </row>
    <row r="140" spans="1:7">
      <c r="A140" s="67" t="s">
        <v>324</v>
      </c>
      <c r="B140" s="70">
        <v>45931</v>
      </c>
      <c r="C140" s="69">
        <v>737</v>
      </c>
      <c r="D140" s="69">
        <v>4049</v>
      </c>
      <c r="E140" s="69">
        <v>312</v>
      </c>
      <c r="F140" s="67">
        <v>6</v>
      </c>
      <c r="G140" s="71">
        <v>26.1</v>
      </c>
    </row>
    <row r="141" spans="1:7">
      <c r="A141" s="67" t="s">
        <v>326</v>
      </c>
      <c r="B141" s="70">
        <v>45931</v>
      </c>
      <c r="C141" s="69">
        <v>31</v>
      </c>
      <c r="D141" s="69">
        <v>289</v>
      </c>
      <c r="E141" s="69">
        <v>51</v>
      </c>
      <c r="F141" s="67">
        <v>7</v>
      </c>
      <c r="G141" s="71">
        <v>33.2</v>
      </c>
    </row>
    <row r="142" spans="1:7">
      <c r="A142" s="67" t="s">
        <v>328</v>
      </c>
      <c r="B142" s="70">
        <v>45931</v>
      </c>
      <c r="C142" s="69">
        <v>122</v>
      </c>
      <c r="D142" s="69">
        <v>1883</v>
      </c>
      <c r="E142" s="69">
        <v>270</v>
      </c>
      <c r="F142" s="67">
        <v>7</v>
      </c>
      <c r="G142" s="71">
        <v>7.1</v>
      </c>
    </row>
    <row r="143" spans="1:7">
      <c r="A143" s="67" t="s">
        <v>330</v>
      </c>
      <c r="B143" s="70">
        <v>45931</v>
      </c>
      <c r="C143" s="69">
        <v>43</v>
      </c>
      <c r="D143" s="69">
        <v>294</v>
      </c>
      <c r="E143" s="69">
        <v>23</v>
      </c>
      <c r="F143" s="67">
        <v>9</v>
      </c>
      <c r="G143" s="71">
        <v>23.4</v>
      </c>
    </row>
    <row r="144" spans="1:7">
      <c r="A144" s="67" t="s">
        <v>332</v>
      </c>
      <c r="B144" s="70">
        <v>45931</v>
      </c>
      <c r="C144" s="69">
        <v>36</v>
      </c>
      <c r="D144" s="69">
        <v>510</v>
      </c>
      <c r="E144" s="69">
        <v>63</v>
      </c>
      <c r="F144" s="67">
        <v>9</v>
      </c>
      <c r="G144" s="71">
        <v>25.5</v>
      </c>
    </row>
    <row r="145" spans="1:7">
      <c r="A145" s="67" t="s">
        <v>334</v>
      </c>
      <c r="B145" s="70">
        <v>45931</v>
      </c>
      <c r="C145" s="69">
        <v>379</v>
      </c>
      <c r="D145" s="69">
        <v>6703</v>
      </c>
      <c r="E145" s="69">
        <v>724</v>
      </c>
      <c r="F145" s="67">
        <v>5</v>
      </c>
      <c r="G145" s="71">
        <v>20.3</v>
      </c>
    </row>
    <row r="146" spans="1:7">
      <c r="A146" s="67" t="s">
        <v>336</v>
      </c>
      <c r="B146" s="70">
        <v>45931</v>
      </c>
      <c r="C146" s="69">
        <v>723</v>
      </c>
      <c r="D146" s="69">
        <v>6597</v>
      </c>
      <c r="E146" s="69">
        <v>1342</v>
      </c>
      <c r="F146" s="67">
        <v>5</v>
      </c>
      <c r="G146" s="71">
        <v>24.7</v>
      </c>
    </row>
    <row r="147" spans="1:7">
      <c r="A147" s="67" t="s">
        <v>338</v>
      </c>
      <c r="B147" s="70">
        <v>45931</v>
      </c>
      <c r="C147" s="69">
        <v>23</v>
      </c>
      <c r="D147" s="69">
        <v>222</v>
      </c>
      <c r="E147" s="69">
        <v>41</v>
      </c>
      <c r="F147" s="67">
        <v>4</v>
      </c>
      <c r="G147" s="71">
        <v>33.5</v>
      </c>
    </row>
    <row r="148" spans="1:7">
      <c r="A148" s="67" t="s">
        <v>340</v>
      </c>
      <c r="B148" s="70">
        <v>45931</v>
      </c>
      <c r="C148" s="69">
        <v>75</v>
      </c>
      <c r="D148" s="69">
        <v>662</v>
      </c>
      <c r="E148" s="69">
        <v>52</v>
      </c>
      <c r="F148" s="67">
        <v>8</v>
      </c>
      <c r="G148" s="71">
        <v>5.1</v>
      </c>
    </row>
    <row r="149" spans="1:7">
      <c r="A149" s="67" t="s">
        <v>342</v>
      </c>
      <c r="B149" s="70">
        <v>45931</v>
      </c>
      <c r="C149" s="69">
        <v>10</v>
      </c>
      <c r="D149" s="69">
        <v>161</v>
      </c>
      <c r="E149" s="69">
        <v>20</v>
      </c>
      <c r="F149" s="67">
        <v>6</v>
      </c>
      <c r="G149" s="71">
        <v>24.9</v>
      </c>
    </row>
    <row r="150" spans="1:7">
      <c r="A150" s="67" t="s">
        <v>344</v>
      </c>
      <c r="B150" s="70">
        <v>45931</v>
      </c>
      <c r="C150" s="69">
        <v>12</v>
      </c>
      <c r="D150" s="69">
        <v>186</v>
      </c>
      <c r="E150" s="69">
        <v>20</v>
      </c>
      <c r="F150" s="67">
        <v>6</v>
      </c>
      <c r="G150" s="71">
        <v>27.4</v>
      </c>
    </row>
    <row r="151" spans="1:7">
      <c r="A151" s="67" t="s">
        <v>346</v>
      </c>
      <c r="B151" s="70">
        <v>45931</v>
      </c>
      <c r="C151" s="69">
        <v>327</v>
      </c>
      <c r="D151" s="69">
        <v>3043</v>
      </c>
      <c r="E151" s="69">
        <v>154</v>
      </c>
      <c r="F151" s="67">
        <v>4</v>
      </c>
      <c r="G151" s="71">
        <v>17.1</v>
      </c>
    </row>
    <row r="152" spans="1:7">
      <c r="A152" s="67" t="s">
        <v>14</v>
      </c>
      <c r="B152" s="70">
        <v>45962</v>
      </c>
      <c r="C152" s="69">
        <v>155</v>
      </c>
      <c r="D152" s="69">
        <v>2716</v>
      </c>
      <c r="E152" s="69">
        <v>327</v>
      </c>
      <c r="F152" s="67">
        <v>4</v>
      </c>
      <c r="G152" s="71">
        <v>28.5</v>
      </c>
    </row>
    <row r="153" spans="1:7">
      <c r="A153" s="67" t="s">
        <v>23</v>
      </c>
      <c r="B153" s="70">
        <v>45962</v>
      </c>
      <c r="C153" s="69">
        <v>50</v>
      </c>
      <c r="D153" s="69">
        <v>257</v>
      </c>
      <c r="E153" s="69">
        <v>38</v>
      </c>
      <c r="F153" s="67">
        <v>6</v>
      </c>
      <c r="G153" s="71">
        <v>29.3</v>
      </c>
    </row>
    <row r="154" spans="1:7">
      <c r="A154" s="67" t="s">
        <v>30</v>
      </c>
      <c r="B154" s="70">
        <v>45962</v>
      </c>
      <c r="C154" s="69">
        <v>181</v>
      </c>
      <c r="D154" s="69">
        <v>2600</v>
      </c>
      <c r="E154" s="69">
        <v>73</v>
      </c>
      <c r="F154" s="67">
        <v>9</v>
      </c>
      <c r="G154" s="71">
        <v>20.3</v>
      </c>
    </row>
    <row r="155" spans="1:7">
      <c r="A155" s="67" t="s">
        <v>35</v>
      </c>
      <c r="B155" s="70">
        <v>45962</v>
      </c>
      <c r="C155" s="69">
        <v>26</v>
      </c>
      <c r="D155" s="69">
        <v>270</v>
      </c>
      <c r="E155" s="69">
        <v>58</v>
      </c>
      <c r="F155" s="67">
        <v>5</v>
      </c>
      <c r="G155" s="71">
        <v>17.3</v>
      </c>
    </row>
    <row r="156" spans="1:7">
      <c r="A156" s="67" t="s">
        <v>41</v>
      </c>
      <c r="B156" s="70">
        <v>45962</v>
      </c>
      <c r="C156" s="69">
        <v>73</v>
      </c>
      <c r="D156" s="69">
        <v>1114</v>
      </c>
      <c r="E156" s="69">
        <v>115</v>
      </c>
      <c r="F156" s="67">
        <v>6</v>
      </c>
      <c r="G156" s="71">
        <v>31.5</v>
      </c>
    </row>
    <row r="157" spans="1:7">
      <c r="A157" s="67" t="s">
        <v>44</v>
      </c>
      <c r="B157" s="70">
        <v>45962</v>
      </c>
      <c r="C157" s="69">
        <v>67</v>
      </c>
      <c r="D157" s="69">
        <v>1031</v>
      </c>
      <c r="E157" s="69">
        <v>25</v>
      </c>
      <c r="F157" s="67">
        <v>7</v>
      </c>
      <c r="G157" s="71">
        <v>5.7</v>
      </c>
    </row>
    <row r="158" spans="1:7">
      <c r="A158" s="67" t="s">
        <v>47</v>
      </c>
      <c r="B158" s="70">
        <v>45962</v>
      </c>
      <c r="C158" s="69">
        <v>23</v>
      </c>
      <c r="D158" s="69">
        <v>217</v>
      </c>
      <c r="E158" s="69">
        <v>52</v>
      </c>
      <c r="F158" s="67">
        <v>5</v>
      </c>
      <c r="G158" s="71">
        <v>10.6</v>
      </c>
    </row>
    <row r="159" spans="1:7">
      <c r="A159" s="67" t="s">
        <v>51</v>
      </c>
      <c r="B159" s="70">
        <v>45962</v>
      </c>
      <c r="C159" s="69">
        <v>1039</v>
      </c>
      <c r="D159" s="69">
        <v>18405</v>
      </c>
      <c r="E159" s="69">
        <v>1084</v>
      </c>
      <c r="F159" s="67">
        <v>9</v>
      </c>
      <c r="G159" s="71">
        <v>39.5</v>
      </c>
    </row>
    <row r="160" spans="1:7">
      <c r="A160" s="67" t="s">
        <v>54</v>
      </c>
      <c r="B160" s="70">
        <v>45962</v>
      </c>
      <c r="C160" s="69">
        <v>7</v>
      </c>
      <c r="D160" s="69">
        <v>74</v>
      </c>
      <c r="E160" s="69">
        <v>12</v>
      </c>
      <c r="F160" s="67">
        <v>3</v>
      </c>
      <c r="G160" s="71">
        <v>26.3</v>
      </c>
    </row>
    <row r="161" spans="1:7">
      <c r="A161" s="67" t="s">
        <v>57</v>
      </c>
      <c r="B161" s="70">
        <v>45962</v>
      </c>
      <c r="C161" s="69">
        <v>748</v>
      </c>
      <c r="D161" s="69">
        <v>6960</v>
      </c>
      <c r="E161" s="69">
        <v>1828</v>
      </c>
      <c r="F161" s="67">
        <v>8</v>
      </c>
      <c r="G161" s="71">
        <v>19.3</v>
      </c>
    </row>
    <row r="162" spans="1:7">
      <c r="A162" s="67" t="s">
        <v>59</v>
      </c>
      <c r="B162" s="70">
        <v>45962</v>
      </c>
      <c r="C162" s="69">
        <v>86</v>
      </c>
      <c r="D162" s="69">
        <v>1034</v>
      </c>
      <c r="E162" s="69">
        <v>151</v>
      </c>
      <c r="F162" s="67">
        <v>4</v>
      </c>
      <c r="G162" s="71">
        <v>15.4</v>
      </c>
    </row>
    <row r="163" spans="1:7">
      <c r="A163" s="67" t="s">
        <v>63</v>
      </c>
      <c r="B163" s="70">
        <v>45962</v>
      </c>
      <c r="C163" s="69">
        <v>21</v>
      </c>
      <c r="D163" s="69">
        <v>255</v>
      </c>
      <c r="E163" s="69">
        <v>29</v>
      </c>
      <c r="F163" s="67">
        <v>5</v>
      </c>
      <c r="G163" s="71">
        <v>6.9</v>
      </c>
    </row>
    <row r="164" spans="1:7">
      <c r="A164" s="67" t="s">
        <v>66</v>
      </c>
      <c r="B164" s="70">
        <v>45962</v>
      </c>
      <c r="C164" s="69">
        <v>16</v>
      </c>
      <c r="D164" s="69">
        <v>251</v>
      </c>
      <c r="E164" s="69">
        <v>27</v>
      </c>
      <c r="F164" s="67">
        <v>6</v>
      </c>
      <c r="G164" s="71">
        <v>21.8</v>
      </c>
    </row>
    <row r="165" spans="1:7">
      <c r="A165" s="67" t="s">
        <v>69</v>
      </c>
      <c r="B165" s="70">
        <v>45962</v>
      </c>
      <c r="C165" s="69">
        <v>10</v>
      </c>
      <c r="D165" s="69">
        <v>133</v>
      </c>
      <c r="E165" s="69">
        <v>24</v>
      </c>
      <c r="F165" s="67">
        <v>6</v>
      </c>
      <c r="G165" s="71">
        <v>21.6</v>
      </c>
    </row>
    <row r="166" spans="1:7">
      <c r="A166" s="67" t="s">
        <v>71</v>
      </c>
      <c r="B166" s="70">
        <v>45962</v>
      </c>
      <c r="C166" s="69">
        <v>66</v>
      </c>
      <c r="D166" s="69">
        <v>734</v>
      </c>
      <c r="E166" s="69">
        <v>150</v>
      </c>
      <c r="F166" s="67">
        <v>8</v>
      </c>
      <c r="G166" s="71">
        <v>14.3</v>
      </c>
    </row>
    <row r="167" spans="1:7">
      <c r="A167" s="67" t="s">
        <v>75</v>
      </c>
      <c r="B167" s="70">
        <v>45962</v>
      </c>
      <c r="C167" s="69">
        <v>254</v>
      </c>
      <c r="D167" s="69">
        <v>2495</v>
      </c>
      <c r="E167" s="69">
        <v>289</v>
      </c>
      <c r="F167" s="67">
        <v>8</v>
      </c>
      <c r="G167" s="71">
        <v>11.5</v>
      </c>
    </row>
    <row r="168" spans="1:7">
      <c r="A168" s="67" t="s">
        <v>78</v>
      </c>
      <c r="B168" s="70">
        <v>45962</v>
      </c>
      <c r="C168" s="69">
        <v>740</v>
      </c>
      <c r="D168" s="69">
        <v>6234</v>
      </c>
      <c r="E168" s="69">
        <v>1585</v>
      </c>
      <c r="F168" s="67">
        <v>6</v>
      </c>
      <c r="G168" s="71">
        <v>24.7</v>
      </c>
    </row>
    <row r="169" spans="1:7">
      <c r="A169" s="67" t="s">
        <v>81</v>
      </c>
      <c r="B169" s="70">
        <v>45962</v>
      </c>
      <c r="C169" s="69">
        <v>9</v>
      </c>
      <c r="D169" s="69">
        <v>56</v>
      </c>
      <c r="E169" s="69">
        <v>16</v>
      </c>
      <c r="F169" s="67">
        <v>8</v>
      </c>
      <c r="G169" s="71">
        <v>33.3</v>
      </c>
    </row>
    <row r="170" spans="1:7">
      <c r="A170" s="67" t="s">
        <v>83</v>
      </c>
      <c r="B170" s="70">
        <v>45962</v>
      </c>
      <c r="C170" s="69">
        <v>9</v>
      </c>
      <c r="D170" s="69">
        <v>72</v>
      </c>
      <c r="E170" s="69">
        <v>4</v>
      </c>
      <c r="F170" s="67">
        <v>6</v>
      </c>
      <c r="G170" s="71">
        <v>18.5</v>
      </c>
    </row>
    <row r="171" spans="1:7">
      <c r="A171" s="67" t="s">
        <v>85</v>
      </c>
      <c r="B171" s="70">
        <v>45962</v>
      </c>
      <c r="C171" s="69">
        <v>158</v>
      </c>
      <c r="D171" s="69">
        <v>2201</v>
      </c>
      <c r="E171" s="69">
        <v>373</v>
      </c>
      <c r="F171" s="67">
        <v>8</v>
      </c>
      <c r="G171" s="71">
        <v>25</v>
      </c>
    </row>
    <row r="172" spans="1:7">
      <c r="A172" s="67" t="s">
        <v>87</v>
      </c>
      <c r="B172" s="70">
        <v>45962</v>
      </c>
      <c r="C172" s="69">
        <v>11</v>
      </c>
      <c r="D172" s="69">
        <v>111</v>
      </c>
      <c r="E172" s="69">
        <v>24</v>
      </c>
      <c r="F172" s="67">
        <v>6</v>
      </c>
      <c r="G172" s="71">
        <v>6.2</v>
      </c>
    </row>
    <row r="173" spans="1:7">
      <c r="A173" s="67" t="s">
        <v>90</v>
      </c>
      <c r="B173" s="70">
        <v>45962</v>
      </c>
      <c r="C173" s="69">
        <v>51</v>
      </c>
      <c r="D173" s="69">
        <v>634</v>
      </c>
      <c r="E173" s="69">
        <v>126</v>
      </c>
      <c r="F173" s="67">
        <v>4</v>
      </c>
      <c r="G173" s="71">
        <v>10.2</v>
      </c>
    </row>
    <row r="174" spans="1:7">
      <c r="A174" s="67" t="s">
        <v>92</v>
      </c>
      <c r="B174" s="70">
        <v>45962</v>
      </c>
      <c r="C174" s="69">
        <v>8</v>
      </c>
      <c r="D174" s="69">
        <v>139</v>
      </c>
      <c r="E174" s="69">
        <v>5</v>
      </c>
      <c r="F174" s="67">
        <v>4</v>
      </c>
      <c r="G174" s="71">
        <v>12.4</v>
      </c>
    </row>
    <row r="175" spans="1:7">
      <c r="A175" s="67" t="s">
        <v>94</v>
      </c>
      <c r="B175" s="70">
        <v>45962</v>
      </c>
      <c r="C175" s="69">
        <v>35</v>
      </c>
      <c r="D175" s="69">
        <v>211</v>
      </c>
      <c r="E175" s="69">
        <v>63</v>
      </c>
      <c r="F175" s="67">
        <v>7</v>
      </c>
      <c r="G175" s="71">
        <v>12.1</v>
      </c>
    </row>
    <row r="176" spans="1:7">
      <c r="A176" s="67" t="s">
        <v>96</v>
      </c>
      <c r="B176" s="70">
        <v>45962</v>
      </c>
      <c r="C176" s="69">
        <v>684</v>
      </c>
      <c r="D176" s="69">
        <v>8711</v>
      </c>
      <c r="E176" s="69">
        <v>686</v>
      </c>
      <c r="F176" s="67">
        <v>5</v>
      </c>
      <c r="G176" s="71">
        <v>30.4</v>
      </c>
    </row>
    <row r="177" spans="1:7">
      <c r="A177" s="67" t="s">
        <v>98</v>
      </c>
      <c r="B177" s="70">
        <v>45962</v>
      </c>
      <c r="C177" s="69">
        <v>1056</v>
      </c>
      <c r="D177" s="69">
        <v>12918</v>
      </c>
      <c r="E177" s="69">
        <v>1599</v>
      </c>
      <c r="F177" s="67">
        <v>7</v>
      </c>
      <c r="G177" s="71">
        <v>35</v>
      </c>
    </row>
    <row r="178" spans="1:7">
      <c r="A178" s="67" t="s">
        <v>100</v>
      </c>
      <c r="B178" s="70">
        <v>45962</v>
      </c>
      <c r="C178" s="69">
        <v>829</v>
      </c>
      <c r="D178" s="69">
        <v>4278</v>
      </c>
      <c r="E178" s="69">
        <v>1526</v>
      </c>
      <c r="F178" s="67">
        <v>7</v>
      </c>
      <c r="G178" s="71">
        <v>25.6</v>
      </c>
    </row>
    <row r="179" spans="1:7">
      <c r="A179" s="67" t="s">
        <v>102</v>
      </c>
      <c r="B179" s="70">
        <v>45962</v>
      </c>
      <c r="C179" s="69">
        <v>391</v>
      </c>
      <c r="D179" s="69">
        <v>2716</v>
      </c>
      <c r="E179" s="69">
        <v>605</v>
      </c>
      <c r="F179" s="67">
        <v>3</v>
      </c>
      <c r="G179" s="71">
        <v>25.4</v>
      </c>
    </row>
    <row r="180" spans="1:7">
      <c r="A180" s="67" t="s">
        <v>104</v>
      </c>
      <c r="B180" s="70">
        <v>45962</v>
      </c>
      <c r="C180" s="69">
        <v>22</v>
      </c>
      <c r="D180" s="69">
        <v>140</v>
      </c>
      <c r="E180" s="69">
        <v>44</v>
      </c>
      <c r="F180" s="67">
        <v>4</v>
      </c>
      <c r="G180" s="71">
        <v>32.5</v>
      </c>
    </row>
    <row r="181" spans="1:7">
      <c r="A181" s="67" t="s">
        <v>106</v>
      </c>
      <c r="B181" s="70">
        <v>45962</v>
      </c>
      <c r="C181" s="69">
        <v>195</v>
      </c>
      <c r="D181" s="69">
        <v>3200</v>
      </c>
      <c r="E181" s="69">
        <v>172</v>
      </c>
      <c r="F181" s="67">
        <v>5</v>
      </c>
      <c r="G181" s="71">
        <v>27.9</v>
      </c>
    </row>
    <row r="182" spans="1:7">
      <c r="A182" s="67" t="s">
        <v>108</v>
      </c>
      <c r="B182" s="70">
        <v>45962</v>
      </c>
      <c r="C182" s="69">
        <v>21</v>
      </c>
      <c r="D182" s="69">
        <v>152</v>
      </c>
      <c r="E182" s="69">
        <v>25</v>
      </c>
      <c r="F182" s="67">
        <v>5</v>
      </c>
      <c r="G182" s="71">
        <v>26.6</v>
      </c>
    </row>
    <row r="183" spans="1:7">
      <c r="A183" s="67" t="s">
        <v>110</v>
      </c>
      <c r="B183" s="70">
        <v>45962</v>
      </c>
      <c r="C183" s="69">
        <v>164</v>
      </c>
      <c r="D183" s="69">
        <v>1664</v>
      </c>
      <c r="E183" s="69">
        <v>366</v>
      </c>
      <c r="F183" s="67">
        <v>4</v>
      </c>
      <c r="G183" s="71">
        <v>29.2</v>
      </c>
    </row>
    <row r="184" spans="1:7">
      <c r="A184" s="67" t="s">
        <v>112</v>
      </c>
      <c r="B184" s="70">
        <v>45962</v>
      </c>
      <c r="C184" s="69">
        <v>7</v>
      </c>
      <c r="D184" s="69">
        <v>59</v>
      </c>
      <c r="E184" s="69">
        <v>8</v>
      </c>
      <c r="F184" s="67">
        <v>4</v>
      </c>
      <c r="G184" s="71">
        <v>16.8</v>
      </c>
    </row>
    <row r="185" spans="1:7">
      <c r="A185" s="67" t="s">
        <v>114</v>
      </c>
      <c r="B185" s="70">
        <v>45962</v>
      </c>
      <c r="C185" s="69">
        <v>144</v>
      </c>
      <c r="D185" s="69">
        <v>2298</v>
      </c>
      <c r="E185" s="69">
        <v>315</v>
      </c>
      <c r="F185" s="67">
        <v>8</v>
      </c>
      <c r="G185" s="71">
        <v>29</v>
      </c>
    </row>
    <row r="186" spans="1:7">
      <c r="A186" s="67" t="s">
        <v>116</v>
      </c>
      <c r="B186" s="70">
        <v>45962</v>
      </c>
      <c r="C186" s="69">
        <v>14</v>
      </c>
      <c r="D186" s="69">
        <v>125</v>
      </c>
      <c r="E186" s="69">
        <v>27</v>
      </c>
      <c r="F186" s="67">
        <v>5</v>
      </c>
      <c r="G186" s="71">
        <v>32.1</v>
      </c>
    </row>
    <row r="187" spans="1:7">
      <c r="A187" s="67" t="s">
        <v>118</v>
      </c>
      <c r="B187" s="70">
        <v>45962</v>
      </c>
      <c r="C187" s="69">
        <v>42</v>
      </c>
      <c r="D187" s="69">
        <v>540</v>
      </c>
      <c r="E187" s="69">
        <v>21</v>
      </c>
      <c r="F187" s="67">
        <v>10</v>
      </c>
      <c r="G187" s="71">
        <v>20.5</v>
      </c>
    </row>
    <row r="188" spans="1:7">
      <c r="A188" s="67" t="s">
        <v>120</v>
      </c>
      <c r="B188" s="70">
        <v>45962</v>
      </c>
      <c r="C188" s="69">
        <v>60</v>
      </c>
      <c r="D188" s="69">
        <v>678</v>
      </c>
      <c r="E188" s="69">
        <v>86</v>
      </c>
      <c r="F188" s="67">
        <v>2</v>
      </c>
      <c r="G188" s="71">
        <v>18.1</v>
      </c>
    </row>
    <row r="189" spans="1:7">
      <c r="A189" s="67" t="s">
        <v>122</v>
      </c>
      <c r="B189" s="70">
        <v>45962</v>
      </c>
      <c r="C189" s="69">
        <v>620</v>
      </c>
      <c r="D189" s="69">
        <v>3629</v>
      </c>
      <c r="E189" s="69">
        <v>1154</v>
      </c>
      <c r="F189" s="67">
        <v>5</v>
      </c>
      <c r="G189" s="71">
        <v>19.1</v>
      </c>
    </row>
    <row r="190" spans="1:7">
      <c r="A190" s="67" t="s">
        <v>124</v>
      </c>
      <c r="B190" s="70">
        <v>45962</v>
      </c>
      <c r="C190" s="69">
        <v>164</v>
      </c>
      <c r="D190" s="69">
        <v>2032</v>
      </c>
      <c r="E190" s="69">
        <v>112</v>
      </c>
      <c r="F190" s="67">
        <v>4</v>
      </c>
      <c r="G190" s="71">
        <v>35.6</v>
      </c>
    </row>
    <row r="191" spans="1:7">
      <c r="A191" s="67" t="s">
        <v>126</v>
      </c>
      <c r="B191" s="70">
        <v>45962</v>
      </c>
      <c r="C191" s="69">
        <v>31</v>
      </c>
      <c r="D191" s="69">
        <v>168</v>
      </c>
      <c r="E191" s="69">
        <v>13</v>
      </c>
      <c r="F191" s="67">
        <v>4</v>
      </c>
      <c r="G191" s="71">
        <v>17.6</v>
      </c>
    </row>
    <row r="192" spans="1:7">
      <c r="A192" s="67" t="s">
        <v>128</v>
      </c>
      <c r="B192" s="70">
        <v>45962</v>
      </c>
      <c r="C192" s="69">
        <v>176</v>
      </c>
      <c r="D192" s="69">
        <v>1942</v>
      </c>
      <c r="E192" s="69">
        <v>206</v>
      </c>
      <c r="F192" s="67">
        <v>7</v>
      </c>
      <c r="G192" s="71">
        <v>37.3</v>
      </c>
    </row>
    <row r="193" spans="1:7">
      <c r="A193" s="67" t="s">
        <v>130</v>
      </c>
      <c r="B193" s="70">
        <v>45962</v>
      </c>
      <c r="C193" s="69">
        <v>88</v>
      </c>
      <c r="D193" s="69">
        <v>999</v>
      </c>
      <c r="E193" s="69">
        <v>113</v>
      </c>
      <c r="F193" s="67">
        <v>7</v>
      </c>
      <c r="G193" s="71">
        <v>38.6</v>
      </c>
    </row>
    <row r="194" spans="1:7">
      <c r="A194" s="67" t="s">
        <v>132</v>
      </c>
      <c r="B194" s="70">
        <v>45962</v>
      </c>
      <c r="C194" s="69">
        <v>38</v>
      </c>
      <c r="D194" s="69">
        <v>360</v>
      </c>
      <c r="E194" s="69">
        <v>81</v>
      </c>
      <c r="F194" s="67">
        <v>5</v>
      </c>
      <c r="G194" s="71">
        <v>14.1</v>
      </c>
    </row>
    <row r="195" spans="1:7">
      <c r="A195" s="67" t="s">
        <v>134</v>
      </c>
      <c r="B195" s="70">
        <v>45962</v>
      </c>
      <c r="C195" s="69">
        <v>204</v>
      </c>
      <c r="D195" s="69">
        <v>1093</v>
      </c>
      <c r="E195" s="69">
        <v>83</v>
      </c>
      <c r="F195" s="67">
        <v>7</v>
      </c>
      <c r="G195" s="71">
        <v>34.9</v>
      </c>
    </row>
    <row r="196" spans="1:7">
      <c r="A196" s="67" t="s">
        <v>136</v>
      </c>
      <c r="B196" s="70">
        <v>45962</v>
      </c>
      <c r="C196" s="69">
        <v>170</v>
      </c>
      <c r="D196" s="69">
        <v>1339</v>
      </c>
      <c r="E196" s="69">
        <v>135</v>
      </c>
      <c r="F196" s="67">
        <v>4</v>
      </c>
      <c r="G196" s="71">
        <v>12.2</v>
      </c>
    </row>
    <row r="197" spans="1:7">
      <c r="A197" s="67" t="s">
        <v>138</v>
      </c>
      <c r="B197" s="70">
        <v>45962</v>
      </c>
      <c r="C197" s="69">
        <v>33</v>
      </c>
      <c r="D197" s="69">
        <v>536</v>
      </c>
      <c r="E197" s="69">
        <v>80</v>
      </c>
      <c r="F197" s="67">
        <v>5</v>
      </c>
      <c r="G197" s="71">
        <v>28.9</v>
      </c>
    </row>
    <row r="198" spans="1:7">
      <c r="A198" s="67" t="s">
        <v>140</v>
      </c>
      <c r="B198" s="70">
        <v>45962</v>
      </c>
      <c r="C198" s="69">
        <v>132</v>
      </c>
      <c r="D198" s="69">
        <v>957</v>
      </c>
      <c r="E198" s="69">
        <v>272</v>
      </c>
      <c r="F198" s="67">
        <v>5</v>
      </c>
      <c r="G198" s="71">
        <v>12.8</v>
      </c>
    </row>
    <row r="199" spans="1:7">
      <c r="A199" s="67" t="s">
        <v>142</v>
      </c>
      <c r="B199" s="70">
        <v>45962</v>
      </c>
      <c r="C199" s="69">
        <v>209</v>
      </c>
      <c r="D199" s="69">
        <v>2982</v>
      </c>
      <c r="E199" s="69">
        <v>389</v>
      </c>
      <c r="F199" s="67">
        <v>6</v>
      </c>
      <c r="G199" s="71">
        <v>14.6</v>
      </c>
    </row>
    <row r="200" spans="1:7">
      <c r="A200" s="67" t="s">
        <v>144</v>
      </c>
      <c r="B200" s="70">
        <v>45962</v>
      </c>
      <c r="C200" s="69">
        <v>24</v>
      </c>
      <c r="D200" s="69">
        <v>263</v>
      </c>
      <c r="E200" s="69">
        <v>19</v>
      </c>
      <c r="F200" s="67">
        <v>4</v>
      </c>
      <c r="G200" s="71">
        <v>15.6</v>
      </c>
    </row>
    <row r="201" spans="1:7">
      <c r="A201" s="67" t="s">
        <v>146</v>
      </c>
      <c r="B201" s="70">
        <v>45962</v>
      </c>
      <c r="C201" s="69">
        <v>1005</v>
      </c>
      <c r="D201" s="69">
        <v>12661</v>
      </c>
      <c r="E201" s="69">
        <v>318</v>
      </c>
      <c r="F201" s="67">
        <v>8</v>
      </c>
      <c r="G201" s="71">
        <v>40</v>
      </c>
    </row>
    <row r="202" spans="1:7">
      <c r="A202" s="67" t="s">
        <v>148</v>
      </c>
      <c r="B202" s="70">
        <v>45962</v>
      </c>
      <c r="C202" s="69">
        <v>173</v>
      </c>
      <c r="D202" s="69">
        <v>2128</v>
      </c>
      <c r="E202" s="69">
        <v>278</v>
      </c>
      <c r="F202" s="67">
        <v>8</v>
      </c>
      <c r="G202" s="71">
        <v>14.9</v>
      </c>
    </row>
    <row r="203" spans="1:7">
      <c r="A203" s="67" t="s">
        <v>150</v>
      </c>
      <c r="B203" s="70">
        <v>45962</v>
      </c>
      <c r="C203" s="69">
        <v>26</v>
      </c>
      <c r="D203" s="69">
        <v>244</v>
      </c>
      <c r="E203" s="69">
        <v>24</v>
      </c>
      <c r="F203" s="67">
        <v>2</v>
      </c>
      <c r="G203" s="71">
        <v>16.4</v>
      </c>
    </row>
    <row r="204" spans="1:7">
      <c r="A204" s="67" t="s">
        <v>152</v>
      </c>
      <c r="B204" s="70">
        <v>45962</v>
      </c>
      <c r="C204" s="69">
        <v>21</v>
      </c>
      <c r="D204" s="69">
        <v>365</v>
      </c>
      <c r="E204" s="69">
        <v>36</v>
      </c>
      <c r="F204" s="67">
        <v>6</v>
      </c>
      <c r="G204" s="71">
        <v>11.6</v>
      </c>
    </row>
    <row r="205" spans="1:7">
      <c r="A205" s="67" t="s">
        <v>154</v>
      </c>
      <c r="B205" s="70">
        <v>45962</v>
      </c>
      <c r="C205" s="69">
        <v>84</v>
      </c>
      <c r="D205" s="69">
        <v>482</v>
      </c>
      <c r="E205" s="69">
        <v>184</v>
      </c>
      <c r="F205" s="67">
        <v>2</v>
      </c>
      <c r="G205" s="71">
        <v>33.4</v>
      </c>
    </row>
    <row r="206" spans="1:7">
      <c r="A206" s="67" t="s">
        <v>156</v>
      </c>
      <c r="B206" s="70">
        <v>45962</v>
      </c>
      <c r="C206" s="69">
        <v>22</v>
      </c>
      <c r="D206" s="69">
        <v>150</v>
      </c>
      <c r="E206" s="69">
        <v>8</v>
      </c>
      <c r="F206" s="67">
        <v>7</v>
      </c>
      <c r="G206" s="71">
        <v>22.4</v>
      </c>
    </row>
    <row r="207" spans="1:7">
      <c r="A207" s="67" t="s">
        <v>158</v>
      </c>
      <c r="B207" s="70">
        <v>45962</v>
      </c>
      <c r="C207" s="69">
        <v>77</v>
      </c>
      <c r="D207" s="69">
        <v>790</v>
      </c>
      <c r="E207" s="69">
        <v>148</v>
      </c>
      <c r="F207" s="67">
        <v>6</v>
      </c>
      <c r="G207" s="71">
        <v>25.4</v>
      </c>
    </row>
    <row r="208" spans="1:7">
      <c r="A208" s="67" t="s">
        <v>160</v>
      </c>
      <c r="B208" s="70">
        <v>45962</v>
      </c>
      <c r="C208" s="69">
        <v>204</v>
      </c>
      <c r="D208" s="69">
        <v>1930</v>
      </c>
      <c r="E208" s="69">
        <v>381</v>
      </c>
      <c r="F208" s="67">
        <v>7</v>
      </c>
      <c r="G208" s="71">
        <v>29</v>
      </c>
    </row>
    <row r="209" spans="1:7">
      <c r="A209" s="67" t="s">
        <v>162</v>
      </c>
      <c r="B209" s="70">
        <v>45962</v>
      </c>
      <c r="C209" s="69">
        <v>47</v>
      </c>
      <c r="D209" s="69">
        <v>810</v>
      </c>
      <c r="E209" s="69">
        <v>51</v>
      </c>
      <c r="F209" s="67">
        <v>7</v>
      </c>
      <c r="G209" s="71">
        <v>15.5</v>
      </c>
    </row>
    <row r="210" spans="1:7">
      <c r="A210" s="67" t="s">
        <v>164</v>
      </c>
      <c r="B210" s="70">
        <v>45962</v>
      </c>
      <c r="C210" s="69">
        <v>83</v>
      </c>
      <c r="D210" s="69">
        <v>1017</v>
      </c>
      <c r="E210" s="69">
        <v>79</v>
      </c>
      <c r="F210" s="67">
        <v>8</v>
      </c>
      <c r="G210" s="71">
        <v>21.5</v>
      </c>
    </row>
    <row r="211" spans="1:7">
      <c r="A211" s="67" t="s">
        <v>166</v>
      </c>
      <c r="B211" s="70">
        <v>45962</v>
      </c>
      <c r="C211" s="69">
        <v>122</v>
      </c>
      <c r="D211" s="69">
        <v>1497</v>
      </c>
      <c r="E211" s="69">
        <v>282</v>
      </c>
      <c r="F211" s="67">
        <v>5</v>
      </c>
      <c r="G211" s="71">
        <v>38.1</v>
      </c>
    </row>
    <row r="212" spans="1:7">
      <c r="A212" s="67" t="s">
        <v>168</v>
      </c>
      <c r="B212" s="70">
        <v>45962</v>
      </c>
      <c r="C212" s="69">
        <v>151</v>
      </c>
      <c r="D212" s="69">
        <v>1191</v>
      </c>
      <c r="E212" s="69">
        <v>119</v>
      </c>
      <c r="F212" s="67">
        <v>6</v>
      </c>
      <c r="G212" s="71">
        <v>35.5</v>
      </c>
    </row>
    <row r="213" spans="1:7">
      <c r="A213" s="67" t="s">
        <v>170</v>
      </c>
      <c r="B213" s="70">
        <v>45962</v>
      </c>
      <c r="C213" s="69">
        <v>20</v>
      </c>
      <c r="D213" s="69">
        <v>197</v>
      </c>
      <c r="E213" s="69">
        <v>32</v>
      </c>
      <c r="F213" s="67">
        <v>8</v>
      </c>
      <c r="G213" s="71">
        <v>21.2</v>
      </c>
    </row>
    <row r="214" spans="1:7">
      <c r="A214" s="67" t="s">
        <v>172</v>
      </c>
      <c r="B214" s="70">
        <v>45962</v>
      </c>
      <c r="C214" s="69">
        <v>27</v>
      </c>
      <c r="D214" s="69">
        <v>358</v>
      </c>
      <c r="E214" s="69">
        <v>43</v>
      </c>
      <c r="F214" s="67">
        <v>7</v>
      </c>
      <c r="G214" s="71">
        <v>26.7</v>
      </c>
    </row>
    <row r="215" spans="1:7">
      <c r="A215" s="67" t="s">
        <v>174</v>
      </c>
      <c r="B215" s="70">
        <v>45962</v>
      </c>
      <c r="C215" s="69">
        <v>117</v>
      </c>
      <c r="D215" s="69">
        <v>767</v>
      </c>
      <c r="E215" s="69">
        <v>210</v>
      </c>
      <c r="F215" s="67">
        <v>6</v>
      </c>
      <c r="G215" s="71">
        <v>23.5</v>
      </c>
    </row>
    <row r="216" spans="1:7">
      <c r="A216" s="67" t="s">
        <v>176</v>
      </c>
      <c r="B216" s="70">
        <v>45962</v>
      </c>
      <c r="C216" s="69">
        <v>23</v>
      </c>
      <c r="D216" s="69">
        <v>160</v>
      </c>
      <c r="E216" s="69">
        <v>57</v>
      </c>
      <c r="F216" s="67">
        <v>6</v>
      </c>
      <c r="G216" s="71">
        <v>17</v>
      </c>
    </row>
    <row r="217" spans="1:7">
      <c r="A217" s="67" t="s">
        <v>178</v>
      </c>
      <c r="B217" s="70">
        <v>45962</v>
      </c>
      <c r="C217" s="69">
        <v>14</v>
      </c>
      <c r="D217" s="69">
        <v>250</v>
      </c>
      <c r="E217" s="69">
        <v>9</v>
      </c>
      <c r="F217" s="67">
        <v>5</v>
      </c>
      <c r="G217" s="71">
        <v>35.2</v>
      </c>
    </row>
    <row r="218" spans="1:7">
      <c r="A218" s="67" t="s">
        <v>180</v>
      </c>
      <c r="B218" s="70">
        <v>45962</v>
      </c>
      <c r="C218" s="69">
        <v>1038</v>
      </c>
      <c r="D218" s="69">
        <v>9679</v>
      </c>
      <c r="E218" s="69">
        <v>2564</v>
      </c>
      <c r="F218" s="67">
        <v>8</v>
      </c>
      <c r="G218" s="71">
        <v>16</v>
      </c>
    </row>
    <row r="219" spans="1:7">
      <c r="A219" s="67" t="s">
        <v>182</v>
      </c>
      <c r="B219" s="70">
        <v>45962</v>
      </c>
      <c r="C219" s="69">
        <v>15</v>
      </c>
      <c r="D219" s="69">
        <v>116</v>
      </c>
      <c r="E219" s="69">
        <v>30</v>
      </c>
      <c r="F219" s="67">
        <v>5</v>
      </c>
      <c r="G219" s="71">
        <v>25.2</v>
      </c>
    </row>
    <row r="220" spans="1:7">
      <c r="A220" s="67" t="s">
        <v>184</v>
      </c>
      <c r="B220" s="70">
        <v>45962</v>
      </c>
      <c r="C220" s="69">
        <v>118</v>
      </c>
      <c r="D220" s="69">
        <v>1786</v>
      </c>
      <c r="E220" s="69">
        <v>69</v>
      </c>
      <c r="F220" s="67">
        <v>7</v>
      </c>
      <c r="G220" s="71">
        <v>20.2</v>
      </c>
    </row>
    <row r="221" spans="1:7">
      <c r="A221" s="67" t="s">
        <v>186</v>
      </c>
      <c r="B221" s="70">
        <v>45962</v>
      </c>
      <c r="C221" s="69">
        <v>112</v>
      </c>
      <c r="D221" s="69">
        <v>1255</v>
      </c>
      <c r="E221" s="69">
        <v>35</v>
      </c>
      <c r="F221" s="67">
        <v>7</v>
      </c>
      <c r="G221" s="71">
        <v>23.7</v>
      </c>
    </row>
    <row r="222" spans="1:7">
      <c r="A222" s="67" t="s">
        <v>188</v>
      </c>
      <c r="B222" s="70">
        <v>45962</v>
      </c>
      <c r="C222" s="69">
        <v>23</v>
      </c>
      <c r="D222" s="69">
        <v>382</v>
      </c>
      <c r="E222" s="69">
        <v>45</v>
      </c>
      <c r="F222" s="67">
        <v>1</v>
      </c>
      <c r="G222" s="71">
        <v>23.6</v>
      </c>
    </row>
    <row r="223" spans="1:7">
      <c r="A223" s="67" t="s">
        <v>190</v>
      </c>
      <c r="B223" s="70">
        <v>45962</v>
      </c>
      <c r="C223" s="69">
        <v>33</v>
      </c>
      <c r="D223" s="69">
        <v>480</v>
      </c>
      <c r="E223" s="69">
        <v>26</v>
      </c>
      <c r="F223" s="67">
        <v>4</v>
      </c>
      <c r="G223" s="71">
        <v>35.7</v>
      </c>
    </row>
    <row r="224" spans="1:7">
      <c r="A224" s="67" t="s">
        <v>192</v>
      </c>
      <c r="B224" s="70">
        <v>45962</v>
      </c>
      <c r="C224" s="69">
        <v>136</v>
      </c>
      <c r="D224" s="69">
        <v>1570</v>
      </c>
      <c r="E224" s="69">
        <v>132</v>
      </c>
      <c r="F224" s="67">
        <v>5</v>
      </c>
      <c r="G224" s="71">
        <v>7.3</v>
      </c>
    </row>
    <row r="225" spans="1:7">
      <c r="A225" s="67" t="s">
        <v>194</v>
      </c>
      <c r="B225" s="70">
        <v>45962</v>
      </c>
      <c r="C225" s="69">
        <v>62</v>
      </c>
      <c r="D225" s="69">
        <v>677</v>
      </c>
      <c r="E225" s="69">
        <v>90</v>
      </c>
      <c r="F225" s="67">
        <v>2</v>
      </c>
      <c r="G225" s="71">
        <v>23.3</v>
      </c>
    </row>
    <row r="226" spans="1:7">
      <c r="A226" s="67" t="s">
        <v>196</v>
      </c>
      <c r="B226" s="70">
        <v>45962</v>
      </c>
      <c r="C226" s="69">
        <v>83</v>
      </c>
      <c r="D226" s="69">
        <v>559</v>
      </c>
      <c r="E226" s="69">
        <v>207</v>
      </c>
      <c r="F226" s="67">
        <v>5</v>
      </c>
      <c r="G226" s="71">
        <v>22.2</v>
      </c>
    </row>
    <row r="227" spans="1:7">
      <c r="A227" s="67" t="s">
        <v>198</v>
      </c>
      <c r="B227" s="70">
        <v>45962</v>
      </c>
      <c r="C227" s="69">
        <v>509</v>
      </c>
      <c r="D227" s="69">
        <v>8546</v>
      </c>
      <c r="E227" s="69">
        <v>1062</v>
      </c>
      <c r="F227" s="67">
        <v>8</v>
      </c>
      <c r="G227" s="71">
        <v>5.7</v>
      </c>
    </row>
    <row r="228" spans="1:7">
      <c r="A228" s="67" t="s">
        <v>200</v>
      </c>
      <c r="B228" s="70">
        <v>45962</v>
      </c>
      <c r="C228" s="69">
        <v>120</v>
      </c>
      <c r="D228" s="69">
        <v>929</v>
      </c>
      <c r="E228" s="69">
        <v>42</v>
      </c>
      <c r="F228" s="67">
        <v>6</v>
      </c>
      <c r="G228" s="71">
        <v>22.7</v>
      </c>
    </row>
    <row r="229" spans="1:7">
      <c r="A229" s="67" t="s">
        <v>202</v>
      </c>
      <c r="B229" s="70">
        <v>45962</v>
      </c>
      <c r="C229" s="69">
        <v>148</v>
      </c>
      <c r="D229" s="69">
        <v>2264</v>
      </c>
      <c r="E229" s="69">
        <v>167</v>
      </c>
      <c r="F229" s="67">
        <v>8</v>
      </c>
      <c r="G229" s="71">
        <v>27.4</v>
      </c>
    </row>
    <row r="230" spans="1:7">
      <c r="A230" s="67" t="s">
        <v>204</v>
      </c>
      <c r="B230" s="70">
        <v>45962</v>
      </c>
      <c r="C230" s="69">
        <v>15</v>
      </c>
      <c r="D230" s="69">
        <v>191</v>
      </c>
      <c r="E230" s="69">
        <v>6</v>
      </c>
      <c r="F230" s="67">
        <v>5</v>
      </c>
      <c r="G230" s="71">
        <v>8.800000000000001</v>
      </c>
    </row>
    <row r="231" spans="1:7">
      <c r="A231" s="67" t="s">
        <v>206</v>
      </c>
      <c r="B231" s="70">
        <v>45962</v>
      </c>
      <c r="C231" s="69">
        <v>572</v>
      </c>
      <c r="D231" s="69">
        <v>3721</v>
      </c>
      <c r="E231" s="69">
        <v>731</v>
      </c>
      <c r="F231" s="67">
        <v>5</v>
      </c>
      <c r="G231" s="71">
        <v>9.300000000000001</v>
      </c>
    </row>
    <row r="232" spans="1:7">
      <c r="A232" s="67" t="s">
        <v>208</v>
      </c>
      <c r="B232" s="70">
        <v>45962</v>
      </c>
      <c r="C232" s="69">
        <v>12</v>
      </c>
      <c r="D232" s="69">
        <v>92</v>
      </c>
      <c r="E232" s="69">
        <v>22</v>
      </c>
      <c r="F232" s="67">
        <v>9</v>
      </c>
      <c r="G232" s="71">
        <v>5.3</v>
      </c>
    </row>
    <row r="233" spans="1:7">
      <c r="A233" s="67" t="s">
        <v>210</v>
      </c>
      <c r="B233" s="70">
        <v>45962</v>
      </c>
      <c r="C233" s="69">
        <v>135</v>
      </c>
      <c r="D233" s="69">
        <v>1588</v>
      </c>
      <c r="E233" s="69">
        <v>225</v>
      </c>
      <c r="F233" s="67">
        <v>4</v>
      </c>
      <c r="G233" s="71">
        <v>29.5</v>
      </c>
    </row>
    <row r="234" spans="1:7">
      <c r="A234" s="67" t="s">
        <v>212</v>
      </c>
      <c r="B234" s="70">
        <v>45962</v>
      </c>
      <c r="C234" s="69">
        <v>22</v>
      </c>
      <c r="D234" s="69">
        <v>256</v>
      </c>
      <c r="E234" s="69">
        <v>36</v>
      </c>
      <c r="F234" s="67">
        <v>8</v>
      </c>
      <c r="G234" s="71">
        <v>14.9</v>
      </c>
    </row>
    <row r="235" spans="1:7">
      <c r="A235" s="67" t="s">
        <v>214</v>
      </c>
      <c r="B235" s="70">
        <v>45962</v>
      </c>
      <c r="C235" s="69">
        <v>43</v>
      </c>
      <c r="D235" s="69">
        <v>555</v>
      </c>
      <c r="E235" s="69">
        <v>86</v>
      </c>
      <c r="F235" s="67">
        <v>5</v>
      </c>
      <c r="G235" s="71">
        <v>34.1</v>
      </c>
    </row>
    <row r="236" spans="1:7">
      <c r="A236" s="67" t="s">
        <v>216</v>
      </c>
      <c r="B236" s="70">
        <v>45962</v>
      </c>
      <c r="C236" s="69">
        <v>230</v>
      </c>
      <c r="D236" s="69">
        <v>2375</v>
      </c>
      <c r="E236" s="69">
        <v>150</v>
      </c>
      <c r="F236" s="67">
        <v>8</v>
      </c>
      <c r="G236" s="71">
        <v>24.2</v>
      </c>
    </row>
    <row r="237" spans="1:7">
      <c r="A237" s="67" t="s">
        <v>218</v>
      </c>
      <c r="B237" s="70">
        <v>45962</v>
      </c>
      <c r="C237" s="69">
        <v>13</v>
      </c>
      <c r="D237" s="69">
        <v>146</v>
      </c>
      <c r="E237" s="69">
        <v>11</v>
      </c>
      <c r="F237" s="67">
        <v>6</v>
      </c>
      <c r="G237" s="71">
        <v>5.4</v>
      </c>
    </row>
    <row r="238" spans="1:7">
      <c r="A238" s="67" t="s">
        <v>220</v>
      </c>
      <c r="B238" s="70">
        <v>45962</v>
      </c>
      <c r="C238" s="69">
        <v>61</v>
      </c>
      <c r="D238" s="69">
        <v>760</v>
      </c>
      <c r="E238" s="69">
        <v>85</v>
      </c>
      <c r="F238" s="67">
        <v>7</v>
      </c>
      <c r="G238" s="71">
        <v>38.2</v>
      </c>
    </row>
    <row r="239" spans="1:7">
      <c r="A239" s="67" t="s">
        <v>222</v>
      </c>
      <c r="B239" s="70">
        <v>45962</v>
      </c>
      <c r="C239" s="69">
        <v>29</v>
      </c>
      <c r="D239" s="69">
        <v>418</v>
      </c>
      <c r="E239" s="69">
        <v>66</v>
      </c>
      <c r="F239" s="67">
        <v>4</v>
      </c>
      <c r="G239" s="71">
        <v>27.6</v>
      </c>
    </row>
    <row r="240" spans="1:7">
      <c r="A240" s="67" t="s">
        <v>224</v>
      </c>
      <c r="B240" s="70">
        <v>45962</v>
      </c>
      <c r="C240" s="69">
        <v>7</v>
      </c>
      <c r="D240" s="69">
        <v>59</v>
      </c>
      <c r="E240" s="69">
        <v>3</v>
      </c>
      <c r="F240" s="67">
        <v>7</v>
      </c>
      <c r="G240" s="71">
        <v>33.5</v>
      </c>
    </row>
    <row r="241" spans="1:7">
      <c r="A241" s="67" t="s">
        <v>226</v>
      </c>
      <c r="B241" s="70">
        <v>45962</v>
      </c>
      <c r="C241" s="69">
        <v>13</v>
      </c>
      <c r="D241" s="69">
        <v>126</v>
      </c>
      <c r="E241" s="69">
        <v>23</v>
      </c>
      <c r="F241" s="67">
        <v>3</v>
      </c>
      <c r="G241" s="71">
        <v>19.9</v>
      </c>
    </row>
    <row r="242" spans="1:7">
      <c r="A242" s="67" t="s">
        <v>228</v>
      </c>
      <c r="B242" s="70">
        <v>45962</v>
      </c>
      <c r="C242" s="69">
        <v>13</v>
      </c>
      <c r="D242" s="69">
        <v>215</v>
      </c>
      <c r="E242" s="69">
        <v>4</v>
      </c>
      <c r="F242" s="67">
        <v>7</v>
      </c>
      <c r="G242" s="71">
        <v>9.800000000000001</v>
      </c>
    </row>
    <row r="243" spans="1:7">
      <c r="A243" s="67" t="s">
        <v>230</v>
      </c>
      <c r="B243" s="70">
        <v>45962</v>
      </c>
      <c r="C243" s="69">
        <v>184</v>
      </c>
      <c r="D243" s="69">
        <v>3060</v>
      </c>
      <c r="E243" s="69">
        <v>442</v>
      </c>
      <c r="F243" s="67">
        <v>8</v>
      </c>
      <c r="G243" s="71">
        <v>14.4</v>
      </c>
    </row>
    <row r="244" spans="1:7">
      <c r="A244" s="67" t="s">
        <v>232</v>
      </c>
      <c r="B244" s="70">
        <v>45962</v>
      </c>
      <c r="C244" s="69">
        <v>144</v>
      </c>
      <c r="D244" s="69">
        <v>1362</v>
      </c>
      <c r="E244" s="69">
        <v>79</v>
      </c>
      <c r="F244" s="67">
        <v>7</v>
      </c>
      <c r="G244" s="71">
        <v>19</v>
      </c>
    </row>
    <row r="245" spans="1:7">
      <c r="A245" s="67" t="s">
        <v>234</v>
      </c>
      <c r="B245" s="70">
        <v>45962</v>
      </c>
      <c r="C245" s="69">
        <v>18</v>
      </c>
      <c r="D245" s="69">
        <v>251</v>
      </c>
      <c r="E245" s="69">
        <v>24</v>
      </c>
      <c r="F245" s="67">
        <v>7</v>
      </c>
      <c r="G245" s="71">
        <v>19.8</v>
      </c>
    </row>
    <row r="246" spans="1:7">
      <c r="A246" s="67" t="s">
        <v>236</v>
      </c>
      <c r="B246" s="70">
        <v>45962</v>
      </c>
      <c r="C246" s="69">
        <v>101</v>
      </c>
      <c r="D246" s="69">
        <v>679</v>
      </c>
      <c r="E246" s="69">
        <v>192</v>
      </c>
      <c r="F246" s="67">
        <v>3</v>
      </c>
      <c r="G246" s="71">
        <v>39.4</v>
      </c>
    </row>
    <row r="247" spans="1:7">
      <c r="A247" s="67" t="s">
        <v>238</v>
      </c>
      <c r="B247" s="70">
        <v>45962</v>
      </c>
      <c r="C247" s="69">
        <v>24</v>
      </c>
      <c r="D247" s="69">
        <v>404</v>
      </c>
      <c r="E247" s="69">
        <v>33</v>
      </c>
      <c r="F247" s="67">
        <v>8</v>
      </c>
      <c r="G247" s="71">
        <v>24.9</v>
      </c>
    </row>
    <row r="248" spans="1:7">
      <c r="A248" s="67" t="s">
        <v>240</v>
      </c>
      <c r="B248" s="70">
        <v>45962</v>
      </c>
      <c r="C248" s="69">
        <v>21</v>
      </c>
      <c r="D248" s="69">
        <v>318</v>
      </c>
      <c r="E248" s="69">
        <v>35</v>
      </c>
      <c r="F248" s="67">
        <v>7</v>
      </c>
      <c r="G248" s="71">
        <v>35.2</v>
      </c>
    </row>
    <row r="249" spans="1:7">
      <c r="A249" s="67" t="s">
        <v>242</v>
      </c>
      <c r="B249" s="70">
        <v>45962</v>
      </c>
      <c r="C249" s="69">
        <v>715</v>
      </c>
      <c r="D249" s="69">
        <v>11864</v>
      </c>
      <c r="E249" s="69">
        <v>974</v>
      </c>
      <c r="F249" s="67">
        <v>7</v>
      </c>
      <c r="G249" s="71">
        <v>22.1</v>
      </c>
    </row>
    <row r="250" spans="1:7">
      <c r="A250" s="67" t="s">
        <v>244</v>
      </c>
      <c r="B250" s="70">
        <v>45962</v>
      </c>
      <c r="C250" s="69">
        <v>33</v>
      </c>
      <c r="D250" s="69">
        <v>192</v>
      </c>
      <c r="E250" s="69">
        <v>57</v>
      </c>
      <c r="F250" s="67">
        <v>6</v>
      </c>
      <c r="G250" s="71">
        <v>5.4</v>
      </c>
    </row>
    <row r="251" spans="1:7">
      <c r="A251" s="67" t="s">
        <v>246</v>
      </c>
      <c r="B251" s="70">
        <v>45962</v>
      </c>
      <c r="C251" s="69">
        <v>51</v>
      </c>
      <c r="D251" s="69">
        <v>748</v>
      </c>
      <c r="E251" s="69">
        <v>97</v>
      </c>
      <c r="F251" s="67">
        <v>8</v>
      </c>
      <c r="G251" s="71">
        <v>12.8</v>
      </c>
    </row>
    <row r="252" spans="1:7">
      <c r="A252" s="67" t="s">
        <v>248</v>
      </c>
      <c r="B252" s="70">
        <v>45962</v>
      </c>
      <c r="C252" s="69">
        <v>32</v>
      </c>
      <c r="D252" s="69">
        <v>376</v>
      </c>
      <c r="E252" s="69">
        <v>58</v>
      </c>
      <c r="F252" s="67">
        <v>6</v>
      </c>
      <c r="G252" s="71">
        <v>26.6</v>
      </c>
    </row>
    <row r="253" spans="1:7">
      <c r="A253" s="67" t="s">
        <v>250</v>
      </c>
      <c r="B253" s="70">
        <v>45962</v>
      </c>
      <c r="C253" s="69">
        <v>118</v>
      </c>
      <c r="D253" s="69">
        <v>1329</v>
      </c>
      <c r="E253" s="69">
        <v>208</v>
      </c>
      <c r="F253" s="67">
        <v>6</v>
      </c>
      <c r="G253" s="71">
        <v>27.4</v>
      </c>
    </row>
    <row r="254" spans="1:7">
      <c r="A254" s="67" t="s">
        <v>252</v>
      </c>
      <c r="B254" s="70">
        <v>45962</v>
      </c>
      <c r="C254" s="69">
        <v>13</v>
      </c>
      <c r="D254" s="69">
        <v>216</v>
      </c>
      <c r="E254" s="69">
        <v>21</v>
      </c>
      <c r="F254" s="67">
        <v>7</v>
      </c>
      <c r="G254" s="71">
        <v>5.4</v>
      </c>
    </row>
    <row r="255" spans="1:7">
      <c r="A255" s="67" t="s">
        <v>254</v>
      </c>
      <c r="B255" s="70">
        <v>45962</v>
      </c>
      <c r="C255" s="69">
        <v>110</v>
      </c>
      <c r="D255" s="69">
        <v>1221</v>
      </c>
      <c r="E255" s="69">
        <v>153</v>
      </c>
      <c r="F255" s="67">
        <v>5</v>
      </c>
      <c r="G255" s="71">
        <v>10.8</v>
      </c>
    </row>
    <row r="256" spans="1:7">
      <c r="A256" s="67" t="s">
        <v>256</v>
      </c>
      <c r="B256" s="70">
        <v>45962</v>
      </c>
      <c r="C256" s="69">
        <v>201</v>
      </c>
      <c r="D256" s="69">
        <v>1870</v>
      </c>
      <c r="E256" s="69">
        <v>183</v>
      </c>
      <c r="F256" s="67">
        <v>6</v>
      </c>
      <c r="G256" s="71">
        <v>22.7</v>
      </c>
    </row>
    <row r="257" spans="1:7">
      <c r="A257" s="67" t="s">
        <v>258</v>
      </c>
      <c r="B257" s="70">
        <v>45962</v>
      </c>
      <c r="C257" s="69">
        <v>376</v>
      </c>
      <c r="D257" s="69">
        <v>5874</v>
      </c>
      <c r="E257" s="69">
        <v>178</v>
      </c>
      <c r="F257" s="67">
        <v>5</v>
      </c>
      <c r="G257" s="71">
        <v>20.5</v>
      </c>
    </row>
    <row r="258" spans="1:7">
      <c r="A258" s="67" t="s">
        <v>260</v>
      </c>
      <c r="B258" s="70">
        <v>45962</v>
      </c>
      <c r="C258" s="69">
        <v>839</v>
      </c>
      <c r="D258" s="69">
        <v>9632</v>
      </c>
      <c r="E258" s="69">
        <v>835</v>
      </c>
      <c r="F258" s="67">
        <v>6</v>
      </c>
      <c r="G258" s="71">
        <v>39.3</v>
      </c>
    </row>
    <row r="259" spans="1:7">
      <c r="A259" s="67" t="s">
        <v>262</v>
      </c>
      <c r="B259" s="70">
        <v>45962</v>
      </c>
      <c r="C259" s="69">
        <v>55</v>
      </c>
      <c r="D259" s="69">
        <v>563</v>
      </c>
      <c r="E259" s="69">
        <v>21</v>
      </c>
      <c r="F259" s="67">
        <v>8</v>
      </c>
      <c r="G259" s="71">
        <v>24.2</v>
      </c>
    </row>
    <row r="260" spans="1:7">
      <c r="A260" s="67" t="s">
        <v>264</v>
      </c>
      <c r="B260" s="70">
        <v>45962</v>
      </c>
      <c r="C260" s="69">
        <v>813</v>
      </c>
      <c r="D260" s="69">
        <v>14245</v>
      </c>
      <c r="E260" s="69">
        <v>1384</v>
      </c>
      <c r="F260" s="67">
        <v>5</v>
      </c>
      <c r="G260" s="71">
        <v>36.2</v>
      </c>
    </row>
    <row r="261" spans="1:7">
      <c r="A261" s="67" t="s">
        <v>266</v>
      </c>
      <c r="B261" s="70">
        <v>45962</v>
      </c>
      <c r="C261" s="69">
        <v>89</v>
      </c>
      <c r="D261" s="69">
        <v>973</v>
      </c>
      <c r="E261" s="69">
        <v>93</v>
      </c>
      <c r="F261" s="67">
        <v>4</v>
      </c>
      <c r="G261" s="71">
        <v>33.9</v>
      </c>
    </row>
    <row r="262" spans="1:7">
      <c r="A262" s="67" t="s">
        <v>268</v>
      </c>
      <c r="B262" s="70">
        <v>45962</v>
      </c>
      <c r="C262" s="69">
        <v>33</v>
      </c>
      <c r="D262" s="69">
        <v>307</v>
      </c>
      <c r="E262" s="69">
        <v>66</v>
      </c>
      <c r="F262" s="67">
        <v>1</v>
      </c>
      <c r="G262" s="71">
        <v>26</v>
      </c>
    </row>
    <row r="263" spans="1:7">
      <c r="A263" s="67" t="s">
        <v>270</v>
      </c>
      <c r="B263" s="70">
        <v>45962</v>
      </c>
      <c r="C263" s="69">
        <v>40</v>
      </c>
      <c r="D263" s="69">
        <v>435</v>
      </c>
      <c r="E263" s="69">
        <v>21</v>
      </c>
      <c r="F263" s="67">
        <v>6</v>
      </c>
      <c r="G263" s="71">
        <v>28.1</v>
      </c>
    </row>
    <row r="264" spans="1:7">
      <c r="A264" s="67" t="s">
        <v>272</v>
      </c>
      <c r="B264" s="70">
        <v>45962</v>
      </c>
      <c r="C264" s="69">
        <v>29</v>
      </c>
      <c r="D264" s="69">
        <v>384</v>
      </c>
      <c r="E264" s="69">
        <v>60</v>
      </c>
      <c r="F264" s="67">
        <v>8</v>
      </c>
      <c r="G264" s="71">
        <v>24.2</v>
      </c>
    </row>
    <row r="265" spans="1:7">
      <c r="A265" s="67" t="s">
        <v>274</v>
      </c>
      <c r="B265" s="70">
        <v>45962</v>
      </c>
      <c r="C265" s="69">
        <v>428</v>
      </c>
      <c r="D265" s="69">
        <v>7130</v>
      </c>
      <c r="E265" s="69">
        <v>592</v>
      </c>
      <c r="F265" s="67">
        <v>5</v>
      </c>
      <c r="G265" s="71">
        <v>33.8</v>
      </c>
    </row>
    <row r="266" spans="1:7">
      <c r="A266" s="67" t="s">
        <v>276</v>
      </c>
      <c r="B266" s="70">
        <v>45962</v>
      </c>
      <c r="C266" s="69">
        <v>118</v>
      </c>
      <c r="D266" s="69">
        <v>980</v>
      </c>
      <c r="E266" s="69">
        <v>86</v>
      </c>
      <c r="F266" s="67">
        <v>5</v>
      </c>
      <c r="G266" s="71">
        <v>9.199999999999999</v>
      </c>
    </row>
    <row r="267" spans="1:7">
      <c r="A267" s="67" t="s">
        <v>278</v>
      </c>
      <c r="B267" s="70">
        <v>45962</v>
      </c>
      <c r="C267" s="69">
        <v>26</v>
      </c>
      <c r="D267" s="69">
        <v>409</v>
      </c>
      <c r="E267" s="69">
        <v>19</v>
      </c>
      <c r="F267" s="67">
        <v>5</v>
      </c>
      <c r="G267" s="71">
        <v>16.8</v>
      </c>
    </row>
    <row r="268" spans="1:7">
      <c r="A268" s="67" t="s">
        <v>280</v>
      </c>
      <c r="B268" s="70">
        <v>45962</v>
      </c>
      <c r="C268" s="69">
        <v>15</v>
      </c>
      <c r="D268" s="69">
        <v>198</v>
      </c>
      <c r="E268" s="69">
        <v>27</v>
      </c>
      <c r="F268" s="67">
        <v>6</v>
      </c>
      <c r="G268" s="71">
        <v>9.300000000000001</v>
      </c>
    </row>
    <row r="269" spans="1:7">
      <c r="A269" s="67" t="s">
        <v>282</v>
      </c>
      <c r="B269" s="70">
        <v>45962</v>
      </c>
      <c r="C269" s="69">
        <v>39</v>
      </c>
      <c r="D269" s="69">
        <v>494</v>
      </c>
      <c r="E269" s="69">
        <v>55</v>
      </c>
      <c r="F269" s="67">
        <v>8</v>
      </c>
      <c r="G269" s="71">
        <v>38.7</v>
      </c>
    </row>
    <row r="270" spans="1:7">
      <c r="A270" s="67" t="s">
        <v>284</v>
      </c>
      <c r="B270" s="70">
        <v>45962</v>
      </c>
      <c r="C270" s="69">
        <v>166</v>
      </c>
      <c r="D270" s="69">
        <v>2024</v>
      </c>
      <c r="E270" s="69">
        <v>208</v>
      </c>
      <c r="F270" s="67">
        <v>6</v>
      </c>
      <c r="G270" s="71">
        <v>25.5</v>
      </c>
    </row>
    <row r="271" spans="1:7">
      <c r="A271" s="67" t="s">
        <v>286</v>
      </c>
      <c r="B271" s="70">
        <v>45962</v>
      </c>
      <c r="C271" s="69">
        <v>17</v>
      </c>
      <c r="D271" s="69">
        <v>286</v>
      </c>
      <c r="E271" s="69">
        <v>31</v>
      </c>
      <c r="F271" s="67">
        <v>6</v>
      </c>
      <c r="G271" s="71">
        <v>11.1</v>
      </c>
    </row>
    <row r="272" spans="1:7">
      <c r="A272" s="67" t="s">
        <v>288</v>
      </c>
      <c r="B272" s="70">
        <v>45962</v>
      </c>
      <c r="C272" s="69">
        <v>215</v>
      </c>
      <c r="D272" s="69">
        <v>2913</v>
      </c>
      <c r="E272" s="69">
        <v>351</v>
      </c>
      <c r="F272" s="67">
        <v>6</v>
      </c>
      <c r="G272" s="71">
        <v>16.3</v>
      </c>
    </row>
    <row r="273" spans="1:7">
      <c r="A273" s="67" t="s">
        <v>290</v>
      </c>
      <c r="B273" s="70">
        <v>45962</v>
      </c>
      <c r="C273" s="69">
        <v>237</v>
      </c>
      <c r="D273" s="69">
        <v>3061</v>
      </c>
      <c r="E273" s="69">
        <v>432</v>
      </c>
      <c r="F273" s="67">
        <v>7</v>
      </c>
      <c r="G273" s="71">
        <v>13.7</v>
      </c>
    </row>
    <row r="274" spans="1:7">
      <c r="A274" s="67" t="s">
        <v>292</v>
      </c>
      <c r="B274" s="70">
        <v>45962</v>
      </c>
      <c r="C274" s="69">
        <v>79</v>
      </c>
      <c r="D274" s="69">
        <v>697</v>
      </c>
      <c r="E274" s="69">
        <v>164</v>
      </c>
      <c r="F274" s="67">
        <v>3</v>
      </c>
      <c r="G274" s="71">
        <v>9.800000000000001</v>
      </c>
    </row>
    <row r="275" spans="1:7">
      <c r="A275" s="67" t="s">
        <v>294</v>
      </c>
      <c r="B275" s="70">
        <v>45962</v>
      </c>
      <c r="C275" s="69">
        <v>29</v>
      </c>
      <c r="D275" s="69">
        <v>338</v>
      </c>
      <c r="E275" s="69">
        <v>62</v>
      </c>
      <c r="F275" s="67">
        <v>5</v>
      </c>
      <c r="G275" s="71">
        <v>24.2</v>
      </c>
    </row>
    <row r="276" spans="1:7">
      <c r="A276" s="67" t="s">
        <v>296</v>
      </c>
      <c r="B276" s="70">
        <v>45962</v>
      </c>
      <c r="C276" s="69">
        <v>257</v>
      </c>
      <c r="D276" s="69">
        <v>3135</v>
      </c>
      <c r="E276" s="69">
        <v>200</v>
      </c>
      <c r="F276" s="67">
        <v>8</v>
      </c>
      <c r="G276" s="71">
        <v>12.3</v>
      </c>
    </row>
    <row r="277" spans="1:7">
      <c r="A277" s="67" t="s">
        <v>298</v>
      </c>
      <c r="B277" s="70">
        <v>45962</v>
      </c>
      <c r="C277" s="69">
        <v>194</v>
      </c>
      <c r="D277" s="69">
        <v>3293</v>
      </c>
      <c r="E277" s="69">
        <v>115</v>
      </c>
      <c r="F277" s="67">
        <v>5</v>
      </c>
      <c r="G277" s="71">
        <v>29.9</v>
      </c>
    </row>
    <row r="278" spans="1:7">
      <c r="A278" s="67" t="s">
        <v>300</v>
      </c>
      <c r="B278" s="70">
        <v>45962</v>
      </c>
      <c r="C278" s="69">
        <v>96</v>
      </c>
      <c r="D278" s="69">
        <v>1157</v>
      </c>
      <c r="E278" s="69">
        <v>163</v>
      </c>
      <c r="F278" s="67">
        <v>3</v>
      </c>
      <c r="G278" s="71">
        <v>29.9</v>
      </c>
    </row>
    <row r="279" spans="1:7">
      <c r="A279" s="67" t="s">
        <v>302</v>
      </c>
      <c r="B279" s="70">
        <v>45962</v>
      </c>
      <c r="C279" s="69">
        <v>23</v>
      </c>
      <c r="D279" s="69">
        <v>289</v>
      </c>
      <c r="E279" s="69">
        <v>55</v>
      </c>
      <c r="F279" s="67">
        <v>5</v>
      </c>
      <c r="G279" s="71">
        <v>29.9</v>
      </c>
    </row>
    <row r="280" spans="1:7">
      <c r="A280" s="67" t="s">
        <v>304</v>
      </c>
      <c r="B280" s="70">
        <v>45962</v>
      </c>
      <c r="C280" s="69">
        <v>28</v>
      </c>
      <c r="D280" s="69">
        <v>334</v>
      </c>
      <c r="E280" s="69">
        <v>62</v>
      </c>
      <c r="F280" s="67">
        <v>2</v>
      </c>
      <c r="G280" s="71">
        <v>19.8</v>
      </c>
    </row>
    <row r="281" spans="1:7">
      <c r="A281" s="67" t="s">
        <v>306</v>
      </c>
      <c r="B281" s="70">
        <v>45962</v>
      </c>
      <c r="C281" s="69">
        <v>79</v>
      </c>
      <c r="D281" s="69">
        <v>786</v>
      </c>
      <c r="E281" s="69">
        <v>33</v>
      </c>
      <c r="F281" s="67">
        <v>6</v>
      </c>
      <c r="G281" s="71">
        <v>7</v>
      </c>
    </row>
    <row r="282" spans="1:7">
      <c r="A282" s="67" t="s">
        <v>308</v>
      </c>
      <c r="B282" s="70">
        <v>45962</v>
      </c>
      <c r="C282" s="69">
        <v>145</v>
      </c>
      <c r="D282" s="69">
        <v>2579</v>
      </c>
      <c r="E282" s="69">
        <v>262</v>
      </c>
      <c r="F282" s="67">
        <v>6</v>
      </c>
      <c r="G282" s="71">
        <v>10.1</v>
      </c>
    </row>
    <row r="283" spans="1:7">
      <c r="A283" s="67" t="s">
        <v>310</v>
      </c>
      <c r="B283" s="70">
        <v>45962</v>
      </c>
      <c r="C283" s="69">
        <v>183</v>
      </c>
      <c r="D283" s="69">
        <v>1400</v>
      </c>
      <c r="E283" s="69">
        <v>273</v>
      </c>
      <c r="F283" s="67">
        <v>7</v>
      </c>
      <c r="G283" s="71">
        <v>17.6</v>
      </c>
    </row>
    <row r="284" spans="1:7">
      <c r="A284" s="67" t="s">
        <v>312</v>
      </c>
      <c r="B284" s="70">
        <v>45962</v>
      </c>
      <c r="C284" s="69">
        <v>126</v>
      </c>
      <c r="D284" s="69">
        <v>1737</v>
      </c>
      <c r="E284" s="69">
        <v>194</v>
      </c>
      <c r="F284" s="67">
        <v>7</v>
      </c>
      <c r="G284" s="71">
        <v>12.9</v>
      </c>
    </row>
    <row r="285" spans="1:7">
      <c r="A285" s="67" t="s">
        <v>314</v>
      </c>
      <c r="B285" s="70">
        <v>45962</v>
      </c>
      <c r="C285" s="69">
        <v>13</v>
      </c>
      <c r="D285" s="69">
        <v>151</v>
      </c>
      <c r="E285" s="69">
        <v>27</v>
      </c>
      <c r="F285" s="67">
        <v>4</v>
      </c>
      <c r="G285" s="71">
        <v>29.4</v>
      </c>
    </row>
    <row r="286" spans="1:7">
      <c r="A286" s="67" t="s">
        <v>316</v>
      </c>
      <c r="B286" s="70">
        <v>45962</v>
      </c>
      <c r="C286" s="69">
        <v>23</v>
      </c>
      <c r="D286" s="69">
        <v>229</v>
      </c>
      <c r="E286" s="69">
        <v>28</v>
      </c>
      <c r="F286" s="67">
        <v>4</v>
      </c>
      <c r="G286" s="71">
        <v>32.6</v>
      </c>
    </row>
    <row r="287" spans="1:7">
      <c r="A287" s="67" t="s">
        <v>318</v>
      </c>
      <c r="B287" s="70">
        <v>45962</v>
      </c>
      <c r="C287" s="69">
        <v>144</v>
      </c>
      <c r="D287" s="69">
        <v>821</v>
      </c>
      <c r="E287" s="69">
        <v>279</v>
      </c>
      <c r="F287" s="67">
        <v>4</v>
      </c>
      <c r="G287" s="71">
        <v>12.1</v>
      </c>
    </row>
    <row r="288" spans="1:7">
      <c r="A288" s="67" t="s">
        <v>320</v>
      </c>
      <c r="B288" s="70">
        <v>45962</v>
      </c>
      <c r="C288" s="69">
        <v>153</v>
      </c>
      <c r="D288" s="69">
        <v>1646</v>
      </c>
      <c r="E288" s="69">
        <v>122</v>
      </c>
      <c r="F288" s="67">
        <v>3</v>
      </c>
      <c r="G288" s="71">
        <v>27.2</v>
      </c>
    </row>
    <row r="289" spans="1:7">
      <c r="A289" s="67" t="s">
        <v>322</v>
      </c>
      <c r="B289" s="70">
        <v>45962</v>
      </c>
      <c r="C289" s="69">
        <v>43</v>
      </c>
      <c r="D289" s="69">
        <v>544</v>
      </c>
      <c r="E289" s="69">
        <v>83</v>
      </c>
      <c r="F289" s="67">
        <v>4</v>
      </c>
      <c r="G289" s="71">
        <v>11.9</v>
      </c>
    </row>
    <row r="290" spans="1:7">
      <c r="A290" s="67" t="s">
        <v>324</v>
      </c>
      <c r="B290" s="70">
        <v>45962</v>
      </c>
      <c r="C290" s="69">
        <v>766</v>
      </c>
      <c r="D290" s="69">
        <v>8299</v>
      </c>
      <c r="E290" s="69">
        <v>1887</v>
      </c>
      <c r="F290" s="67">
        <v>6</v>
      </c>
      <c r="G290" s="71">
        <v>7.6</v>
      </c>
    </row>
    <row r="291" spans="1:7">
      <c r="A291" s="67" t="s">
        <v>326</v>
      </c>
      <c r="B291" s="70">
        <v>45962</v>
      </c>
      <c r="C291" s="69">
        <v>33</v>
      </c>
      <c r="D291" s="69">
        <v>216</v>
      </c>
      <c r="E291" s="69">
        <v>13</v>
      </c>
      <c r="F291" s="67">
        <v>7</v>
      </c>
      <c r="G291" s="71">
        <v>14.8</v>
      </c>
    </row>
    <row r="292" spans="1:7">
      <c r="A292" s="67" t="s">
        <v>328</v>
      </c>
      <c r="B292" s="70">
        <v>45962</v>
      </c>
      <c r="C292" s="69">
        <v>127</v>
      </c>
      <c r="D292" s="69">
        <v>2032</v>
      </c>
      <c r="E292" s="69">
        <v>40</v>
      </c>
      <c r="F292" s="67">
        <v>7</v>
      </c>
      <c r="G292" s="71">
        <v>21.3</v>
      </c>
    </row>
    <row r="293" spans="1:7">
      <c r="A293" s="67" t="s">
        <v>330</v>
      </c>
      <c r="B293" s="70">
        <v>45962</v>
      </c>
      <c r="C293" s="69">
        <v>42</v>
      </c>
      <c r="D293" s="69">
        <v>717</v>
      </c>
      <c r="E293" s="69">
        <v>68</v>
      </c>
      <c r="F293" s="67">
        <v>8</v>
      </c>
      <c r="G293" s="71">
        <v>32.1</v>
      </c>
    </row>
    <row r="294" spans="1:7">
      <c r="A294" s="67" t="s">
        <v>332</v>
      </c>
      <c r="B294" s="70">
        <v>45962</v>
      </c>
      <c r="C294" s="69">
        <v>34</v>
      </c>
      <c r="D294" s="69">
        <v>303</v>
      </c>
      <c r="E294" s="69">
        <v>69</v>
      </c>
      <c r="F294" s="67">
        <v>7</v>
      </c>
      <c r="G294" s="71">
        <v>24.3</v>
      </c>
    </row>
    <row r="295" spans="1:7">
      <c r="A295" s="67" t="s">
        <v>334</v>
      </c>
      <c r="B295" s="70">
        <v>45962</v>
      </c>
      <c r="C295" s="69">
        <v>424</v>
      </c>
      <c r="D295" s="69">
        <v>5016</v>
      </c>
      <c r="E295" s="69">
        <v>1020</v>
      </c>
      <c r="F295" s="67">
        <v>5</v>
      </c>
      <c r="G295" s="71">
        <v>23.2</v>
      </c>
    </row>
    <row r="296" spans="1:7">
      <c r="A296" s="67" t="s">
        <v>336</v>
      </c>
      <c r="B296" s="70">
        <v>45962</v>
      </c>
      <c r="C296" s="69">
        <v>775</v>
      </c>
      <c r="D296" s="69">
        <v>9347</v>
      </c>
      <c r="E296" s="69">
        <v>920</v>
      </c>
      <c r="F296" s="67">
        <v>5</v>
      </c>
      <c r="G296" s="71">
        <v>17.2</v>
      </c>
    </row>
    <row r="297" spans="1:7">
      <c r="A297" s="67" t="s">
        <v>338</v>
      </c>
      <c r="B297" s="70">
        <v>45962</v>
      </c>
      <c r="C297" s="69">
        <v>24</v>
      </c>
      <c r="D297" s="69">
        <v>223</v>
      </c>
      <c r="E297" s="69">
        <v>23</v>
      </c>
      <c r="F297" s="67">
        <v>4</v>
      </c>
      <c r="G297" s="71">
        <v>38.3</v>
      </c>
    </row>
    <row r="298" spans="1:7">
      <c r="A298" s="67" t="s">
        <v>340</v>
      </c>
      <c r="B298" s="70">
        <v>45962</v>
      </c>
      <c r="C298" s="69">
        <v>77</v>
      </c>
      <c r="D298" s="69">
        <v>947</v>
      </c>
      <c r="E298" s="69">
        <v>151</v>
      </c>
      <c r="F298" s="67">
        <v>7</v>
      </c>
      <c r="G298" s="71">
        <v>27.7</v>
      </c>
    </row>
    <row r="299" spans="1:7">
      <c r="A299" s="67" t="s">
        <v>342</v>
      </c>
      <c r="B299" s="70">
        <v>45962</v>
      </c>
      <c r="C299" s="69">
        <v>10</v>
      </c>
      <c r="D299" s="69">
        <v>81</v>
      </c>
      <c r="E299" s="69">
        <v>17</v>
      </c>
      <c r="F299" s="67">
        <v>7</v>
      </c>
      <c r="G299" s="71">
        <v>37.2</v>
      </c>
    </row>
    <row r="300" spans="1:7">
      <c r="A300" s="67" t="s">
        <v>344</v>
      </c>
      <c r="B300" s="70">
        <v>45962</v>
      </c>
      <c r="C300" s="69">
        <v>12</v>
      </c>
      <c r="D300" s="69">
        <v>198</v>
      </c>
      <c r="E300" s="69">
        <v>14</v>
      </c>
      <c r="F300" s="67">
        <v>5</v>
      </c>
      <c r="G300" s="71">
        <v>32.9</v>
      </c>
    </row>
    <row r="301" spans="1:7">
      <c r="A301" s="67" t="s">
        <v>346</v>
      </c>
      <c r="B301" s="70">
        <v>45962</v>
      </c>
      <c r="C301" s="69">
        <v>305</v>
      </c>
      <c r="D301" s="69">
        <v>4396</v>
      </c>
      <c r="E301" s="69">
        <v>108</v>
      </c>
      <c r="F301" s="67">
        <v>4</v>
      </c>
      <c r="G301" s="71">
        <v>23.1</v>
      </c>
    </row>
    <row r="302" spans="1:7">
      <c r="A302" s="67" t="s">
        <v>14</v>
      </c>
      <c r="B302" s="70">
        <v>45992</v>
      </c>
      <c r="C302" s="69">
        <v>160</v>
      </c>
      <c r="D302" s="69">
        <v>1858</v>
      </c>
      <c r="E302" s="69">
        <v>219</v>
      </c>
      <c r="F302" s="67">
        <v>2</v>
      </c>
      <c r="G302" s="71">
        <v>15.4</v>
      </c>
    </row>
    <row r="303" spans="1:7">
      <c r="A303" s="67" t="s">
        <v>23</v>
      </c>
      <c r="B303" s="70">
        <v>45992</v>
      </c>
      <c r="C303" s="69">
        <v>50</v>
      </c>
      <c r="D303" s="69">
        <v>304</v>
      </c>
      <c r="E303" s="69">
        <v>26</v>
      </c>
      <c r="F303" s="67">
        <v>7</v>
      </c>
      <c r="G303" s="71">
        <v>39</v>
      </c>
    </row>
    <row r="304" spans="1:7">
      <c r="A304" s="67" t="s">
        <v>30</v>
      </c>
      <c r="B304" s="70">
        <v>45992</v>
      </c>
      <c r="C304" s="69">
        <v>200</v>
      </c>
      <c r="D304" s="69">
        <v>2630</v>
      </c>
      <c r="E304" s="69">
        <v>153</v>
      </c>
      <c r="F304" s="67">
        <v>7</v>
      </c>
      <c r="G304" s="71">
        <v>27</v>
      </c>
    </row>
    <row r="305" spans="1:7">
      <c r="A305" s="67" t="s">
        <v>35</v>
      </c>
      <c r="B305" s="70">
        <v>45992</v>
      </c>
      <c r="C305" s="69">
        <v>26</v>
      </c>
      <c r="D305" s="69">
        <v>412</v>
      </c>
      <c r="E305" s="69">
        <v>20</v>
      </c>
      <c r="F305" s="67">
        <v>6</v>
      </c>
      <c r="G305" s="71">
        <v>34</v>
      </c>
    </row>
    <row r="306" spans="1:7">
      <c r="A306" s="67" t="s">
        <v>41</v>
      </c>
      <c r="B306" s="70">
        <v>45992</v>
      </c>
      <c r="C306" s="69">
        <v>85</v>
      </c>
      <c r="D306" s="69">
        <v>906</v>
      </c>
      <c r="E306" s="69">
        <v>178</v>
      </c>
      <c r="F306" s="67">
        <v>4</v>
      </c>
      <c r="G306" s="71">
        <v>7.5</v>
      </c>
    </row>
    <row r="307" spans="1:7">
      <c r="A307" s="67" t="s">
        <v>44</v>
      </c>
      <c r="B307" s="70">
        <v>45992</v>
      </c>
      <c r="C307" s="69">
        <v>65</v>
      </c>
      <c r="D307" s="69">
        <v>931</v>
      </c>
      <c r="E307" s="69">
        <v>25</v>
      </c>
      <c r="F307" s="67">
        <v>6</v>
      </c>
      <c r="G307" s="71">
        <v>7.6</v>
      </c>
    </row>
    <row r="308" spans="1:7">
      <c r="A308" s="67" t="s">
        <v>47</v>
      </c>
      <c r="B308" s="70">
        <v>45992</v>
      </c>
      <c r="C308" s="69">
        <v>23</v>
      </c>
      <c r="D308" s="69">
        <v>136</v>
      </c>
      <c r="E308" s="69">
        <v>48</v>
      </c>
      <c r="F308" s="67">
        <v>5</v>
      </c>
      <c r="G308" s="71">
        <v>36.9</v>
      </c>
    </row>
    <row r="309" spans="1:7">
      <c r="A309" s="67" t="s">
        <v>51</v>
      </c>
      <c r="B309" s="70">
        <v>45992</v>
      </c>
      <c r="C309" s="69">
        <v>899</v>
      </c>
      <c r="D309" s="69">
        <v>9222</v>
      </c>
      <c r="E309" s="69">
        <v>895</v>
      </c>
      <c r="F309" s="67">
        <v>8</v>
      </c>
      <c r="G309" s="71">
        <v>18.6</v>
      </c>
    </row>
    <row r="310" spans="1:7">
      <c r="A310" s="67" t="s">
        <v>54</v>
      </c>
      <c r="B310" s="70">
        <v>45992</v>
      </c>
      <c r="C310" s="69">
        <v>6</v>
      </c>
      <c r="D310" s="69">
        <v>86</v>
      </c>
      <c r="E310" s="69">
        <v>3</v>
      </c>
      <c r="F310" s="67">
        <v>4</v>
      </c>
      <c r="G310" s="71">
        <v>31.1</v>
      </c>
    </row>
    <row r="311" spans="1:7">
      <c r="A311" s="67" t="s">
        <v>57</v>
      </c>
      <c r="B311" s="70">
        <v>45992</v>
      </c>
      <c r="C311" s="69">
        <v>850</v>
      </c>
      <c r="D311" s="69">
        <v>8203</v>
      </c>
      <c r="E311" s="69">
        <v>1195</v>
      </c>
      <c r="F311" s="67">
        <v>8</v>
      </c>
      <c r="G311" s="71">
        <v>15.1</v>
      </c>
    </row>
    <row r="312" spans="1:7">
      <c r="A312" s="67" t="s">
        <v>59</v>
      </c>
      <c r="B312" s="70">
        <v>45992</v>
      </c>
      <c r="C312" s="69">
        <v>97</v>
      </c>
      <c r="D312" s="69">
        <v>840</v>
      </c>
      <c r="E312" s="69">
        <v>227</v>
      </c>
      <c r="F312" s="67">
        <v>3</v>
      </c>
      <c r="G312" s="71">
        <v>18.3</v>
      </c>
    </row>
    <row r="313" spans="1:7">
      <c r="A313" s="67" t="s">
        <v>63</v>
      </c>
      <c r="B313" s="70">
        <v>45992</v>
      </c>
      <c r="C313" s="69">
        <v>21</v>
      </c>
      <c r="D313" s="69">
        <v>148</v>
      </c>
      <c r="E313" s="69">
        <v>16</v>
      </c>
      <c r="F313" s="67">
        <v>5</v>
      </c>
      <c r="G313" s="71">
        <v>31.1</v>
      </c>
    </row>
    <row r="314" spans="1:7">
      <c r="A314" s="67" t="s">
        <v>66</v>
      </c>
      <c r="B314" s="70">
        <v>45992</v>
      </c>
      <c r="C314" s="69">
        <v>16</v>
      </c>
      <c r="D314" s="69">
        <v>141</v>
      </c>
      <c r="E314" s="69">
        <v>27</v>
      </c>
      <c r="F314" s="67">
        <v>4</v>
      </c>
      <c r="G314" s="71">
        <v>15.4</v>
      </c>
    </row>
    <row r="315" spans="1:7">
      <c r="A315" s="67" t="s">
        <v>69</v>
      </c>
      <c r="B315" s="70">
        <v>45992</v>
      </c>
      <c r="C315" s="69">
        <v>12</v>
      </c>
      <c r="D315" s="69">
        <v>195</v>
      </c>
      <c r="E315" s="69">
        <v>21</v>
      </c>
      <c r="F315" s="67">
        <v>4</v>
      </c>
      <c r="G315" s="71">
        <v>38.5</v>
      </c>
    </row>
    <row r="316" spans="1:7">
      <c r="A316" s="67" t="s">
        <v>71</v>
      </c>
      <c r="B316" s="70">
        <v>45992</v>
      </c>
      <c r="C316" s="69">
        <v>68</v>
      </c>
      <c r="D316" s="69">
        <v>465</v>
      </c>
      <c r="E316" s="69">
        <v>27</v>
      </c>
      <c r="F316" s="67">
        <v>7</v>
      </c>
      <c r="G316" s="71">
        <v>25</v>
      </c>
    </row>
    <row r="317" spans="1:7">
      <c r="A317" s="67" t="s">
        <v>75</v>
      </c>
      <c r="B317" s="70">
        <v>45992</v>
      </c>
      <c r="C317" s="69">
        <v>249</v>
      </c>
      <c r="D317" s="69">
        <v>1521</v>
      </c>
      <c r="E317" s="69">
        <v>190</v>
      </c>
      <c r="F317" s="67">
        <v>9</v>
      </c>
      <c r="G317" s="71">
        <v>31</v>
      </c>
    </row>
    <row r="318" spans="1:7">
      <c r="A318" s="67" t="s">
        <v>78</v>
      </c>
      <c r="B318" s="70">
        <v>45992</v>
      </c>
      <c r="C318" s="69">
        <v>689</v>
      </c>
      <c r="D318" s="69">
        <v>11557</v>
      </c>
      <c r="E318" s="69">
        <v>1497</v>
      </c>
      <c r="F318" s="67">
        <v>5</v>
      </c>
      <c r="G318" s="71">
        <v>10</v>
      </c>
    </row>
    <row r="319" spans="1:7">
      <c r="A319" s="67" t="s">
        <v>81</v>
      </c>
      <c r="B319" s="70">
        <v>45992</v>
      </c>
      <c r="C319" s="69">
        <v>9</v>
      </c>
      <c r="D319" s="69">
        <v>75</v>
      </c>
      <c r="E319" s="69">
        <v>5</v>
      </c>
      <c r="F319" s="67">
        <v>8</v>
      </c>
      <c r="G319" s="71">
        <v>28.5</v>
      </c>
    </row>
    <row r="320" spans="1:7">
      <c r="A320" s="67" t="s">
        <v>83</v>
      </c>
      <c r="B320" s="70">
        <v>45992</v>
      </c>
      <c r="C320" s="69">
        <v>10</v>
      </c>
      <c r="D320" s="69">
        <v>148</v>
      </c>
      <c r="E320" s="69">
        <v>25</v>
      </c>
      <c r="F320" s="67">
        <v>6</v>
      </c>
      <c r="G320" s="71">
        <v>24.2</v>
      </c>
    </row>
    <row r="321" spans="1:7">
      <c r="A321" s="67" t="s">
        <v>85</v>
      </c>
      <c r="B321" s="70">
        <v>45992</v>
      </c>
      <c r="C321" s="69">
        <v>182</v>
      </c>
      <c r="D321" s="69">
        <v>2499</v>
      </c>
      <c r="E321" s="69">
        <v>155</v>
      </c>
      <c r="F321" s="67">
        <v>9</v>
      </c>
      <c r="G321" s="71">
        <v>11.9</v>
      </c>
    </row>
    <row r="322" spans="1:7">
      <c r="A322" s="67" t="s">
        <v>87</v>
      </c>
      <c r="B322" s="70">
        <v>45992</v>
      </c>
      <c r="C322" s="69">
        <v>10</v>
      </c>
      <c r="D322" s="69">
        <v>96</v>
      </c>
      <c r="E322" s="69">
        <v>18</v>
      </c>
      <c r="F322" s="67">
        <v>5</v>
      </c>
      <c r="G322" s="71">
        <v>13.2</v>
      </c>
    </row>
    <row r="323" spans="1:7">
      <c r="A323" s="67" t="s">
        <v>90</v>
      </c>
      <c r="B323" s="70">
        <v>45992</v>
      </c>
      <c r="C323" s="69">
        <v>56</v>
      </c>
      <c r="D323" s="69">
        <v>421</v>
      </c>
      <c r="E323" s="69">
        <v>77</v>
      </c>
      <c r="F323" s="67">
        <v>5</v>
      </c>
      <c r="G323" s="71">
        <v>16.5</v>
      </c>
    </row>
    <row r="324" spans="1:7">
      <c r="A324" s="67" t="s">
        <v>92</v>
      </c>
      <c r="B324" s="70">
        <v>45992</v>
      </c>
      <c r="C324" s="69">
        <v>7</v>
      </c>
      <c r="D324" s="69">
        <v>49</v>
      </c>
      <c r="E324" s="69">
        <v>11</v>
      </c>
      <c r="F324" s="67">
        <v>3</v>
      </c>
      <c r="G324" s="71">
        <v>33.3</v>
      </c>
    </row>
    <row r="325" spans="1:7">
      <c r="A325" s="67" t="s">
        <v>94</v>
      </c>
      <c r="B325" s="70">
        <v>45992</v>
      </c>
      <c r="C325" s="69">
        <v>37</v>
      </c>
      <c r="D325" s="69">
        <v>336</v>
      </c>
      <c r="E325" s="69">
        <v>75</v>
      </c>
      <c r="F325" s="67">
        <v>6</v>
      </c>
      <c r="G325" s="71">
        <v>29.9</v>
      </c>
    </row>
    <row r="326" spans="1:7">
      <c r="A326" s="67" t="s">
        <v>96</v>
      </c>
      <c r="B326" s="70">
        <v>45992</v>
      </c>
      <c r="C326" s="69">
        <v>648</v>
      </c>
      <c r="D326" s="69">
        <v>6268</v>
      </c>
      <c r="E326" s="69">
        <v>1163</v>
      </c>
      <c r="F326" s="67">
        <v>5</v>
      </c>
      <c r="G326" s="71">
        <v>16.6</v>
      </c>
    </row>
    <row r="327" spans="1:7">
      <c r="A327" s="67" t="s">
        <v>98</v>
      </c>
      <c r="B327" s="70">
        <v>45992</v>
      </c>
      <c r="C327" s="69">
        <v>982</v>
      </c>
      <c r="D327" s="69">
        <v>14801</v>
      </c>
      <c r="E327" s="69">
        <v>1347</v>
      </c>
      <c r="F327" s="67">
        <v>8</v>
      </c>
      <c r="G327" s="71">
        <v>8.800000000000001</v>
      </c>
    </row>
    <row r="328" spans="1:7">
      <c r="A328" s="67" t="s">
        <v>100</v>
      </c>
      <c r="B328" s="70">
        <v>45992</v>
      </c>
      <c r="C328" s="69">
        <v>939</v>
      </c>
      <c r="D328" s="69">
        <v>8120</v>
      </c>
      <c r="E328" s="69">
        <v>1989</v>
      </c>
      <c r="F328" s="67">
        <v>6</v>
      </c>
      <c r="G328" s="71">
        <v>36.2</v>
      </c>
    </row>
    <row r="329" spans="1:7">
      <c r="A329" s="67" t="s">
        <v>104</v>
      </c>
      <c r="B329" s="70">
        <v>45992</v>
      </c>
      <c r="C329" s="69">
        <v>21</v>
      </c>
      <c r="D329" s="69">
        <v>276</v>
      </c>
      <c r="E329" s="69">
        <v>40</v>
      </c>
      <c r="F329" s="67">
        <v>5</v>
      </c>
      <c r="G329" s="71">
        <v>36.2</v>
      </c>
    </row>
    <row r="330" spans="1:7">
      <c r="A330" s="67" t="s">
        <v>106</v>
      </c>
      <c r="B330" s="70">
        <v>45992</v>
      </c>
      <c r="C330" s="69">
        <v>189</v>
      </c>
      <c r="D330" s="69">
        <v>2942</v>
      </c>
      <c r="E330" s="69">
        <v>297</v>
      </c>
      <c r="F330" s="67">
        <v>5</v>
      </c>
      <c r="G330" s="71">
        <v>31.9</v>
      </c>
    </row>
    <row r="331" spans="1:7">
      <c r="A331" s="67" t="s">
        <v>108</v>
      </c>
      <c r="B331" s="70">
        <v>45992</v>
      </c>
      <c r="C331" s="69">
        <v>24</v>
      </c>
      <c r="D331" s="69">
        <v>201</v>
      </c>
      <c r="E331" s="69">
        <v>54</v>
      </c>
      <c r="F331" s="67">
        <v>6</v>
      </c>
      <c r="G331" s="71">
        <v>23.9</v>
      </c>
    </row>
    <row r="332" spans="1:7">
      <c r="A332" s="67" t="s">
        <v>110</v>
      </c>
      <c r="B332" s="70">
        <v>45992</v>
      </c>
      <c r="C332" s="69">
        <v>157</v>
      </c>
      <c r="D332" s="69">
        <v>1586</v>
      </c>
      <c r="E332" s="69">
        <v>355</v>
      </c>
      <c r="F332" s="67">
        <v>4</v>
      </c>
      <c r="G332" s="71">
        <v>25.6</v>
      </c>
    </row>
    <row r="333" spans="1:7">
      <c r="A333" s="67" t="s">
        <v>112</v>
      </c>
      <c r="B333" s="70">
        <v>45992</v>
      </c>
      <c r="C333" s="69">
        <v>7</v>
      </c>
      <c r="D333" s="69">
        <v>81</v>
      </c>
      <c r="E333" s="69">
        <v>3</v>
      </c>
      <c r="F333" s="67">
        <v>3</v>
      </c>
      <c r="G333" s="71">
        <v>17.7</v>
      </c>
    </row>
    <row r="334" spans="1:7">
      <c r="A334" s="67" t="s">
        <v>114</v>
      </c>
      <c r="B334" s="70">
        <v>45992</v>
      </c>
      <c r="C334" s="69">
        <v>148</v>
      </c>
      <c r="D334" s="69">
        <v>2595</v>
      </c>
      <c r="E334" s="69">
        <v>364</v>
      </c>
      <c r="F334" s="67">
        <v>8</v>
      </c>
      <c r="G334" s="71">
        <v>28.9</v>
      </c>
    </row>
    <row r="335" spans="1:7">
      <c r="A335" s="67" t="s">
        <v>116</v>
      </c>
      <c r="B335" s="70">
        <v>45992</v>
      </c>
      <c r="C335" s="69">
        <v>14</v>
      </c>
      <c r="D335" s="69">
        <v>99</v>
      </c>
      <c r="E335" s="69">
        <v>22</v>
      </c>
      <c r="F335" s="67">
        <v>5</v>
      </c>
      <c r="G335" s="71">
        <v>24.8</v>
      </c>
    </row>
    <row r="336" spans="1:7">
      <c r="A336" s="67" t="s">
        <v>118</v>
      </c>
      <c r="B336" s="70">
        <v>45992</v>
      </c>
      <c r="C336" s="69">
        <v>44</v>
      </c>
      <c r="D336" s="69">
        <v>639</v>
      </c>
      <c r="E336" s="69">
        <v>104</v>
      </c>
      <c r="F336" s="67">
        <v>8</v>
      </c>
      <c r="G336" s="71">
        <v>6.4</v>
      </c>
    </row>
    <row r="337" spans="1:7">
      <c r="A337" s="67" t="s">
        <v>120</v>
      </c>
      <c r="B337" s="70">
        <v>45992</v>
      </c>
      <c r="C337" s="69">
        <v>53</v>
      </c>
      <c r="D337" s="69">
        <v>447</v>
      </c>
      <c r="E337" s="69">
        <v>43</v>
      </c>
      <c r="F337" s="67">
        <v>2</v>
      </c>
      <c r="G337" s="71">
        <v>28.4</v>
      </c>
    </row>
    <row r="338" spans="1:7">
      <c r="A338" s="67" t="s">
        <v>122</v>
      </c>
      <c r="B338" s="70">
        <v>45992</v>
      </c>
      <c r="C338" s="69">
        <v>463</v>
      </c>
      <c r="D338" s="69">
        <v>4651</v>
      </c>
      <c r="E338" s="69">
        <v>1074</v>
      </c>
      <c r="F338" s="67">
        <v>4</v>
      </c>
      <c r="G338" s="71">
        <v>35.9</v>
      </c>
    </row>
    <row r="339" spans="1:7">
      <c r="A339" s="67" t="s">
        <v>124</v>
      </c>
      <c r="B339" s="70">
        <v>45992</v>
      </c>
      <c r="C339" s="69">
        <v>177</v>
      </c>
      <c r="D339" s="69">
        <v>1123</v>
      </c>
      <c r="E339" s="69">
        <v>430</v>
      </c>
      <c r="F339" s="67">
        <v>5</v>
      </c>
      <c r="G339" s="71">
        <v>27.2</v>
      </c>
    </row>
    <row r="340" spans="1:7">
      <c r="A340" s="67" t="s">
        <v>126</v>
      </c>
      <c r="B340" s="70">
        <v>45992</v>
      </c>
      <c r="C340" s="69">
        <v>29</v>
      </c>
      <c r="D340" s="69">
        <v>363</v>
      </c>
      <c r="E340" s="69">
        <v>45</v>
      </c>
      <c r="F340" s="67">
        <v>5</v>
      </c>
      <c r="G340" s="71">
        <v>18.2</v>
      </c>
    </row>
    <row r="341" spans="1:7">
      <c r="A341" s="67" t="s">
        <v>128</v>
      </c>
      <c r="B341" s="70">
        <v>45992</v>
      </c>
      <c r="C341" s="69">
        <v>163</v>
      </c>
      <c r="D341" s="69">
        <v>2718</v>
      </c>
      <c r="E341" s="69">
        <v>77</v>
      </c>
      <c r="F341" s="67">
        <v>7</v>
      </c>
      <c r="G341" s="71">
        <v>13.8</v>
      </c>
    </row>
    <row r="342" spans="1:7">
      <c r="A342" s="67" t="s">
        <v>130</v>
      </c>
      <c r="B342" s="70">
        <v>45992</v>
      </c>
      <c r="C342" s="69">
        <v>95</v>
      </c>
      <c r="D342" s="69">
        <v>976</v>
      </c>
      <c r="E342" s="69">
        <v>199</v>
      </c>
      <c r="F342" s="67">
        <v>8</v>
      </c>
      <c r="G342" s="71">
        <v>17.1</v>
      </c>
    </row>
    <row r="343" spans="1:7">
      <c r="A343" s="67" t="s">
        <v>132</v>
      </c>
      <c r="B343" s="70">
        <v>45992</v>
      </c>
      <c r="C343" s="69">
        <v>45</v>
      </c>
      <c r="D343" s="69">
        <v>229</v>
      </c>
      <c r="E343" s="69">
        <v>101</v>
      </c>
      <c r="F343" s="67">
        <v>3</v>
      </c>
      <c r="G343" s="71">
        <v>20.4</v>
      </c>
    </row>
    <row r="344" spans="1:7">
      <c r="A344" s="67" t="s">
        <v>134</v>
      </c>
      <c r="B344" s="70">
        <v>45992</v>
      </c>
      <c r="C344" s="69">
        <v>204</v>
      </c>
      <c r="D344" s="69">
        <v>1765</v>
      </c>
      <c r="E344" s="69">
        <v>129</v>
      </c>
      <c r="F344" s="67">
        <v>8</v>
      </c>
      <c r="G344" s="71">
        <v>10.5</v>
      </c>
    </row>
    <row r="345" spans="1:7">
      <c r="A345" s="67" t="s">
        <v>136</v>
      </c>
      <c r="B345" s="70">
        <v>45992</v>
      </c>
      <c r="C345" s="69">
        <v>144</v>
      </c>
      <c r="D345" s="69">
        <v>1958</v>
      </c>
      <c r="E345" s="69">
        <v>175</v>
      </c>
      <c r="F345" s="67">
        <v>4</v>
      </c>
      <c r="G345" s="71">
        <v>16.6</v>
      </c>
    </row>
    <row r="346" spans="1:7">
      <c r="A346" s="67" t="s">
        <v>138</v>
      </c>
      <c r="B346" s="70">
        <v>45992</v>
      </c>
      <c r="C346" s="69">
        <v>37</v>
      </c>
      <c r="D346" s="69">
        <v>415</v>
      </c>
      <c r="E346" s="69">
        <v>59</v>
      </c>
      <c r="F346" s="67">
        <v>7</v>
      </c>
      <c r="G346" s="71">
        <v>27.7</v>
      </c>
    </row>
    <row r="347" spans="1:7">
      <c r="A347" s="67" t="s">
        <v>140</v>
      </c>
      <c r="B347" s="70">
        <v>45992</v>
      </c>
      <c r="C347" s="69">
        <v>129</v>
      </c>
      <c r="D347" s="69">
        <v>859</v>
      </c>
      <c r="E347" s="69">
        <v>207</v>
      </c>
      <c r="F347" s="67">
        <v>5</v>
      </c>
      <c r="G347" s="71">
        <v>9.699999999999999</v>
      </c>
    </row>
    <row r="348" spans="1:7">
      <c r="A348" s="67" t="s">
        <v>142</v>
      </c>
      <c r="B348" s="70">
        <v>45992</v>
      </c>
      <c r="C348" s="69">
        <v>205</v>
      </c>
      <c r="D348" s="69">
        <v>1416</v>
      </c>
      <c r="E348" s="69">
        <v>137</v>
      </c>
      <c r="F348" s="67">
        <v>8</v>
      </c>
      <c r="G348" s="71">
        <v>37.3</v>
      </c>
    </row>
    <row r="349" spans="1:7">
      <c r="A349" s="67" t="s">
        <v>144</v>
      </c>
      <c r="B349" s="70">
        <v>45992</v>
      </c>
      <c r="C349" s="69">
        <v>20</v>
      </c>
      <c r="D349" s="69">
        <v>352</v>
      </c>
      <c r="E349" s="69">
        <v>34</v>
      </c>
      <c r="F349" s="67">
        <v>5</v>
      </c>
      <c r="G349" s="71">
        <v>35.7</v>
      </c>
    </row>
    <row r="350" spans="1:7">
      <c r="A350" s="67" t="s">
        <v>146</v>
      </c>
      <c r="B350" s="70">
        <v>45992</v>
      </c>
      <c r="C350" s="69">
        <v>1082</v>
      </c>
      <c r="D350" s="69">
        <v>18734</v>
      </c>
      <c r="E350" s="69">
        <v>840</v>
      </c>
      <c r="F350" s="67">
        <v>7</v>
      </c>
      <c r="G350" s="71">
        <v>26.2</v>
      </c>
    </row>
    <row r="351" spans="1:7">
      <c r="A351" s="67" t="s">
        <v>148</v>
      </c>
      <c r="B351" s="70">
        <v>45992</v>
      </c>
      <c r="C351" s="69">
        <v>151</v>
      </c>
      <c r="D351" s="69">
        <v>1186</v>
      </c>
      <c r="E351" s="69">
        <v>182</v>
      </c>
      <c r="F351" s="67">
        <v>8</v>
      </c>
      <c r="G351" s="71">
        <v>10</v>
      </c>
    </row>
    <row r="352" spans="1:7">
      <c r="A352" s="67" t="s">
        <v>150</v>
      </c>
      <c r="B352" s="70">
        <v>45992</v>
      </c>
      <c r="C352" s="69">
        <v>22</v>
      </c>
      <c r="D352" s="69">
        <v>288</v>
      </c>
      <c r="E352" s="69">
        <v>31</v>
      </c>
      <c r="F352" s="67">
        <v>2</v>
      </c>
      <c r="G352" s="71">
        <v>10.9</v>
      </c>
    </row>
    <row r="353" spans="1:7">
      <c r="A353" s="67" t="s">
        <v>152</v>
      </c>
      <c r="B353" s="70">
        <v>45992</v>
      </c>
      <c r="C353" s="69">
        <v>20</v>
      </c>
      <c r="D353" s="69">
        <v>255</v>
      </c>
      <c r="E353" s="69">
        <v>9</v>
      </c>
      <c r="F353" s="67">
        <v>3</v>
      </c>
      <c r="G353" s="71">
        <v>18.2</v>
      </c>
    </row>
    <row r="354" spans="1:7">
      <c r="A354" s="67" t="s">
        <v>154</v>
      </c>
      <c r="B354" s="70">
        <v>45992</v>
      </c>
      <c r="C354" s="69">
        <v>84</v>
      </c>
      <c r="D354" s="69">
        <v>991</v>
      </c>
      <c r="E354" s="69">
        <v>193</v>
      </c>
      <c r="F354" s="67">
        <v>2</v>
      </c>
      <c r="G354" s="71">
        <v>29</v>
      </c>
    </row>
    <row r="355" spans="1:7">
      <c r="A355" s="67" t="s">
        <v>156</v>
      </c>
      <c r="B355" s="70">
        <v>45992</v>
      </c>
      <c r="C355" s="69">
        <v>24</v>
      </c>
      <c r="D355" s="69">
        <v>175</v>
      </c>
      <c r="E355" s="69">
        <v>55</v>
      </c>
      <c r="F355" s="67">
        <v>6</v>
      </c>
      <c r="G355" s="71">
        <v>26</v>
      </c>
    </row>
    <row r="356" spans="1:7">
      <c r="A356" s="67" t="s">
        <v>158</v>
      </c>
      <c r="B356" s="70">
        <v>45992</v>
      </c>
      <c r="C356" s="69">
        <v>85</v>
      </c>
      <c r="D356" s="69">
        <v>1256</v>
      </c>
      <c r="E356" s="69">
        <v>43</v>
      </c>
      <c r="F356" s="67">
        <v>3</v>
      </c>
      <c r="G356" s="71">
        <v>28.1</v>
      </c>
    </row>
    <row r="357" spans="1:7">
      <c r="A357" s="67" t="s">
        <v>160</v>
      </c>
      <c r="B357" s="70">
        <v>45992</v>
      </c>
      <c r="C357" s="69">
        <v>199</v>
      </c>
      <c r="D357" s="69">
        <v>998</v>
      </c>
      <c r="E357" s="69">
        <v>470</v>
      </c>
      <c r="F357" s="67">
        <v>6</v>
      </c>
      <c r="G357" s="71">
        <v>28.7</v>
      </c>
    </row>
    <row r="358" spans="1:7">
      <c r="A358" s="67" t="s">
        <v>162</v>
      </c>
      <c r="B358" s="70">
        <v>45992</v>
      </c>
      <c r="C358" s="69">
        <v>46</v>
      </c>
      <c r="D358" s="69">
        <v>753</v>
      </c>
      <c r="E358" s="69">
        <v>84</v>
      </c>
      <c r="F358" s="67">
        <v>8</v>
      </c>
      <c r="G358" s="71">
        <v>20</v>
      </c>
    </row>
    <row r="359" spans="1:7">
      <c r="A359" s="67" t="s">
        <v>164</v>
      </c>
      <c r="B359" s="70">
        <v>45992</v>
      </c>
      <c r="C359" s="69">
        <v>86</v>
      </c>
      <c r="D359" s="69">
        <v>1289</v>
      </c>
      <c r="E359" s="69">
        <v>92</v>
      </c>
      <c r="F359" s="67">
        <v>6</v>
      </c>
      <c r="G359" s="71">
        <v>33.2</v>
      </c>
    </row>
    <row r="360" spans="1:7">
      <c r="A360" s="67" t="s">
        <v>166</v>
      </c>
      <c r="B360" s="70">
        <v>45992</v>
      </c>
      <c r="C360" s="69">
        <v>133</v>
      </c>
      <c r="D360" s="69">
        <v>1661</v>
      </c>
      <c r="E360" s="69">
        <v>164</v>
      </c>
      <c r="F360" s="67">
        <v>5</v>
      </c>
      <c r="G360" s="71">
        <v>13.9</v>
      </c>
    </row>
    <row r="361" spans="1:7">
      <c r="A361" s="67" t="s">
        <v>168</v>
      </c>
      <c r="B361" s="70">
        <v>45992</v>
      </c>
      <c r="C361" s="69">
        <v>146</v>
      </c>
      <c r="D361" s="69">
        <v>889</v>
      </c>
      <c r="E361" s="69">
        <v>236</v>
      </c>
      <c r="F361" s="67">
        <v>5</v>
      </c>
      <c r="G361" s="71">
        <v>24</v>
      </c>
    </row>
    <row r="362" spans="1:7">
      <c r="A362" s="67" t="s">
        <v>170</v>
      </c>
      <c r="B362" s="70">
        <v>45992</v>
      </c>
      <c r="C362" s="69">
        <v>22</v>
      </c>
      <c r="D362" s="69">
        <v>323</v>
      </c>
      <c r="E362" s="69">
        <v>7</v>
      </c>
      <c r="F362" s="67">
        <v>7</v>
      </c>
      <c r="G362" s="71">
        <v>23.3</v>
      </c>
    </row>
    <row r="363" spans="1:7">
      <c r="A363" s="67" t="s">
        <v>172</v>
      </c>
      <c r="B363" s="70">
        <v>45992</v>
      </c>
      <c r="C363" s="69">
        <v>25</v>
      </c>
      <c r="D363" s="69">
        <v>192</v>
      </c>
      <c r="E363" s="69">
        <v>52</v>
      </c>
      <c r="F363" s="67">
        <v>7</v>
      </c>
      <c r="G363" s="71">
        <v>19.3</v>
      </c>
    </row>
    <row r="364" spans="1:7">
      <c r="A364" s="67" t="s">
        <v>174</v>
      </c>
      <c r="B364" s="70">
        <v>45992</v>
      </c>
      <c r="C364" s="69">
        <v>131</v>
      </c>
      <c r="D364" s="69">
        <v>1652</v>
      </c>
      <c r="E364" s="69">
        <v>115</v>
      </c>
      <c r="F364" s="67">
        <v>6</v>
      </c>
      <c r="G364" s="71">
        <v>23.8</v>
      </c>
    </row>
    <row r="365" spans="1:7">
      <c r="A365" s="67" t="s">
        <v>176</v>
      </c>
      <c r="B365" s="70">
        <v>45992</v>
      </c>
      <c r="C365" s="69">
        <v>23</v>
      </c>
      <c r="D365" s="69">
        <v>412</v>
      </c>
      <c r="E365" s="69">
        <v>27</v>
      </c>
      <c r="F365" s="67">
        <v>4</v>
      </c>
      <c r="G365" s="71">
        <v>12.1</v>
      </c>
    </row>
    <row r="366" spans="1:7">
      <c r="A366" s="67" t="s">
        <v>178</v>
      </c>
      <c r="B366" s="70">
        <v>45992</v>
      </c>
      <c r="C366" s="69">
        <v>11</v>
      </c>
      <c r="D366" s="69">
        <v>81</v>
      </c>
      <c r="E366" s="69">
        <v>17</v>
      </c>
      <c r="F366" s="67">
        <v>5</v>
      </c>
      <c r="G366" s="71">
        <v>21.9</v>
      </c>
    </row>
    <row r="367" spans="1:7">
      <c r="A367" s="67" t="s">
        <v>180</v>
      </c>
      <c r="B367" s="70">
        <v>45992</v>
      </c>
      <c r="C367" s="69">
        <v>1094</v>
      </c>
      <c r="D367" s="69">
        <v>16481</v>
      </c>
      <c r="E367" s="69">
        <v>1286</v>
      </c>
      <c r="F367" s="67">
        <v>8</v>
      </c>
      <c r="G367" s="71">
        <v>9.800000000000001</v>
      </c>
    </row>
    <row r="368" spans="1:7">
      <c r="A368" s="67" t="s">
        <v>182</v>
      </c>
      <c r="B368" s="70">
        <v>45992</v>
      </c>
      <c r="C368" s="69">
        <v>14</v>
      </c>
      <c r="D368" s="69">
        <v>112</v>
      </c>
      <c r="E368" s="69">
        <v>28</v>
      </c>
      <c r="F368" s="67">
        <v>5</v>
      </c>
      <c r="G368" s="71">
        <v>38.2</v>
      </c>
    </row>
    <row r="369" spans="1:7">
      <c r="A369" s="67" t="s">
        <v>184</v>
      </c>
      <c r="B369" s="70">
        <v>45992</v>
      </c>
      <c r="C369" s="69">
        <v>121</v>
      </c>
      <c r="D369" s="69">
        <v>1842</v>
      </c>
      <c r="E369" s="69">
        <v>249</v>
      </c>
      <c r="F369" s="67">
        <v>7</v>
      </c>
      <c r="G369" s="71">
        <v>26.5</v>
      </c>
    </row>
    <row r="370" spans="1:7">
      <c r="A370" s="67" t="s">
        <v>186</v>
      </c>
      <c r="B370" s="70">
        <v>45992</v>
      </c>
      <c r="C370" s="69">
        <v>116</v>
      </c>
      <c r="D370" s="69">
        <v>1167</v>
      </c>
      <c r="E370" s="69">
        <v>197</v>
      </c>
      <c r="F370" s="67">
        <v>6</v>
      </c>
      <c r="G370" s="71">
        <v>33.2</v>
      </c>
    </row>
    <row r="371" spans="1:7">
      <c r="A371" s="67" t="s">
        <v>188</v>
      </c>
      <c r="B371" s="70">
        <v>45992</v>
      </c>
      <c r="C371" s="69">
        <v>24</v>
      </c>
      <c r="D371" s="69">
        <v>307</v>
      </c>
      <c r="E371" s="69">
        <v>12</v>
      </c>
      <c r="F371" s="67">
        <v>2</v>
      </c>
      <c r="G371" s="71">
        <v>14.2</v>
      </c>
    </row>
    <row r="372" spans="1:7">
      <c r="A372" s="67" t="s">
        <v>190</v>
      </c>
      <c r="B372" s="70">
        <v>45992</v>
      </c>
      <c r="C372" s="69">
        <v>29</v>
      </c>
      <c r="D372" s="69">
        <v>418</v>
      </c>
      <c r="E372" s="69">
        <v>68</v>
      </c>
      <c r="F372" s="67">
        <v>5</v>
      </c>
      <c r="G372" s="71">
        <v>19</v>
      </c>
    </row>
    <row r="373" spans="1:7">
      <c r="A373" s="67" t="s">
        <v>192</v>
      </c>
      <c r="B373" s="70">
        <v>45992</v>
      </c>
      <c r="C373" s="69">
        <v>126</v>
      </c>
      <c r="D373" s="69">
        <v>2208</v>
      </c>
      <c r="E373" s="69">
        <v>54</v>
      </c>
      <c r="F373" s="67">
        <v>4</v>
      </c>
      <c r="G373" s="71">
        <v>32.1</v>
      </c>
    </row>
    <row r="374" spans="1:7">
      <c r="A374" s="67" t="s">
        <v>194</v>
      </c>
      <c r="B374" s="70">
        <v>45992</v>
      </c>
      <c r="C374" s="69">
        <v>47</v>
      </c>
      <c r="D374" s="69">
        <v>242</v>
      </c>
      <c r="E374" s="69">
        <v>102</v>
      </c>
      <c r="F374" s="67">
        <v>3</v>
      </c>
      <c r="G374" s="71">
        <v>37.6</v>
      </c>
    </row>
    <row r="375" spans="1:7">
      <c r="A375" s="67" t="s">
        <v>196</v>
      </c>
      <c r="B375" s="70">
        <v>45992</v>
      </c>
      <c r="C375" s="69">
        <v>85</v>
      </c>
      <c r="D375" s="69">
        <v>1291</v>
      </c>
      <c r="E375" s="69">
        <v>121</v>
      </c>
      <c r="F375" s="67">
        <v>4</v>
      </c>
      <c r="G375" s="71">
        <v>29.4</v>
      </c>
    </row>
    <row r="376" spans="1:7">
      <c r="A376" s="67" t="s">
        <v>198</v>
      </c>
      <c r="B376" s="70">
        <v>45992</v>
      </c>
      <c r="C376" s="69">
        <v>480</v>
      </c>
      <c r="D376" s="69">
        <v>4645</v>
      </c>
      <c r="E376" s="69">
        <v>836</v>
      </c>
      <c r="F376" s="67">
        <v>8</v>
      </c>
      <c r="G376" s="71">
        <v>39.1</v>
      </c>
    </row>
    <row r="377" spans="1:7">
      <c r="A377" s="67" t="s">
        <v>200</v>
      </c>
      <c r="B377" s="70">
        <v>45992</v>
      </c>
      <c r="C377" s="69">
        <v>118</v>
      </c>
      <c r="D377" s="69">
        <v>1203</v>
      </c>
      <c r="E377" s="69">
        <v>209</v>
      </c>
      <c r="F377" s="67">
        <v>4</v>
      </c>
      <c r="G377" s="71">
        <v>19.2</v>
      </c>
    </row>
    <row r="378" spans="1:7">
      <c r="A378" s="67" t="s">
        <v>202</v>
      </c>
      <c r="B378" s="70">
        <v>45992</v>
      </c>
      <c r="C378" s="69">
        <v>139</v>
      </c>
      <c r="D378" s="69">
        <v>1966</v>
      </c>
      <c r="E378" s="69">
        <v>323</v>
      </c>
      <c r="F378" s="67">
        <v>7</v>
      </c>
      <c r="G378" s="71">
        <v>24.2</v>
      </c>
    </row>
    <row r="379" spans="1:7">
      <c r="A379" s="67" t="s">
        <v>204</v>
      </c>
      <c r="B379" s="70">
        <v>45992</v>
      </c>
      <c r="C379" s="69">
        <v>14</v>
      </c>
      <c r="D379" s="69">
        <v>176</v>
      </c>
      <c r="E379" s="69">
        <v>15</v>
      </c>
      <c r="F379" s="67">
        <v>5</v>
      </c>
      <c r="G379" s="71">
        <v>33.5</v>
      </c>
    </row>
    <row r="380" spans="1:7">
      <c r="A380" s="67" t="s">
        <v>206</v>
      </c>
      <c r="B380" s="70">
        <v>45992</v>
      </c>
      <c r="C380" s="69">
        <v>591</v>
      </c>
      <c r="D380" s="69">
        <v>6449</v>
      </c>
      <c r="E380" s="69">
        <v>703</v>
      </c>
      <c r="F380" s="67">
        <v>7</v>
      </c>
      <c r="G380" s="71">
        <v>5.2</v>
      </c>
    </row>
    <row r="381" spans="1:7">
      <c r="A381" s="67" t="s">
        <v>208</v>
      </c>
      <c r="B381" s="70">
        <v>45992</v>
      </c>
      <c r="C381" s="69">
        <v>12</v>
      </c>
      <c r="D381" s="69">
        <v>147</v>
      </c>
      <c r="E381" s="69">
        <v>17</v>
      </c>
      <c r="F381" s="67">
        <v>9</v>
      </c>
      <c r="G381" s="71">
        <v>16.9</v>
      </c>
    </row>
    <row r="382" spans="1:7">
      <c r="A382" s="67" t="s">
        <v>210</v>
      </c>
      <c r="B382" s="70">
        <v>45992</v>
      </c>
      <c r="C382" s="69">
        <v>145</v>
      </c>
      <c r="D382" s="69">
        <v>1211</v>
      </c>
      <c r="E382" s="69">
        <v>215</v>
      </c>
      <c r="F382" s="67">
        <v>5</v>
      </c>
      <c r="G382" s="71">
        <v>32.8</v>
      </c>
    </row>
    <row r="383" spans="1:7">
      <c r="A383" s="67" t="s">
        <v>212</v>
      </c>
      <c r="B383" s="70">
        <v>45992</v>
      </c>
      <c r="C383" s="69">
        <v>25</v>
      </c>
      <c r="D383" s="69">
        <v>248</v>
      </c>
      <c r="E383" s="69">
        <v>34</v>
      </c>
      <c r="F383" s="67">
        <v>8</v>
      </c>
      <c r="G383" s="71">
        <v>13.5</v>
      </c>
    </row>
    <row r="384" spans="1:7">
      <c r="A384" s="67" t="s">
        <v>214</v>
      </c>
      <c r="B384" s="70">
        <v>45992</v>
      </c>
      <c r="C384" s="69">
        <v>40</v>
      </c>
      <c r="D384" s="69">
        <v>554</v>
      </c>
      <c r="E384" s="69">
        <v>91</v>
      </c>
      <c r="F384" s="67">
        <v>7</v>
      </c>
      <c r="G384" s="71">
        <v>35.2</v>
      </c>
    </row>
    <row r="385" spans="1:7">
      <c r="A385" s="67" t="s">
        <v>216</v>
      </c>
      <c r="B385" s="70">
        <v>45992</v>
      </c>
      <c r="C385" s="69">
        <v>214</v>
      </c>
      <c r="D385" s="69">
        <v>2135</v>
      </c>
      <c r="E385" s="69">
        <v>435</v>
      </c>
      <c r="F385" s="67">
        <v>8</v>
      </c>
      <c r="G385" s="71">
        <v>12.7</v>
      </c>
    </row>
    <row r="386" spans="1:7">
      <c r="A386" s="67" t="s">
        <v>218</v>
      </c>
      <c r="B386" s="70">
        <v>45992</v>
      </c>
      <c r="C386" s="69">
        <v>12</v>
      </c>
      <c r="D386" s="69">
        <v>124</v>
      </c>
      <c r="E386" s="69">
        <v>13</v>
      </c>
      <c r="F386" s="67">
        <v>5</v>
      </c>
      <c r="G386" s="71">
        <v>23.7</v>
      </c>
    </row>
    <row r="387" spans="1:7">
      <c r="A387" s="67" t="s">
        <v>220</v>
      </c>
      <c r="B387" s="70">
        <v>45992</v>
      </c>
      <c r="C387" s="69">
        <v>60</v>
      </c>
      <c r="D387" s="69">
        <v>524</v>
      </c>
      <c r="E387" s="69">
        <v>71</v>
      </c>
      <c r="F387" s="67">
        <v>6</v>
      </c>
      <c r="G387" s="71">
        <v>31.2</v>
      </c>
    </row>
    <row r="388" spans="1:7">
      <c r="A388" s="67" t="s">
        <v>222</v>
      </c>
      <c r="B388" s="70">
        <v>45992</v>
      </c>
      <c r="C388" s="69">
        <v>27</v>
      </c>
      <c r="D388" s="69">
        <v>198</v>
      </c>
      <c r="E388" s="69">
        <v>27</v>
      </c>
      <c r="F388" s="67">
        <v>6</v>
      </c>
      <c r="G388" s="71">
        <v>12.6</v>
      </c>
    </row>
    <row r="389" spans="1:7">
      <c r="A389" s="67" t="s">
        <v>224</v>
      </c>
      <c r="B389" s="70">
        <v>45992</v>
      </c>
      <c r="C389" s="69">
        <v>8</v>
      </c>
      <c r="D389" s="69">
        <v>118</v>
      </c>
      <c r="E389" s="69">
        <v>19</v>
      </c>
      <c r="F389" s="67">
        <v>6</v>
      </c>
      <c r="G389" s="71">
        <v>11.7</v>
      </c>
    </row>
    <row r="390" spans="1:7">
      <c r="A390" s="67" t="s">
        <v>226</v>
      </c>
      <c r="B390" s="70">
        <v>45992</v>
      </c>
      <c r="C390" s="69">
        <v>11</v>
      </c>
      <c r="D390" s="69">
        <v>90</v>
      </c>
      <c r="E390" s="69">
        <v>10</v>
      </c>
      <c r="F390" s="67">
        <v>3</v>
      </c>
      <c r="G390" s="71">
        <v>13</v>
      </c>
    </row>
    <row r="391" spans="1:7">
      <c r="A391" s="67" t="s">
        <v>228</v>
      </c>
      <c r="B391" s="70">
        <v>45992</v>
      </c>
      <c r="C391" s="69">
        <v>13</v>
      </c>
      <c r="D391" s="69">
        <v>125</v>
      </c>
      <c r="E391" s="69">
        <v>26</v>
      </c>
      <c r="F391" s="67">
        <v>5</v>
      </c>
      <c r="G391" s="71">
        <v>9.199999999999999</v>
      </c>
    </row>
    <row r="392" spans="1:7">
      <c r="A392" s="67" t="s">
        <v>230</v>
      </c>
      <c r="B392" s="70">
        <v>45992</v>
      </c>
      <c r="C392" s="69">
        <v>212</v>
      </c>
      <c r="D392" s="69">
        <v>2418</v>
      </c>
      <c r="E392" s="69">
        <v>67</v>
      </c>
      <c r="F392" s="67">
        <v>9</v>
      </c>
      <c r="G392" s="71">
        <v>35</v>
      </c>
    </row>
    <row r="393" spans="1:7">
      <c r="A393" s="67" t="s">
        <v>232</v>
      </c>
      <c r="B393" s="70">
        <v>45992</v>
      </c>
      <c r="C393" s="69">
        <v>160</v>
      </c>
      <c r="D393" s="69">
        <v>1572</v>
      </c>
      <c r="E393" s="69">
        <v>159</v>
      </c>
      <c r="F393" s="67">
        <v>8</v>
      </c>
      <c r="G393" s="71">
        <v>36.4</v>
      </c>
    </row>
    <row r="394" spans="1:7">
      <c r="A394" s="67" t="s">
        <v>234</v>
      </c>
      <c r="B394" s="70">
        <v>45992</v>
      </c>
      <c r="C394" s="69">
        <v>23</v>
      </c>
      <c r="D394" s="69">
        <v>197</v>
      </c>
      <c r="E394" s="69">
        <v>16</v>
      </c>
      <c r="F394" s="67">
        <v>6</v>
      </c>
      <c r="G394" s="71">
        <v>31.7</v>
      </c>
    </row>
    <row r="395" spans="1:7">
      <c r="A395" s="67" t="s">
        <v>236</v>
      </c>
      <c r="B395" s="70">
        <v>45992</v>
      </c>
      <c r="C395" s="69">
        <v>83</v>
      </c>
      <c r="D395" s="69">
        <v>1224</v>
      </c>
      <c r="E395" s="69">
        <v>48</v>
      </c>
      <c r="F395" s="67">
        <v>3</v>
      </c>
      <c r="G395" s="71">
        <v>23.4</v>
      </c>
    </row>
    <row r="396" spans="1:7">
      <c r="A396" s="67" t="s">
        <v>238</v>
      </c>
      <c r="B396" s="70">
        <v>45992</v>
      </c>
      <c r="C396" s="69">
        <v>21</v>
      </c>
      <c r="D396" s="69">
        <v>114</v>
      </c>
      <c r="E396" s="69">
        <v>22</v>
      </c>
      <c r="F396" s="67">
        <v>9</v>
      </c>
      <c r="G396" s="71">
        <v>35.1</v>
      </c>
    </row>
    <row r="397" spans="1:7">
      <c r="A397" s="67" t="s">
        <v>240</v>
      </c>
      <c r="B397" s="70">
        <v>45992</v>
      </c>
      <c r="C397" s="69">
        <v>23</v>
      </c>
      <c r="D397" s="69">
        <v>151</v>
      </c>
      <c r="E397" s="69">
        <v>33</v>
      </c>
      <c r="F397" s="67">
        <v>6</v>
      </c>
      <c r="G397" s="71">
        <v>16</v>
      </c>
    </row>
    <row r="398" spans="1:7">
      <c r="A398" s="67" t="s">
        <v>242</v>
      </c>
      <c r="B398" s="70">
        <v>45992</v>
      </c>
      <c r="C398" s="69">
        <v>724</v>
      </c>
      <c r="D398" s="69">
        <v>7191</v>
      </c>
      <c r="E398" s="69">
        <v>378</v>
      </c>
      <c r="F398" s="67">
        <v>8</v>
      </c>
      <c r="G398" s="71">
        <v>17.7</v>
      </c>
    </row>
    <row r="399" spans="1:7">
      <c r="A399" s="67" t="s">
        <v>244</v>
      </c>
      <c r="B399" s="70">
        <v>45992</v>
      </c>
      <c r="C399" s="69">
        <v>33</v>
      </c>
      <c r="D399" s="69">
        <v>278</v>
      </c>
      <c r="E399" s="69">
        <v>29</v>
      </c>
      <c r="F399" s="67">
        <v>6</v>
      </c>
      <c r="G399" s="71">
        <v>38.5</v>
      </c>
    </row>
    <row r="400" spans="1:7">
      <c r="A400" s="67" t="s">
        <v>246</v>
      </c>
      <c r="B400" s="70">
        <v>45992</v>
      </c>
      <c r="C400" s="69">
        <v>48</v>
      </c>
      <c r="D400" s="69">
        <v>505</v>
      </c>
      <c r="E400" s="69">
        <v>59</v>
      </c>
      <c r="F400" s="67">
        <v>9</v>
      </c>
      <c r="G400" s="71">
        <v>31.3</v>
      </c>
    </row>
    <row r="401" spans="1:7">
      <c r="A401" s="67" t="s">
        <v>248</v>
      </c>
      <c r="B401" s="70">
        <v>45992</v>
      </c>
      <c r="C401" s="69">
        <v>28</v>
      </c>
      <c r="D401" s="69">
        <v>304</v>
      </c>
      <c r="E401" s="69">
        <v>44</v>
      </c>
      <c r="F401" s="67">
        <v>7</v>
      </c>
      <c r="G401" s="71">
        <v>39.3</v>
      </c>
    </row>
    <row r="402" spans="1:7">
      <c r="A402" s="67" t="s">
        <v>250</v>
      </c>
      <c r="B402" s="70">
        <v>45992</v>
      </c>
      <c r="C402" s="69">
        <v>130</v>
      </c>
      <c r="D402" s="69">
        <v>1868</v>
      </c>
      <c r="E402" s="69">
        <v>269</v>
      </c>
      <c r="F402" s="67">
        <v>4</v>
      </c>
      <c r="G402" s="71">
        <v>24.4</v>
      </c>
    </row>
    <row r="403" spans="1:7">
      <c r="A403" s="67" t="s">
        <v>252</v>
      </c>
      <c r="B403" s="70">
        <v>45992</v>
      </c>
      <c r="C403" s="69">
        <v>13</v>
      </c>
      <c r="D403" s="69">
        <v>200</v>
      </c>
      <c r="E403" s="69">
        <v>25</v>
      </c>
      <c r="F403" s="67">
        <v>6</v>
      </c>
      <c r="G403" s="71">
        <v>21.6</v>
      </c>
    </row>
    <row r="404" spans="1:7">
      <c r="A404" s="67" t="s">
        <v>254</v>
      </c>
      <c r="B404" s="70">
        <v>45992</v>
      </c>
      <c r="C404" s="69">
        <v>110</v>
      </c>
      <c r="D404" s="69">
        <v>742</v>
      </c>
      <c r="E404" s="69">
        <v>249</v>
      </c>
      <c r="F404" s="67">
        <v>6</v>
      </c>
      <c r="G404" s="71">
        <v>27.1</v>
      </c>
    </row>
    <row r="405" spans="1:7">
      <c r="A405" s="67" t="s">
        <v>256</v>
      </c>
      <c r="B405" s="70">
        <v>45992</v>
      </c>
      <c r="C405" s="69">
        <v>190</v>
      </c>
      <c r="D405" s="69">
        <v>2152</v>
      </c>
      <c r="E405" s="69">
        <v>162</v>
      </c>
      <c r="F405" s="67">
        <v>7</v>
      </c>
      <c r="G405" s="71">
        <v>35</v>
      </c>
    </row>
    <row r="406" spans="1:7">
      <c r="A406" s="67" t="s">
        <v>258</v>
      </c>
      <c r="B406" s="70">
        <v>45992</v>
      </c>
      <c r="C406" s="69">
        <v>428</v>
      </c>
      <c r="D406" s="69">
        <v>3049</v>
      </c>
      <c r="E406" s="69">
        <v>331</v>
      </c>
      <c r="F406" s="67">
        <v>5</v>
      </c>
      <c r="G406" s="71">
        <v>13.9</v>
      </c>
    </row>
    <row r="407" spans="1:7">
      <c r="A407" s="67" t="s">
        <v>260</v>
      </c>
      <c r="B407" s="70">
        <v>45992</v>
      </c>
      <c r="C407" s="69">
        <v>871</v>
      </c>
      <c r="D407" s="69">
        <v>12786</v>
      </c>
      <c r="E407" s="69">
        <v>759</v>
      </c>
      <c r="F407" s="67">
        <v>6</v>
      </c>
      <c r="G407" s="71">
        <v>17.6</v>
      </c>
    </row>
    <row r="408" spans="1:7">
      <c r="A408" s="67" t="s">
        <v>262</v>
      </c>
      <c r="B408" s="70">
        <v>45992</v>
      </c>
      <c r="C408" s="69">
        <v>51</v>
      </c>
      <c r="D408" s="69">
        <v>483</v>
      </c>
      <c r="E408" s="69">
        <v>61</v>
      </c>
      <c r="F408" s="67">
        <v>8</v>
      </c>
      <c r="G408" s="71">
        <v>17.3</v>
      </c>
    </row>
    <row r="409" spans="1:7">
      <c r="A409" s="67" t="s">
        <v>264</v>
      </c>
      <c r="B409" s="70">
        <v>45992</v>
      </c>
      <c r="C409" s="69">
        <v>741</v>
      </c>
      <c r="D409" s="69">
        <v>9262</v>
      </c>
      <c r="E409" s="69">
        <v>1282</v>
      </c>
      <c r="F409" s="67">
        <v>5</v>
      </c>
      <c r="G409" s="71">
        <v>23.8</v>
      </c>
    </row>
    <row r="410" spans="1:7">
      <c r="A410" s="67" t="s">
        <v>266</v>
      </c>
      <c r="B410" s="70">
        <v>45992</v>
      </c>
      <c r="C410" s="69">
        <v>100</v>
      </c>
      <c r="D410" s="69">
        <v>923</v>
      </c>
      <c r="E410" s="69">
        <v>142</v>
      </c>
      <c r="F410" s="67">
        <v>4</v>
      </c>
      <c r="G410" s="71">
        <v>32.1</v>
      </c>
    </row>
    <row r="411" spans="1:7">
      <c r="A411" s="67" t="s">
        <v>268</v>
      </c>
      <c r="B411" s="70">
        <v>45992</v>
      </c>
      <c r="C411" s="69">
        <v>28</v>
      </c>
      <c r="D411" s="69">
        <v>363</v>
      </c>
      <c r="E411" s="69">
        <v>37</v>
      </c>
      <c r="F411" s="67">
        <v>3</v>
      </c>
      <c r="G411" s="71">
        <v>38.5</v>
      </c>
    </row>
    <row r="412" spans="1:7">
      <c r="A412" s="67" t="s">
        <v>270</v>
      </c>
      <c r="B412" s="70">
        <v>45992</v>
      </c>
      <c r="C412" s="69">
        <v>43</v>
      </c>
      <c r="D412" s="69">
        <v>734</v>
      </c>
      <c r="E412" s="69">
        <v>53</v>
      </c>
      <c r="F412" s="67">
        <v>6</v>
      </c>
      <c r="G412" s="71">
        <v>26.4</v>
      </c>
    </row>
    <row r="413" spans="1:7">
      <c r="A413" s="67" t="s">
        <v>272</v>
      </c>
      <c r="B413" s="70">
        <v>45992</v>
      </c>
      <c r="C413" s="69">
        <v>25</v>
      </c>
      <c r="D413" s="69">
        <v>151</v>
      </c>
      <c r="E413" s="69">
        <v>26</v>
      </c>
      <c r="F413" s="67">
        <v>9</v>
      </c>
      <c r="G413" s="71">
        <v>16</v>
      </c>
    </row>
    <row r="414" spans="1:7">
      <c r="A414" s="67" t="s">
        <v>274</v>
      </c>
      <c r="B414" s="70">
        <v>45992</v>
      </c>
      <c r="C414" s="69">
        <v>393</v>
      </c>
      <c r="D414" s="69">
        <v>5058</v>
      </c>
      <c r="E414" s="69">
        <v>460</v>
      </c>
      <c r="F414" s="67">
        <v>3</v>
      </c>
      <c r="G414" s="71">
        <v>36.1</v>
      </c>
    </row>
    <row r="415" spans="1:7">
      <c r="A415" s="67" t="s">
        <v>276</v>
      </c>
      <c r="B415" s="70">
        <v>45992</v>
      </c>
      <c r="C415" s="69">
        <v>126</v>
      </c>
      <c r="D415" s="69">
        <v>1855</v>
      </c>
      <c r="E415" s="69">
        <v>182</v>
      </c>
      <c r="F415" s="67">
        <v>4</v>
      </c>
      <c r="G415" s="71">
        <v>20.8</v>
      </c>
    </row>
    <row r="416" spans="1:7">
      <c r="A416" s="67" t="s">
        <v>278</v>
      </c>
      <c r="B416" s="70">
        <v>45992</v>
      </c>
      <c r="C416" s="69">
        <v>28</v>
      </c>
      <c r="D416" s="69">
        <v>186</v>
      </c>
      <c r="E416" s="69">
        <v>23</v>
      </c>
      <c r="F416" s="67">
        <v>7</v>
      </c>
      <c r="G416" s="71">
        <v>13.8</v>
      </c>
    </row>
    <row r="417" spans="1:7">
      <c r="A417" s="67" t="s">
        <v>280</v>
      </c>
      <c r="B417" s="70">
        <v>45992</v>
      </c>
      <c r="C417" s="69">
        <v>15</v>
      </c>
      <c r="D417" s="69">
        <v>116</v>
      </c>
      <c r="E417" s="69">
        <v>18</v>
      </c>
      <c r="F417" s="67">
        <v>5</v>
      </c>
      <c r="G417" s="71">
        <v>8.300000000000001</v>
      </c>
    </row>
    <row r="418" spans="1:7">
      <c r="A418" s="67" t="s">
        <v>282</v>
      </c>
      <c r="B418" s="70">
        <v>45992</v>
      </c>
      <c r="C418" s="69">
        <v>40</v>
      </c>
      <c r="D418" s="69">
        <v>228</v>
      </c>
      <c r="E418" s="69">
        <v>80</v>
      </c>
      <c r="F418" s="67">
        <v>8</v>
      </c>
      <c r="G418" s="71">
        <v>23.3</v>
      </c>
    </row>
    <row r="419" spans="1:7">
      <c r="A419" s="67" t="s">
        <v>284</v>
      </c>
      <c r="B419" s="70">
        <v>45992</v>
      </c>
      <c r="C419" s="69">
        <v>154</v>
      </c>
      <c r="D419" s="69">
        <v>2007</v>
      </c>
      <c r="E419" s="69">
        <v>75</v>
      </c>
      <c r="F419" s="67">
        <v>6</v>
      </c>
      <c r="G419" s="71">
        <v>37.6</v>
      </c>
    </row>
    <row r="420" spans="1:7">
      <c r="A420" s="67" t="s">
        <v>286</v>
      </c>
      <c r="B420" s="70">
        <v>45992</v>
      </c>
      <c r="C420" s="69">
        <v>16</v>
      </c>
      <c r="D420" s="69">
        <v>233</v>
      </c>
      <c r="E420" s="69">
        <v>20</v>
      </c>
      <c r="F420" s="67">
        <v>7</v>
      </c>
      <c r="G420" s="71">
        <v>9.4</v>
      </c>
    </row>
    <row r="421" spans="1:7">
      <c r="A421" s="67" t="s">
        <v>288</v>
      </c>
      <c r="B421" s="70">
        <v>45992</v>
      </c>
      <c r="C421" s="69">
        <v>204</v>
      </c>
      <c r="D421" s="69">
        <v>1113</v>
      </c>
      <c r="E421" s="69">
        <v>221</v>
      </c>
      <c r="F421" s="67">
        <v>6</v>
      </c>
      <c r="G421" s="71">
        <v>37</v>
      </c>
    </row>
    <row r="422" spans="1:7">
      <c r="A422" s="67" t="s">
        <v>290</v>
      </c>
      <c r="B422" s="70">
        <v>45992</v>
      </c>
      <c r="C422" s="69">
        <v>236</v>
      </c>
      <c r="D422" s="69">
        <v>3852</v>
      </c>
      <c r="E422" s="69">
        <v>556</v>
      </c>
      <c r="F422" s="67">
        <v>7</v>
      </c>
      <c r="G422" s="71">
        <v>24.2</v>
      </c>
    </row>
    <row r="423" spans="1:7">
      <c r="A423" s="67" t="s">
        <v>292</v>
      </c>
      <c r="B423" s="70">
        <v>45992</v>
      </c>
      <c r="C423" s="69">
        <v>98</v>
      </c>
      <c r="D423" s="69">
        <v>1177</v>
      </c>
      <c r="E423" s="69">
        <v>157</v>
      </c>
      <c r="F423" s="67">
        <v>4</v>
      </c>
      <c r="G423" s="71">
        <v>21</v>
      </c>
    </row>
    <row r="424" spans="1:7">
      <c r="A424" s="67" t="s">
        <v>294</v>
      </c>
      <c r="B424" s="70">
        <v>45992</v>
      </c>
      <c r="C424" s="69">
        <v>32</v>
      </c>
      <c r="D424" s="69">
        <v>341</v>
      </c>
      <c r="E424" s="69">
        <v>55</v>
      </c>
      <c r="F424" s="67">
        <v>4</v>
      </c>
      <c r="G424" s="71">
        <v>23.7</v>
      </c>
    </row>
    <row r="425" spans="1:7">
      <c r="A425" s="67" t="s">
        <v>296</v>
      </c>
      <c r="B425" s="70">
        <v>45992</v>
      </c>
      <c r="C425" s="69">
        <v>280</v>
      </c>
      <c r="D425" s="69">
        <v>2227</v>
      </c>
      <c r="E425" s="69">
        <v>139</v>
      </c>
      <c r="F425" s="67">
        <v>6</v>
      </c>
      <c r="G425" s="71">
        <v>15.8</v>
      </c>
    </row>
    <row r="426" spans="1:7">
      <c r="A426" s="67" t="s">
        <v>298</v>
      </c>
      <c r="B426" s="70">
        <v>45992</v>
      </c>
      <c r="C426" s="69">
        <v>195</v>
      </c>
      <c r="D426" s="69">
        <v>1002</v>
      </c>
      <c r="E426" s="69">
        <v>283</v>
      </c>
      <c r="F426" s="67">
        <v>7</v>
      </c>
      <c r="G426" s="71">
        <v>31.5</v>
      </c>
    </row>
    <row r="427" spans="1:7">
      <c r="A427" s="67" t="s">
        <v>300</v>
      </c>
      <c r="B427" s="70">
        <v>45992</v>
      </c>
      <c r="C427" s="69">
        <v>90</v>
      </c>
      <c r="D427" s="69">
        <v>1076</v>
      </c>
      <c r="E427" s="69">
        <v>163</v>
      </c>
      <c r="F427" s="67">
        <v>4</v>
      </c>
      <c r="G427" s="71">
        <v>22.2</v>
      </c>
    </row>
    <row r="428" spans="1:7">
      <c r="A428" s="67" t="s">
        <v>302</v>
      </c>
      <c r="B428" s="70">
        <v>45992</v>
      </c>
      <c r="C428" s="69">
        <v>22</v>
      </c>
      <c r="D428" s="69">
        <v>329</v>
      </c>
      <c r="E428" s="69">
        <v>45</v>
      </c>
      <c r="F428" s="67">
        <v>6</v>
      </c>
      <c r="G428" s="71">
        <v>25.9</v>
      </c>
    </row>
    <row r="429" spans="1:7">
      <c r="A429" s="67" t="s">
        <v>304</v>
      </c>
      <c r="B429" s="70">
        <v>45992</v>
      </c>
      <c r="C429" s="69">
        <v>30</v>
      </c>
      <c r="D429" s="69">
        <v>224</v>
      </c>
      <c r="E429" s="69">
        <v>67</v>
      </c>
      <c r="F429" s="67">
        <v>2</v>
      </c>
      <c r="G429" s="71">
        <v>20.3</v>
      </c>
    </row>
    <row r="430" spans="1:7">
      <c r="A430" s="67" t="s">
        <v>306</v>
      </c>
      <c r="B430" s="70">
        <v>45992</v>
      </c>
      <c r="C430" s="69">
        <v>78</v>
      </c>
      <c r="D430" s="69">
        <v>1045</v>
      </c>
      <c r="E430" s="69">
        <v>166</v>
      </c>
      <c r="F430" s="67">
        <v>7</v>
      </c>
      <c r="G430" s="71">
        <v>12.7</v>
      </c>
    </row>
    <row r="431" spans="1:7">
      <c r="A431" s="67" t="s">
        <v>308</v>
      </c>
      <c r="B431" s="70">
        <v>45992</v>
      </c>
      <c r="C431" s="69">
        <v>157</v>
      </c>
      <c r="D431" s="69">
        <v>1839</v>
      </c>
      <c r="E431" s="69">
        <v>323</v>
      </c>
      <c r="F431" s="67">
        <v>5</v>
      </c>
      <c r="G431" s="71">
        <v>26.5</v>
      </c>
    </row>
    <row r="432" spans="1:7">
      <c r="A432" s="67" t="s">
        <v>310</v>
      </c>
      <c r="B432" s="70">
        <v>45992</v>
      </c>
      <c r="C432" s="69">
        <v>162</v>
      </c>
      <c r="D432" s="69">
        <v>2176</v>
      </c>
      <c r="E432" s="69">
        <v>238</v>
      </c>
      <c r="F432" s="67">
        <v>6</v>
      </c>
      <c r="G432" s="71">
        <v>14.4</v>
      </c>
    </row>
    <row r="433" spans="1:7">
      <c r="A433" s="67" t="s">
        <v>312</v>
      </c>
      <c r="B433" s="70">
        <v>45992</v>
      </c>
      <c r="C433" s="69">
        <v>145</v>
      </c>
      <c r="D433" s="69">
        <v>983</v>
      </c>
      <c r="E433" s="69">
        <v>79</v>
      </c>
      <c r="F433" s="67">
        <v>7</v>
      </c>
      <c r="G433" s="71">
        <v>20.9</v>
      </c>
    </row>
    <row r="434" spans="1:7">
      <c r="A434" s="67" t="s">
        <v>314</v>
      </c>
      <c r="B434" s="70">
        <v>45992</v>
      </c>
      <c r="C434" s="69">
        <v>11</v>
      </c>
      <c r="D434" s="69">
        <v>125</v>
      </c>
      <c r="E434" s="69">
        <v>11</v>
      </c>
      <c r="F434" s="67">
        <v>5</v>
      </c>
      <c r="G434" s="71">
        <v>10.3</v>
      </c>
    </row>
    <row r="435" spans="1:7">
      <c r="A435" s="67" t="s">
        <v>316</v>
      </c>
      <c r="B435" s="70">
        <v>45992</v>
      </c>
      <c r="C435" s="69">
        <v>22</v>
      </c>
      <c r="D435" s="69">
        <v>388</v>
      </c>
      <c r="E435" s="69">
        <v>20</v>
      </c>
      <c r="F435" s="67">
        <v>4</v>
      </c>
      <c r="G435" s="71">
        <v>9.4</v>
      </c>
    </row>
    <row r="436" spans="1:7">
      <c r="A436" s="67" t="s">
        <v>318</v>
      </c>
      <c r="B436" s="70">
        <v>45992</v>
      </c>
      <c r="C436" s="69">
        <v>151</v>
      </c>
      <c r="D436" s="69">
        <v>932</v>
      </c>
      <c r="E436" s="69">
        <v>50</v>
      </c>
      <c r="F436" s="67">
        <v>6</v>
      </c>
      <c r="G436" s="71">
        <v>12.6</v>
      </c>
    </row>
    <row r="437" spans="1:7">
      <c r="A437" s="67" t="s">
        <v>320</v>
      </c>
      <c r="B437" s="70">
        <v>45992</v>
      </c>
      <c r="C437" s="69">
        <v>115</v>
      </c>
      <c r="D437" s="69">
        <v>1320</v>
      </c>
      <c r="E437" s="69">
        <v>128</v>
      </c>
      <c r="F437" s="67">
        <v>4</v>
      </c>
      <c r="G437" s="71">
        <v>29.4</v>
      </c>
    </row>
    <row r="438" spans="1:7">
      <c r="A438" s="67" t="s">
        <v>322</v>
      </c>
      <c r="B438" s="70">
        <v>45992</v>
      </c>
      <c r="C438" s="69">
        <v>47</v>
      </c>
      <c r="D438" s="69">
        <v>694</v>
      </c>
      <c r="E438" s="69">
        <v>29</v>
      </c>
      <c r="F438" s="67">
        <v>5</v>
      </c>
      <c r="G438" s="71">
        <v>14.3</v>
      </c>
    </row>
    <row r="439" spans="1:7">
      <c r="A439" s="67" t="s">
        <v>324</v>
      </c>
      <c r="B439" s="70">
        <v>45992</v>
      </c>
      <c r="C439" s="69">
        <v>728</v>
      </c>
      <c r="D439" s="69">
        <v>5359</v>
      </c>
      <c r="E439" s="69">
        <v>1653</v>
      </c>
      <c r="F439" s="67">
        <v>7</v>
      </c>
      <c r="G439" s="71">
        <v>13.8</v>
      </c>
    </row>
    <row r="440" spans="1:7">
      <c r="A440" s="67" t="s">
        <v>326</v>
      </c>
      <c r="B440" s="70">
        <v>45992</v>
      </c>
      <c r="C440" s="69">
        <v>30</v>
      </c>
      <c r="D440" s="69">
        <v>530</v>
      </c>
      <c r="E440" s="69">
        <v>56</v>
      </c>
      <c r="F440" s="67">
        <v>7</v>
      </c>
      <c r="G440" s="71">
        <v>18.5</v>
      </c>
    </row>
    <row r="441" spans="1:7">
      <c r="A441" s="67" t="s">
        <v>328</v>
      </c>
      <c r="B441" s="70">
        <v>45992</v>
      </c>
      <c r="C441" s="69">
        <v>136</v>
      </c>
      <c r="D441" s="69">
        <v>2438</v>
      </c>
      <c r="E441" s="69">
        <v>100</v>
      </c>
      <c r="F441" s="67">
        <v>6</v>
      </c>
      <c r="G441" s="71">
        <v>30.7</v>
      </c>
    </row>
    <row r="442" spans="1:7">
      <c r="A442" s="67" t="s">
        <v>330</v>
      </c>
      <c r="B442" s="70">
        <v>45992</v>
      </c>
      <c r="C442" s="69">
        <v>44</v>
      </c>
      <c r="D442" s="69">
        <v>339</v>
      </c>
      <c r="E442" s="69">
        <v>51</v>
      </c>
      <c r="F442" s="67">
        <v>9</v>
      </c>
      <c r="G442" s="71">
        <v>38.6</v>
      </c>
    </row>
    <row r="443" spans="1:7">
      <c r="A443" s="67" t="s">
        <v>332</v>
      </c>
      <c r="B443" s="70">
        <v>45992</v>
      </c>
      <c r="C443" s="69">
        <v>38</v>
      </c>
      <c r="D443" s="69">
        <v>550</v>
      </c>
      <c r="E443" s="69">
        <v>74</v>
      </c>
      <c r="F443" s="67">
        <v>8</v>
      </c>
      <c r="G443" s="71">
        <v>24.2</v>
      </c>
    </row>
    <row r="444" spans="1:7">
      <c r="A444" s="67" t="s">
        <v>334</v>
      </c>
      <c r="B444" s="70">
        <v>45992</v>
      </c>
      <c r="C444" s="69">
        <v>395</v>
      </c>
      <c r="D444" s="69">
        <v>3509</v>
      </c>
      <c r="E444" s="69">
        <v>432</v>
      </c>
      <c r="F444" s="67">
        <v>5</v>
      </c>
      <c r="G444" s="71">
        <v>6.8</v>
      </c>
    </row>
    <row r="445" spans="1:7">
      <c r="A445" s="67" t="s">
        <v>336</v>
      </c>
      <c r="B445" s="70">
        <v>45992</v>
      </c>
      <c r="C445" s="69">
        <v>702</v>
      </c>
      <c r="D445" s="69">
        <v>5663</v>
      </c>
      <c r="E445" s="69">
        <v>881</v>
      </c>
      <c r="F445" s="67">
        <v>4</v>
      </c>
      <c r="G445" s="71">
        <v>5.5</v>
      </c>
    </row>
    <row r="446" spans="1:7">
      <c r="A446" s="67" t="s">
        <v>338</v>
      </c>
      <c r="B446" s="70">
        <v>45992</v>
      </c>
      <c r="C446" s="69">
        <v>24</v>
      </c>
      <c r="D446" s="69">
        <v>243</v>
      </c>
      <c r="E446" s="69">
        <v>20</v>
      </c>
      <c r="F446" s="67">
        <v>4</v>
      </c>
      <c r="G446" s="71">
        <v>38.9</v>
      </c>
    </row>
    <row r="447" spans="1:7">
      <c r="A447" s="67" t="s">
        <v>340</v>
      </c>
      <c r="B447" s="70">
        <v>45992</v>
      </c>
      <c r="C447" s="69">
        <v>76</v>
      </c>
      <c r="D447" s="69">
        <v>1060</v>
      </c>
      <c r="E447" s="69">
        <v>49</v>
      </c>
      <c r="F447" s="67">
        <v>7</v>
      </c>
      <c r="G447" s="71">
        <v>32</v>
      </c>
    </row>
    <row r="448" spans="1:7">
      <c r="A448" s="67" t="s">
        <v>342</v>
      </c>
      <c r="B448" s="70">
        <v>45992</v>
      </c>
      <c r="C448" s="69">
        <v>10</v>
      </c>
      <c r="D448" s="69">
        <v>139</v>
      </c>
      <c r="E448" s="69">
        <v>10</v>
      </c>
      <c r="F448" s="67">
        <v>8</v>
      </c>
      <c r="G448" s="71">
        <v>38.9</v>
      </c>
    </row>
    <row r="449" spans="1:7">
      <c r="A449" s="67" t="s">
        <v>344</v>
      </c>
      <c r="B449" s="70">
        <v>45992</v>
      </c>
      <c r="C449" s="69">
        <v>12</v>
      </c>
      <c r="D449" s="69">
        <v>115</v>
      </c>
      <c r="E449" s="69">
        <v>8</v>
      </c>
      <c r="F449" s="67">
        <v>5</v>
      </c>
      <c r="G449" s="71">
        <v>23.8</v>
      </c>
    </row>
    <row r="450" spans="1:7">
      <c r="A450" s="67" t="s">
        <v>346</v>
      </c>
      <c r="B450" s="70">
        <v>45992</v>
      </c>
      <c r="C450" s="69">
        <v>298</v>
      </c>
      <c r="D450" s="69">
        <v>2717</v>
      </c>
      <c r="E450" s="69">
        <v>455</v>
      </c>
      <c r="F450" s="67">
        <v>4</v>
      </c>
      <c r="G450" s="71">
        <v>27.6</v>
      </c>
    </row>
    <row r="451" spans="1:7">
      <c r="A451" s="67" t="s">
        <v>14</v>
      </c>
      <c r="B451" s="70">
        <v>46023</v>
      </c>
      <c r="C451" s="69">
        <v>128</v>
      </c>
      <c r="D451" s="69">
        <v>1860</v>
      </c>
      <c r="E451" s="69">
        <v>44</v>
      </c>
      <c r="F451" s="67">
        <v>4</v>
      </c>
      <c r="G451" s="71">
        <v>18.2</v>
      </c>
    </row>
    <row r="452" spans="1:7">
      <c r="A452" s="67" t="s">
        <v>23</v>
      </c>
      <c r="B452" s="70">
        <v>46023</v>
      </c>
      <c r="C452" s="69">
        <v>53</v>
      </c>
      <c r="D452" s="69">
        <v>292</v>
      </c>
      <c r="E452" s="69">
        <v>98</v>
      </c>
      <c r="F452" s="67">
        <v>6</v>
      </c>
      <c r="G452" s="71">
        <v>24.6</v>
      </c>
    </row>
    <row r="453" spans="1:7">
      <c r="A453" s="67" t="s">
        <v>30</v>
      </c>
      <c r="B453" s="70">
        <v>46023</v>
      </c>
      <c r="C453" s="69">
        <v>191</v>
      </c>
      <c r="D453" s="69">
        <v>2362</v>
      </c>
      <c r="E453" s="69">
        <v>286</v>
      </c>
      <c r="F453" s="67">
        <v>7</v>
      </c>
      <c r="G453" s="71">
        <v>16.3</v>
      </c>
    </row>
    <row r="454" spans="1:7">
      <c r="A454" s="67" t="s">
        <v>35</v>
      </c>
      <c r="B454" s="70">
        <v>46023</v>
      </c>
      <c r="C454" s="69">
        <v>21</v>
      </c>
      <c r="D454" s="69">
        <v>268</v>
      </c>
      <c r="E454" s="69">
        <v>46</v>
      </c>
      <c r="F454" s="67">
        <v>5</v>
      </c>
      <c r="G454" s="71">
        <v>10.6</v>
      </c>
    </row>
    <row r="455" spans="1:7">
      <c r="A455" s="67" t="s">
        <v>41</v>
      </c>
      <c r="B455" s="70">
        <v>46023</v>
      </c>
      <c r="C455" s="69">
        <v>72</v>
      </c>
      <c r="D455" s="69">
        <v>1127</v>
      </c>
      <c r="E455" s="69">
        <v>107</v>
      </c>
      <c r="F455" s="67">
        <v>5</v>
      </c>
      <c r="G455" s="71">
        <v>20.9</v>
      </c>
    </row>
    <row r="456" spans="1:7">
      <c r="A456" s="67" t="s">
        <v>44</v>
      </c>
      <c r="B456" s="70">
        <v>46023</v>
      </c>
      <c r="C456" s="69">
        <v>66</v>
      </c>
      <c r="D456" s="69">
        <v>959</v>
      </c>
      <c r="E456" s="69">
        <v>148</v>
      </c>
      <c r="F456" s="67">
        <v>5</v>
      </c>
      <c r="G456" s="71">
        <v>26.7</v>
      </c>
    </row>
    <row r="457" spans="1:7">
      <c r="A457" s="67" t="s">
        <v>47</v>
      </c>
      <c r="B457" s="70">
        <v>46023</v>
      </c>
      <c r="C457" s="69">
        <v>20</v>
      </c>
      <c r="D457" s="69">
        <v>183</v>
      </c>
      <c r="E457" s="69">
        <v>9</v>
      </c>
      <c r="F457" s="67">
        <v>5</v>
      </c>
      <c r="G457" s="71">
        <v>38.9</v>
      </c>
    </row>
    <row r="458" spans="1:7">
      <c r="A458" s="67" t="s">
        <v>51</v>
      </c>
      <c r="B458" s="70">
        <v>46023</v>
      </c>
      <c r="C458" s="69">
        <v>961</v>
      </c>
      <c r="D458" s="69">
        <v>13341</v>
      </c>
      <c r="E458" s="69">
        <v>1907</v>
      </c>
      <c r="F458" s="67">
        <v>7</v>
      </c>
      <c r="G458" s="71">
        <v>10.4</v>
      </c>
    </row>
    <row r="459" spans="1:7">
      <c r="A459" s="67" t="s">
        <v>54</v>
      </c>
      <c r="B459" s="70">
        <v>46023</v>
      </c>
      <c r="C459" s="69">
        <v>6</v>
      </c>
      <c r="D459" s="69">
        <v>55</v>
      </c>
      <c r="E459" s="69">
        <v>3</v>
      </c>
      <c r="F459" s="67">
        <v>5</v>
      </c>
      <c r="G459" s="71">
        <v>28.1</v>
      </c>
    </row>
    <row r="460" spans="1:7">
      <c r="A460" s="67" t="s">
        <v>57</v>
      </c>
      <c r="B460" s="70">
        <v>46023</v>
      </c>
      <c r="C460" s="69">
        <v>878</v>
      </c>
      <c r="D460" s="69">
        <v>6429</v>
      </c>
      <c r="E460" s="69">
        <v>324</v>
      </c>
      <c r="F460" s="67">
        <v>8</v>
      </c>
      <c r="G460" s="71">
        <v>8.699999999999999</v>
      </c>
    </row>
    <row r="461" spans="1:7">
      <c r="A461" s="67" t="s">
        <v>59</v>
      </c>
      <c r="B461" s="70">
        <v>46023</v>
      </c>
      <c r="C461" s="69">
        <v>100</v>
      </c>
      <c r="D461" s="69">
        <v>1334</v>
      </c>
      <c r="E461" s="69">
        <v>115</v>
      </c>
      <c r="F461" s="67">
        <v>5</v>
      </c>
      <c r="G461" s="71">
        <v>22.1</v>
      </c>
    </row>
    <row r="462" spans="1:7">
      <c r="A462" s="67" t="s">
        <v>63</v>
      </c>
      <c r="B462" s="70">
        <v>46023</v>
      </c>
      <c r="C462" s="69">
        <v>20</v>
      </c>
      <c r="D462" s="69">
        <v>113</v>
      </c>
      <c r="E462" s="69">
        <v>16</v>
      </c>
      <c r="F462" s="67">
        <v>4</v>
      </c>
      <c r="G462" s="71">
        <v>30.1</v>
      </c>
    </row>
    <row r="463" spans="1:7">
      <c r="A463" s="67" t="s">
        <v>66</v>
      </c>
      <c r="B463" s="70">
        <v>46023</v>
      </c>
      <c r="C463" s="69">
        <v>18</v>
      </c>
      <c r="D463" s="69">
        <v>243</v>
      </c>
      <c r="E463" s="69">
        <v>42</v>
      </c>
      <c r="F463" s="67">
        <v>6</v>
      </c>
      <c r="G463" s="71">
        <v>34.1</v>
      </c>
    </row>
    <row r="464" spans="1:7">
      <c r="A464" s="67" t="s">
        <v>69</v>
      </c>
      <c r="B464" s="70">
        <v>46023</v>
      </c>
      <c r="C464" s="69">
        <v>9</v>
      </c>
      <c r="D464" s="69">
        <v>87</v>
      </c>
      <c r="E464" s="69">
        <v>17</v>
      </c>
      <c r="F464" s="67">
        <v>6</v>
      </c>
      <c r="G464" s="71">
        <v>36.2</v>
      </c>
    </row>
    <row r="465" spans="1:7">
      <c r="A465" s="67" t="s">
        <v>71</v>
      </c>
      <c r="B465" s="70">
        <v>46023</v>
      </c>
      <c r="C465" s="69">
        <v>63</v>
      </c>
      <c r="D465" s="69">
        <v>363</v>
      </c>
      <c r="E465" s="69">
        <v>104</v>
      </c>
      <c r="F465" s="67">
        <v>6</v>
      </c>
      <c r="G465" s="71">
        <v>23.5</v>
      </c>
    </row>
    <row r="466" spans="1:7">
      <c r="A466" s="67" t="s">
        <v>75</v>
      </c>
      <c r="B466" s="70">
        <v>46023</v>
      </c>
      <c r="C466" s="69">
        <v>258</v>
      </c>
      <c r="D466" s="69">
        <v>1551</v>
      </c>
      <c r="E466" s="69">
        <v>200</v>
      </c>
      <c r="F466" s="67">
        <v>7</v>
      </c>
      <c r="G466" s="71">
        <v>23.2</v>
      </c>
    </row>
    <row r="467" spans="1:7">
      <c r="A467" s="67" t="s">
        <v>78</v>
      </c>
      <c r="B467" s="70">
        <v>46023</v>
      </c>
      <c r="C467" s="69">
        <v>721</v>
      </c>
      <c r="D467" s="69">
        <v>7217</v>
      </c>
      <c r="E467" s="69">
        <v>523</v>
      </c>
      <c r="F467" s="67">
        <v>6</v>
      </c>
      <c r="G467" s="71">
        <v>28</v>
      </c>
    </row>
    <row r="468" spans="1:7">
      <c r="A468" s="67" t="s">
        <v>81</v>
      </c>
      <c r="B468" s="70">
        <v>46023</v>
      </c>
      <c r="C468" s="69">
        <v>7</v>
      </c>
      <c r="D468" s="69">
        <v>86</v>
      </c>
      <c r="E468" s="69">
        <v>11</v>
      </c>
      <c r="F468" s="67">
        <v>6</v>
      </c>
      <c r="G468" s="71">
        <v>31.1</v>
      </c>
    </row>
    <row r="469" spans="1:7">
      <c r="A469" s="67" t="s">
        <v>83</v>
      </c>
      <c r="B469" s="70">
        <v>46023</v>
      </c>
      <c r="C469" s="69">
        <v>10</v>
      </c>
      <c r="D469" s="69">
        <v>138</v>
      </c>
      <c r="E469" s="69">
        <v>18</v>
      </c>
      <c r="F469" s="67">
        <v>5</v>
      </c>
      <c r="G469" s="71">
        <v>19.9</v>
      </c>
    </row>
    <row r="470" spans="1:7">
      <c r="A470" s="67" t="s">
        <v>85</v>
      </c>
      <c r="B470" s="70">
        <v>46023</v>
      </c>
      <c r="C470" s="69">
        <v>200</v>
      </c>
      <c r="D470" s="69">
        <v>2430</v>
      </c>
      <c r="E470" s="69">
        <v>282</v>
      </c>
      <c r="F470" s="67">
        <v>10</v>
      </c>
      <c r="G470" s="71">
        <v>28</v>
      </c>
    </row>
    <row r="471" spans="1:7">
      <c r="A471" s="67" t="s">
        <v>87</v>
      </c>
      <c r="B471" s="70">
        <v>46023</v>
      </c>
      <c r="C471" s="69">
        <v>11</v>
      </c>
      <c r="D471" s="69">
        <v>188</v>
      </c>
      <c r="E471" s="69">
        <v>25</v>
      </c>
      <c r="F471" s="67">
        <v>5</v>
      </c>
      <c r="G471" s="71">
        <v>24.3</v>
      </c>
    </row>
    <row r="472" spans="1:7">
      <c r="A472" s="67" t="s">
        <v>90</v>
      </c>
      <c r="B472" s="70">
        <v>46023</v>
      </c>
      <c r="C472" s="69">
        <v>67</v>
      </c>
      <c r="D472" s="69">
        <v>694</v>
      </c>
      <c r="E472" s="69">
        <v>113</v>
      </c>
      <c r="F472" s="67">
        <v>5</v>
      </c>
      <c r="G472" s="71">
        <v>33.9</v>
      </c>
    </row>
    <row r="473" spans="1:7">
      <c r="A473" s="67" t="s">
        <v>92</v>
      </c>
      <c r="B473" s="70">
        <v>46023</v>
      </c>
      <c r="C473" s="69">
        <v>6</v>
      </c>
      <c r="D473" s="69">
        <v>73</v>
      </c>
      <c r="E473" s="69">
        <v>7</v>
      </c>
      <c r="F473" s="67">
        <v>4</v>
      </c>
      <c r="G473" s="71">
        <v>24.3</v>
      </c>
    </row>
    <row r="474" spans="1:7">
      <c r="A474" s="67" t="s">
        <v>94</v>
      </c>
      <c r="B474" s="70">
        <v>46023</v>
      </c>
      <c r="C474" s="69">
        <v>36</v>
      </c>
      <c r="D474" s="69">
        <v>392</v>
      </c>
      <c r="E474" s="69">
        <v>87</v>
      </c>
      <c r="F474" s="67">
        <v>6</v>
      </c>
      <c r="G474" s="71">
        <v>5</v>
      </c>
    </row>
    <row r="475" spans="1:7">
      <c r="A475" s="67" t="s">
        <v>96</v>
      </c>
      <c r="B475" s="70">
        <v>46023</v>
      </c>
      <c r="C475" s="69">
        <v>722</v>
      </c>
      <c r="D475" s="69">
        <v>3763</v>
      </c>
      <c r="E475" s="69">
        <v>431</v>
      </c>
      <c r="F475" s="67">
        <v>5</v>
      </c>
      <c r="G475" s="71">
        <v>36.2</v>
      </c>
    </row>
    <row r="476" spans="1:7">
      <c r="A476" s="67" t="s">
        <v>98</v>
      </c>
      <c r="B476" s="70">
        <v>46023</v>
      </c>
      <c r="C476" s="69">
        <v>1179</v>
      </c>
      <c r="D476" s="69">
        <v>9188</v>
      </c>
      <c r="E476" s="69">
        <v>1170</v>
      </c>
      <c r="F476" s="67">
        <v>8</v>
      </c>
      <c r="G476" s="71">
        <v>32</v>
      </c>
    </row>
    <row r="477" spans="1:7">
      <c r="A477" s="67" t="s">
        <v>100</v>
      </c>
      <c r="B477" s="70">
        <v>46023</v>
      </c>
      <c r="C477" s="69">
        <v>1051</v>
      </c>
      <c r="D477" s="69">
        <v>17813</v>
      </c>
      <c r="E477" s="69">
        <v>1497</v>
      </c>
      <c r="F477" s="67">
        <v>6</v>
      </c>
      <c r="G477" s="71">
        <v>25</v>
      </c>
    </row>
    <row r="478" spans="1:7">
      <c r="A478" s="67" t="s">
        <v>104</v>
      </c>
      <c r="B478" s="70">
        <v>46023</v>
      </c>
      <c r="C478" s="69">
        <v>18</v>
      </c>
      <c r="D478" s="69">
        <v>198</v>
      </c>
      <c r="E478" s="69">
        <v>12</v>
      </c>
      <c r="F478" s="67">
        <v>4</v>
      </c>
      <c r="G478" s="71">
        <v>14.3</v>
      </c>
    </row>
    <row r="479" spans="1:7">
      <c r="A479" s="67" t="s">
        <v>106</v>
      </c>
      <c r="B479" s="70">
        <v>46023</v>
      </c>
      <c r="C479" s="69">
        <v>186</v>
      </c>
      <c r="D479" s="69">
        <v>1550</v>
      </c>
      <c r="E479" s="69">
        <v>179</v>
      </c>
      <c r="F479" s="67">
        <v>6</v>
      </c>
      <c r="G479" s="71">
        <v>25</v>
      </c>
    </row>
    <row r="480" spans="1:7">
      <c r="A480" s="67" t="s">
        <v>108</v>
      </c>
      <c r="B480" s="70">
        <v>46023</v>
      </c>
      <c r="C480" s="69">
        <v>24</v>
      </c>
      <c r="D480" s="69">
        <v>144</v>
      </c>
      <c r="E480" s="69">
        <v>24</v>
      </c>
      <c r="F480" s="67">
        <v>5</v>
      </c>
      <c r="G480" s="71">
        <v>21.9</v>
      </c>
    </row>
    <row r="481" spans="1:7">
      <c r="A481" s="67" t="s">
        <v>110</v>
      </c>
      <c r="B481" s="70">
        <v>46023</v>
      </c>
      <c r="C481" s="69">
        <v>128</v>
      </c>
      <c r="D481" s="69">
        <v>1810</v>
      </c>
      <c r="E481" s="69">
        <v>269</v>
      </c>
      <c r="F481" s="67">
        <v>4</v>
      </c>
      <c r="G481" s="71">
        <v>8.300000000000001</v>
      </c>
    </row>
    <row r="482" spans="1:7">
      <c r="A482" s="67" t="s">
        <v>112</v>
      </c>
      <c r="B482" s="70">
        <v>46023</v>
      </c>
      <c r="C482" s="69">
        <v>6</v>
      </c>
      <c r="D482" s="69">
        <v>93</v>
      </c>
      <c r="E482" s="69">
        <v>7</v>
      </c>
      <c r="F482" s="67">
        <v>3</v>
      </c>
      <c r="G482" s="71">
        <v>32.3</v>
      </c>
    </row>
    <row r="483" spans="1:7">
      <c r="A483" s="67" t="s">
        <v>114</v>
      </c>
      <c r="B483" s="70">
        <v>46023</v>
      </c>
      <c r="C483" s="69">
        <v>148</v>
      </c>
      <c r="D483" s="69">
        <v>2433</v>
      </c>
      <c r="E483" s="69">
        <v>186</v>
      </c>
      <c r="F483" s="67">
        <v>8</v>
      </c>
      <c r="G483" s="71">
        <v>37.6</v>
      </c>
    </row>
    <row r="484" spans="1:7">
      <c r="A484" s="67" t="s">
        <v>116</v>
      </c>
      <c r="B484" s="70">
        <v>46023</v>
      </c>
      <c r="C484" s="69">
        <v>15</v>
      </c>
      <c r="D484" s="69">
        <v>221</v>
      </c>
      <c r="E484" s="69">
        <v>33</v>
      </c>
      <c r="F484" s="67">
        <v>6</v>
      </c>
      <c r="G484" s="71">
        <v>37.5</v>
      </c>
    </row>
    <row r="485" spans="1:7">
      <c r="A485" s="67" t="s">
        <v>118</v>
      </c>
      <c r="B485" s="70">
        <v>46023</v>
      </c>
      <c r="C485" s="69">
        <v>42</v>
      </c>
      <c r="D485" s="69">
        <v>240</v>
      </c>
      <c r="E485" s="69">
        <v>61</v>
      </c>
      <c r="F485" s="67">
        <v>8</v>
      </c>
      <c r="G485" s="71">
        <v>16.2</v>
      </c>
    </row>
    <row r="486" spans="1:7">
      <c r="A486" s="67" t="s">
        <v>120</v>
      </c>
      <c r="B486" s="70">
        <v>46023</v>
      </c>
      <c r="C486" s="69">
        <v>44</v>
      </c>
      <c r="D486" s="69">
        <v>619</v>
      </c>
      <c r="E486" s="69">
        <v>28</v>
      </c>
      <c r="F486" s="67">
        <v>3</v>
      </c>
      <c r="G486" s="71">
        <v>28.6</v>
      </c>
    </row>
    <row r="487" spans="1:7">
      <c r="A487" s="67" t="s">
        <v>122</v>
      </c>
      <c r="B487" s="70">
        <v>46023</v>
      </c>
      <c r="C487" s="69">
        <v>601</v>
      </c>
      <c r="D487" s="69">
        <v>8887</v>
      </c>
      <c r="E487" s="69">
        <v>941</v>
      </c>
      <c r="F487" s="67">
        <v>4</v>
      </c>
      <c r="G487" s="71">
        <v>8.199999999999999</v>
      </c>
    </row>
    <row r="488" spans="1:7">
      <c r="A488" s="67" t="s">
        <v>124</v>
      </c>
      <c r="B488" s="70">
        <v>46023</v>
      </c>
      <c r="C488" s="69">
        <v>140</v>
      </c>
      <c r="D488" s="69">
        <v>969</v>
      </c>
      <c r="E488" s="69">
        <v>146</v>
      </c>
      <c r="F488" s="67">
        <v>6</v>
      </c>
      <c r="G488" s="71">
        <v>21.7</v>
      </c>
    </row>
    <row r="489" spans="1:7">
      <c r="A489" s="67" t="s">
        <v>126</v>
      </c>
      <c r="B489" s="70">
        <v>46023</v>
      </c>
      <c r="C489" s="69">
        <v>28</v>
      </c>
      <c r="D489" s="69">
        <v>236</v>
      </c>
      <c r="E489" s="69">
        <v>33</v>
      </c>
      <c r="F489" s="67">
        <v>3</v>
      </c>
      <c r="G489" s="71">
        <v>20.2</v>
      </c>
    </row>
    <row r="490" spans="1:7">
      <c r="A490" s="67" t="s">
        <v>128</v>
      </c>
      <c r="B490" s="70">
        <v>46023</v>
      </c>
      <c r="C490" s="69">
        <v>166</v>
      </c>
      <c r="D490" s="69">
        <v>1868</v>
      </c>
      <c r="E490" s="69">
        <v>122</v>
      </c>
      <c r="F490" s="67">
        <v>5</v>
      </c>
      <c r="G490" s="71">
        <v>18.8</v>
      </c>
    </row>
    <row r="491" spans="1:7">
      <c r="A491" s="67" t="s">
        <v>130</v>
      </c>
      <c r="B491" s="70">
        <v>46023</v>
      </c>
      <c r="C491" s="69">
        <v>87</v>
      </c>
      <c r="D491" s="69">
        <v>1563</v>
      </c>
      <c r="E491" s="69">
        <v>126</v>
      </c>
      <c r="F491" s="67">
        <v>7</v>
      </c>
      <c r="G491" s="71">
        <v>13.5</v>
      </c>
    </row>
    <row r="492" spans="1:7">
      <c r="A492" s="67" t="s">
        <v>132</v>
      </c>
      <c r="B492" s="70">
        <v>46023</v>
      </c>
      <c r="C492" s="69">
        <v>44</v>
      </c>
      <c r="D492" s="69">
        <v>612</v>
      </c>
      <c r="E492" s="69">
        <v>69</v>
      </c>
      <c r="F492" s="67">
        <v>6</v>
      </c>
      <c r="G492" s="71">
        <v>8.9</v>
      </c>
    </row>
    <row r="493" spans="1:7">
      <c r="A493" s="67" t="s">
        <v>134</v>
      </c>
      <c r="B493" s="70">
        <v>46023</v>
      </c>
      <c r="C493" s="69">
        <v>194</v>
      </c>
      <c r="D493" s="69">
        <v>1450</v>
      </c>
      <c r="E493" s="69">
        <v>205</v>
      </c>
      <c r="F493" s="67">
        <v>8</v>
      </c>
      <c r="G493" s="71">
        <v>27.9</v>
      </c>
    </row>
    <row r="494" spans="1:7">
      <c r="A494" s="67" t="s">
        <v>136</v>
      </c>
      <c r="B494" s="70">
        <v>46023</v>
      </c>
      <c r="C494" s="69">
        <v>154</v>
      </c>
      <c r="D494" s="69">
        <v>1470</v>
      </c>
      <c r="E494" s="69">
        <v>325</v>
      </c>
      <c r="F494" s="67">
        <v>4</v>
      </c>
      <c r="G494" s="71">
        <v>33.1</v>
      </c>
    </row>
    <row r="495" spans="1:7">
      <c r="A495" s="67" t="s">
        <v>138</v>
      </c>
      <c r="B495" s="70">
        <v>46023</v>
      </c>
      <c r="C495" s="69">
        <v>33</v>
      </c>
      <c r="D495" s="69">
        <v>561</v>
      </c>
      <c r="E495" s="69">
        <v>27</v>
      </c>
      <c r="F495" s="67">
        <v>5</v>
      </c>
      <c r="G495" s="71">
        <v>29</v>
      </c>
    </row>
    <row r="496" spans="1:7">
      <c r="A496" s="67" t="s">
        <v>140</v>
      </c>
      <c r="B496" s="70">
        <v>46023</v>
      </c>
      <c r="C496" s="69">
        <v>142</v>
      </c>
      <c r="D496" s="69">
        <v>868</v>
      </c>
      <c r="E496" s="69">
        <v>274</v>
      </c>
      <c r="F496" s="67">
        <v>6</v>
      </c>
      <c r="G496" s="71">
        <v>13.5</v>
      </c>
    </row>
    <row r="497" spans="1:7">
      <c r="A497" s="67" t="s">
        <v>142</v>
      </c>
      <c r="B497" s="70">
        <v>46023</v>
      </c>
      <c r="C497" s="69">
        <v>222</v>
      </c>
      <c r="D497" s="69">
        <v>3512</v>
      </c>
      <c r="E497" s="69">
        <v>207</v>
      </c>
      <c r="F497" s="67">
        <v>7</v>
      </c>
      <c r="G497" s="71">
        <v>17</v>
      </c>
    </row>
    <row r="498" spans="1:7">
      <c r="A498" s="67" t="s">
        <v>144</v>
      </c>
      <c r="B498" s="70">
        <v>46023</v>
      </c>
      <c r="C498" s="69">
        <v>22</v>
      </c>
      <c r="D498" s="69">
        <v>245</v>
      </c>
      <c r="E498" s="69">
        <v>23</v>
      </c>
      <c r="F498" s="67">
        <v>5</v>
      </c>
      <c r="G498" s="71">
        <v>30.9</v>
      </c>
    </row>
    <row r="499" spans="1:7">
      <c r="A499" s="67" t="s">
        <v>146</v>
      </c>
      <c r="B499" s="70">
        <v>46023</v>
      </c>
      <c r="C499" s="69">
        <v>1129</v>
      </c>
      <c r="D499" s="69">
        <v>16658</v>
      </c>
      <c r="E499" s="69">
        <v>1702</v>
      </c>
      <c r="F499" s="67">
        <v>9</v>
      </c>
      <c r="G499" s="71">
        <v>26.8</v>
      </c>
    </row>
    <row r="500" spans="1:7">
      <c r="A500" s="67" t="s">
        <v>148</v>
      </c>
      <c r="B500" s="70">
        <v>46023</v>
      </c>
      <c r="C500" s="69">
        <v>178</v>
      </c>
      <c r="D500" s="69">
        <v>2436</v>
      </c>
      <c r="E500" s="69">
        <v>201</v>
      </c>
      <c r="F500" s="67">
        <v>8</v>
      </c>
      <c r="G500" s="71">
        <v>36.7</v>
      </c>
    </row>
    <row r="501" spans="1:7">
      <c r="A501" s="67" t="s">
        <v>150</v>
      </c>
      <c r="B501" s="70">
        <v>46023</v>
      </c>
      <c r="C501" s="69">
        <v>22</v>
      </c>
      <c r="D501" s="69">
        <v>127</v>
      </c>
      <c r="E501" s="69">
        <v>16</v>
      </c>
      <c r="F501" s="67">
        <v>3</v>
      </c>
      <c r="G501" s="71">
        <v>29.4</v>
      </c>
    </row>
    <row r="502" spans="1:7">
      <c r="A502" s="67" t="s">
        <v>152</v>
      </c>
      <c r="B502" s="70">
        <v>46023</v>
      </c>
      <c r="C502" s="69">
        <v>20</v>
      </c>
      <c r="D502" s="69">
        <v>346</v>
      </c>
      <c r="E502" s="69">
        <v>9</v>
      </c>
      <c r="F502" s="67">
        <v>5</v>
      </c>
      <c r="G502" s="71">
        <v>28.1</v>
      </c>
    </row>
    <row r="503" spans="1:7">
      <c r="A503" s="67" t="s">
        <v>154</v>
      </c>
      <c r="B503" s="70">
        <v>46023</v>
      </c>
      <c r="C503" s="69">
        <v>62</v>
      </c>
      <c r="D503" s="69">
        <v>600</v>
      </c>
      <c r="E503" s="69">
        <v>33</v>
      </c>
      <c r="F503" s="67">
        <v>1</v>
      </c>
      <c r="G503" s="71">
        <v>15.2</v>
      </c>
    </row>
    <row r="504" spans="1:7">
      <c r="A504" s="67" t="s">
        <v>156</v>
      </c>
      <c r="B504" s="70">
        <v>46023</v>
      </c>
      <c r="C504" s="69">
        <v>24</v>
      </c>
      <c r="D504" s="69">
        <v>426</v>
      </c>
      <c r="E504" s="69">
        <v>34</v>
      </c>
      <c r="F504" s="67">
        <v>6</v>
      </c>
      <c r="G504" s="71">
        <v>29.8</v>
      </c>
    </row>
    <row r="505" spans="1:7">
      <c r="A505" s="67" t="s">
        <v>158</v>
      </c>
      <c r="B505" s="70">
        <v>46023</v>
      </c>
      <c r="C505" s="69">
        <v>83</v>
      </c>
      <c r="D505" s="69">
        <v>1059</v>
      </c>
      <c r="E505" s="69">
        <v>41</v>
      </c>
      <c r="F505" s="67">
        <v>4</v>
      </c>
      <c r="G505" s="71">
        <v>12</v>
      </c>
    </row>
    <row r="506" spans="1:7">
      <c r="A506" s="67" t="s">
        <v>160</v>
      </c>
      <c r="B506" s="70">
        <v>46023</v>
      </c>
      <c r="C506" s="69">
        <v>207</v>
      </c>
      <c r="D506" s="69">
        <v>2952</v>
      </c>
      <c r="E506" s="69">
        <v>80</v>
      </c>
      <c r="F506" s="67">
        <v>6</v>
      </c>
      <c r="G506" s="71">
        <v>37.3</v>
      </c>
    </row>
    <row r="507" spans="1:7">
      <c r="A507" s="67" t="s">
        <v>162</v>
      </c>
      <c r="B507" s="70">
        <v>46023</v>
      </c>
      <c r="C507" s="69">
        <v>48</v>
      </c>
      <c r="D507" s="69">
        <v>704</v>
      </c>
      <c r="E507" s="69">
        <v>16</v>
      </c>
      <c r="F507" s="67">
        <v>9</v>
      </c>
      <c r="G507" s="71">
        <v>29</v>
      </c>
    </row>
    <row r="508" spans="1:7">
      <c r="A508" s="67" t="s">
        <v>164</v>
      </c>
      <c r="B508" s="70">
        <v>46023</v>
      </c>
      <c r="C508" s="69">
        <v>80</v>
      </c>
      <c r="D508" s="69">
        <v>1436</v>
      </c>
      <c r="E508" s="69">
        <v>196</v>
      </c>
      <c r="F508" s="67">
        <v>7</v>
      </c>
      <c r="G508" s="71">
        <v>14.7</v>
      </c>
    </row>
    <row r="509" spans="1:7">
      <c r="A509" s="67" t="s">
        <v>166</v>
      </c>
      <c r="B509" s="70">
        <v>46023</v>
      </c>
      <c r="C509" s="69">
        <v>125</v>
      </c>
      <c r="D509" s="69">
        <v>1254</v>
      </c>
      <c r="E509" s="69">
        <v>312</v>
      </c>
      <c r="F509" s="67">
        <v>6</v>
      </c>
      <c r="G509" s="71">
        <v>39.7</v>
      </c>
    </row>
    <row r="510" spans="1:7">
      <c r="A510" s="67" t="s">
        <v>168</v>
      </c>
      <c r="B510" s="70">
        <v>46023</v>
      </c>
      <c r="C510" s="69">
        <v>167</v>
      </c>
      <c r="D510" s="69">
        <v>1325</v>
      </c>
      <c r="E510" s="69">
        <v>176</v>
      </c>
      <c r="F510" s="67">
        <v>6</v>
      </c>
      <c r="G510" s="71">
        <v>18.7</v>
      </c>
    </row>
    <row r="511" spans="1:7">
      <c r="A511" s="67" t="s">
        <v>170</v>
      </c>
      <c r="B511" s="70">
        <v>46023</v>
      </c>
      <c r="C511" s="69">
        <v>24</v>
      </c>
      <c r="D511" s="69">
        <v>282</v>
      </c>
      <c r="E511" s="69">
        <v>43</v>
      </c>
      <c r="F511" s="67">
        <v>8</v>
      </c>
      <c r="G511" s="71">
        <v>35.5</v>
      </c>
    </row>
    <row r="512" spans="1:7">
      <c r="A512" s="67" t="s">
        <v>172</v>
      </c>
      <c r="B512" s="70">
        <v>46023</v>
      </c>
      <c r="C512" s="69">
        <v>26</v>
      </c>
      <c r="D512" s="69">
        <v>324</v>
      </c>
      <c r="E512" s="69">
        <v>32</v>
      </c>
      <c r="F512" s="67">
        <v>6</v>
      </c>
      <c r="G512" s="71">
        <v>15.9</v>
      </c>
    </row>
    <row r="513" spans="1:7">
      <c r="A513" s="67" t="s">
        <v>174</v>
      </c>
      <c r="B513" s="70">
        <v>46023</v>
      </c>
      <c r="C513" s="69">
        <v>119</v>
      </c>
      <c r="D513" s="69">
        <v>799</v>
      </c>
      <c r="E513" s="69">
        <v>207</v>
      </c>
      <c r="F513" s="67">
        <v>5</v>
      </c>
      <c r="G513" s="71">
        <v>25.3</v>
      </c>
    </row>
    <row r="514" spans="1:7">
      <c r="A514" s="67" t="s">
        <v>176</v>
      </c>
      <c r="B514" s="70">
        <v>46023</v>
      </c>
      <c r="C514" s="69">
        <v>24</v>
      </c>
      <c r="D514" s="69">
        <v>163</v>
      </c>
      <c r="E514" s="69">
        <v>44</v>
      </c>
      <c r="F514" s="67">
        <v>4</v>
      </c>
      <c r="G514" s="71">
        <v>36.5</v>
      </c>
    </row>
    <row r="515" spans="1:7">
      <c r="A515" s="67" t="s">
        <v>178</v>
      </c>
      <c r="B515" s="70">
        <v>46023</v>
      </c>
      <c r="C515" s="69">
        <v>13</v>
      </c>
      <c r="D515" s="69">
        <v>219</v>
      </c>
      <c r="E515" s="69">
        <v>26</v>
      </c>
      <c r="F515" s="67">
        <v>5</v>
      </c>
      <c r="G515" s="71">
        <v>28</v>
      </c>
    </row>
    <row r="516" spans="1:7">
      <c r="A516" s="67" t="s">
        <v>180</v>
      </c>
      <c r="B516" s="70">
        <v>46023</v>
      </c>
      <c r="C516" s="69">
        <v>1000</v>
      </c>
      <c r="D516" s="69">
        <v>5882</v>
      </c>
      <c r="E516" s="69">
        <v>1473</v>
      </c>
      <c r="F516" s="67">
        <v>8</v>
      </c>
      <c r="G516" s="71">
        <v>30.2</v>
      </c>
    </row>
    <row r="517" spans="1:7">
      <c r="A517" s="67" t="s">
        <v>182</v>
      </c>
      <c r="B517" s="70">
        <v>46023</v>
      </c>
      <c r="C517" s="69">
        <v>15</v>
      </c>
      <c r="D517" s="69">
        <v>103</v>
      </c>
      <c r="E517" s="69">
        <v>5</v>
      </c>
      <c r="F517" s="67">
        <v>7</v>
      </c>
      <c r="G517" s="71">
        <v>16.2</v>
      </c>
    </row>
    <row r="518" spans="1:7">
      <c r="A518" s="67" t="s">
        <v>184</v>
      </c>
      <c r="B518" s="70">
        <v>46023</v>
      </c>
      <c r="C518" s="69">
        <v>135</v>
      </c>
      <c r="D518" s="69">
        <v>1207</v>
      </c>
      <c r="E518" s="69">
        <v>262</v>
      </c>
      <c r="F518" s="67">
        <v>6</v>
      </c>
      <c r="G518" s="71">
        <v>33.8</v>
      </c>
    </row>
    <row r="519" spans="1:7">
      <c r="A519" s="67" t="s">
        <v>186</v>
      </c>
      <c r="B519" s="70">
        <v>46023</v>
      </c>
      <c r="C519" s="69">
        <v>108</v>
      </c>
      <c r="D519" s="69">
        <v>753</v>
      </c>
      <c r="E519" s="69">
        <v>77</v>
      </c>
      <c r="F519" s="67">
        <v>5</v>
      </c>
      <c r="G519" s="71">
        <v>9.6</v>
      </c>
    </row>
    <row r="520" spans="1:7">
      <c r="A520" s="67" t="s">
        <v>188</v>
      </c>
      <c r="B520" s="70">
        <v>46023</v>
      </c>
      <c r="C520" s="69">
        <v>28</v>
      </c>
      <c r="D520" s="69">
        <v>365</v>
      </c>
      <c r="E520" s="69">
        <v>46</v>
      </c>
      <c r="F520" s="67">
        <v>3</v>
      </c>
      <c r="G520" s="71">
        <v>26.4</v>
      </c>
    </row>
    <row r="521" spans="1:7">
      <c r="A521" s="67" t="s">
        <v>190</v>
      </c>
      <c r="B521" s="70">
        <v>46023</v>
      </c>
      <c r="C521" s="69">
        <v>28</v>
      </c>
      <c r="D521" s="69">
        <v>149</v>
      </c>
      <c r="E521" s="69">
        <v>13</v>
      </c>
      <c r="F521" s="67">
        <v>4</v>
      </c>
      <c r="G521" s="71">
        <v>32.3</v>
      </c>
    </row>
    <row r="522" spans="1:7">
      <c r="A522" s="67" t="s">
        <v>192</v>
      </c>
      <c r="B522" s="70">
        <v>46023</v>
      </c>
      <c r="C522" s="69">
        <v>137</v>
      </c>
      <c r="D522" s="69">
        <v>1520</v>
      </c>
      <c r="E522" s="69">
        <v>237</v>
      </c>
      <c r="F522" s="67">
        <v>5</v>
      </c>
      <c r="G522" s="71">
        <v>11.4</v>
      </c>
    </row>
    <row r="523" spans="1:7">
      <c r="A523" s="67" t="s">
        <v>194</v>
      </c>
      <c r="B523" s="70">
        <v>46023</v>
      </c>
      <c r="C523" s="69">
        <v>36</v>
      </c>
      <c r="D523" s="69">
        <v>257</v>
      </c>
      <c r="E523" s="69">
        <v>29</v>
      </c>
      <c r="F523" s="67">
        <v>3</v>
      </c>
      <c r="G523" s="71">
        <v>19.3</v>
      </c>
    </row>
    <row r="524" spans="1:7">
      <c r="A524" s="67" t="s">
        <v>196</v>
      </c>
      <c r="B524" s="70">
        <v>46023</v>
      </c>
      <c r="C524" s="69">
        <v>103</v>
      </c>
      <c r="D524" s="69">
        <v>1787</v>
      </c>
      <c r="E524" s="69">
        <v>81</v>
      </c>
      <c r="F524" s="67">
        <v>4</v>
      </c>
      <c r="G524" s="71">
        <v>28.5</v>
      </c>
    </row>
    <row r="525" spans="1:7">
      <c r="A525" s="67" t="s">
        <v>198</v>
      </c>
      <c r="B525" s="70">
        <v>46023</v>
      </c>
      <c r="C525" s="69">
        <v>506</v>
      </c>
      <c r="D525" s="69">
        <v>3695</v>
      </c>
      <c r="E525" s="69">
        <v>1215</v>
      </c>
      <c r="F525" s="67">
        <v>9</v>
      </c>
      <c r="G525" s="71">
        <v>20.4</v>
      </c>
    </row>
    <row r="526" spans="1:7">
      <c r="A526" s="67" t="s">
        <v>200</v>
      </c>
      <c r="B526" s="70">
        <v>46023</v>
      </c>
      <c r="C526" s="69">
        <v>96</v>
      </c>
      <c r="D526" s="69">
        <v>1562</v>
      </c>
      <c r="E526" s="69">
        <v>216</v>
      </c>
      <c r="F526" s="67">
        <v>3</v>
      </c>
      <c r="G526" s="71">
        <v>20</v>
      </c>
    </row>
    <row r="527" spans="1:7">
      <c r="A527" s="67" t="s">
        <v>202</v>
      </c>
      <c r="B527" s="70">
        <v>46023</v>
      </c>
      <c r="C527" s="69">
        <v>139</v>
      </c>
      <c r="D527" s="69">
        <v>2185</v>
      </c>
      <c r="E527" s="69">
        <v>262</v>
      </c>
      <c r="F527" s="67">
        <v>6</v>
      </c>
      <c r="G527" s="71">
        <v>18.8</v>
      </c>
    </row>
    <row r="528" spans="1:7">
      <c r="A528" s="67" t="s">
        <v>204</v>
      </c>
      <c r="B528" s="70">
        <v>46023</v>
      </c>
      <c r="C528" s="69">
        <v>15</v>
      </c>
      <c r="D528" s="69">
        <v>180</v>
      </c>
      <c r="E528" s="69">
        <v>26</v>
      </c>
      <c r="F528" s="67">
        <v>6</v>
      </c>
      <c r="G528" s="71">
        <v>29.6</v>
      </c>
    </row>
    <row r="529" spans="1:7">
      <c r="A529" s="67" t="s">
        <v>206</v>
      </c>
      <c r="B529" s="70">
        <v>46023</v>
      </c>
      <c r="C529" s="69">
        <v>605</v>
      </c>
      <c r="D529" s="69">
        <v>6619</v>
      </c>
      <c r="E529" s="69">
        <v>1350</v>
      </c>
      <c r="F529" s="67">
        <v>5</v>
      </c>
      <c r="G529" s="71">
        <v>35.7</v>
      </c>
    </row>
    <row r="530" spans="1:7">
      <c r="A530" s="67" t="s">
        <v>208</v>
      </c>
      <c r="B530" s="70">
        <v>46023</v>
      </c>
      <c r="C530" s="69">
        <v>12</v>
      </c>
      <c r="D530" s="69">
        <v>213</v>
      </c>
      <c r="E530" s="69">
        <v>5</v>
      </c>
      <c r="F530" s="67">
        <v>9</v>
      </c>
      <c r="G530" s="71">
        <v>18.6</v>
      </c>
    </row>
    <row r="531" spans="1:7">
      <c r="A531" s="67" t="s">
        <v>210</v>
      </c>
      <c r="B531" s="70">
        <v>46023</v>
      </c>
      <c r="C531" s="69">
        <v>134</v>
      </c>
      <c r="D531" s="69">
        <v>1001</v>
      </c>
      <c r="E531" s="69">
        <v>170</v>
      </c>
      <c r="F531" s="67">
        <v>2</v>
      </c>
      <c r="G531" s="71">
        <v>36</v>
      </c>
    </row>
    <row r="532" spans="1:7">
      <c r="A532" s="67" t="s">
        <v>212</v>
      </c>
      <c r="B532" s="70">
        <v>46023</v>
      </c>
      <c r="C532" s="69">
        <v>25</v>
      </c>
      <c r="D532" s="69">
        <v>179</v>
      </c>
      <c r="E532" s="69">
        <v>24</v>
      </c>
      <c r="F532" s="67">
        <v>6</v>
      </c>
      <c r="G532" s="71">
        <v>37.2</v>
      </c>
    </row>
    <row r="533" spans="1:7">
      <c r="A533" s="67" t="s">
        <v>214</v>
      </c>
      <c r="B533" s="70">
        <v>46023</v>
      </c>
      <c r="C533" s="69">
        <v>42</v>
      </c>
      <c r="D533" s="69">
        <v>463</v>
      </c>
      <c r="E533" s="69">
        <v>72</v>
      </c>
      <c r="F533" s="67">
        <v>4</v>
      </c>
      <c r="G533" s="71">
        <v>8.199999999999999</v>
      </c>
    </row>
    <row r="534" spans="1:7">
      <c r="A534" s="67" t="s">
        <v>216</v>
      </c>
      <c r="B534" s="70">
        <v>46023</v>
      </c>
      <c r="C534" s="69">
        <v>219</v>
      </c>
      <c r="D534" s="69">
        <v>2762</v>
      </c>
      <c r="E534" s="69">
        <v>497</v>
      </c>
      <c r="F534" s="67">
        <v>8</v>
      </c>
      <c r="G534" s="71">
        <v>24.1</v>
      </c>
    </row>
    <row r="535" spans="1:7">
      <c r="A535" s="67" t="s">
        <v>218</v>
      </c>
      <c r="B535" s="70">
        <v>46023</v>
      </c>
      <c r="C535" s="69">
        <v>11</v>
      </c>
      <c r="D535" s="69">
        <v>59</v>
      </c>
      <c r="E535" s="69">
        <v>14</v>
      </c>
      <c r="F535" s="67">
        <v>7</v>
      </c>
      <c r="G535" s="71">
        <v>36.4</v>
      </c>
    </row>
    <row r="536" spans="1:7">
      <c r="A536" s="67" t="s">
        <v>220</v>
      </c>
      <c r="B536" s="70">
        <v>46023</v>
      </c>
      <c r="C536" s="69">
        <v>69</v>
      </c>
      <c r="D536" s="69">
        <v>426</v>
      </c>
      <c r="E536" s="69">
        <v>70</v>
      </c>
      <c r="F536" s="67">
        <v>6</v>
      </c>
      <c r="G536" s="71">
        <v>27.7</v>
      </c>
    </row>
    <row r="537" spans="1:7">
      <c r="A537" s="67" t="s">
        <v>222</v>
      </c>
      <c r="B537" s="70">
        <v>46023</v>
      </c>
      <c r="C537" s="69">
        <v>29</v>
      </c>
      <c r="D537" s="69">
        <v>421</v>
      </c>
      <c r="E537" s="69">
        <v>15</v>
      </c>
      <c r="F537" s="67">
        <v>4</v>
      </c>
      <c r="G537" s="71">
        <v>29.7</v>
      </c>
    </row>
    <row r="538" spans="1:7">
      <c r="A538" s="67" t="s">
        <v>224</v>
      </c>
      <c r="B538" s="70">
        <v>46023</v>
      </c>
      <c r="C538" s="69">
        <v>8</v>
      </c>
      <c r="D538" s="69">
        <v>114</v>
      </c>
      <c r="E538" s="69">
        <v>15</v>
      </c>
      <c r="F538" s="67">
        <v>6</v>
      </c>
      <c r="G538" s="71">
        <v>39.1</v>
      </c>
    </row>
    <row r="539" spans="1:7">
      <c r="A539" s="67" t="s">
        <v>226</v>
      </c>
      <c r="B539" s="70">
        <v>46023</v>
      </c>
      <c r="C539" s="69">
        <v>11</v>
      </c>
      <c r="D539" s="69">
        <v>134</v>
      </c>
      <c r="E539" s="69">
        <v>4</v>
      </c>
      <c r="F539" s="67">
        <v>4</v>
      </c>
      <c r="G539" s="71">
        <v>11</v>
      </c>
    </row>
    <row r="540" spans="1:7">
      <c r="A540" s="67" t="s">
        <v>228</v>
      </c>
      <c r="B540" s="70">
        <v>46023</v>
      </c>
      <c r="C540" s="69">
        <v>11</v>
      </c>
      <c r="D540" s="69">
        <v>178</v>
      </c>
      <c r="E540" s="69">
        <v>7</v>
      </c>
      <c r="F540" s="67">
        <v>7</v>
      </c>
      <c r="G540" s="71">
        <v>10.1</v>
      </c>
    </row>
    <row r="541" spans="1:7">
      <c r="A541" s="67" t="s">
        <v>230</v>
      </c>
      <c r="B541" s="70">
        <v>46023</v>
      </c>
      <c r="C541" s="69">
        <v>193</v>
      </c>
      <c r="D541" s="69">
        <v>1738</v>
      </c>
      <c r="E541" s="69">
        <v>368</v>
      </c>
      <c r="F541" s="67">
        <v>8</v>
      </c>
      <c r="G541" s="71">
        <v>38.6</v>
      </c>
    </row>
    <row r="542" spans="1:7">
      <c r="A542" s="67" t="s">
        <v>232</v>
      </c>
      <c r="B542" s="70">
        <v>46023</v>
      </c>
      <c r="C542" s="69">
        <v>146</v>
      </c>
      <c r="D542" s="69">
        <v>2435</v>
      </c>
      <c r="E542" s="69">
        <v>352</v>
      </c>
      <c r="F542" s="67">
        <v>9</v>
      </c>
      <c r="G542" s="71">
        <v>5.1</v>
      </c>
    </row>
    <row r="543" spans="1:7">
      <c r="A543" s="67" t="s">
        <v>234</v>
      </c>
      <c r="B543" s="70">
        <v>46023</v>
      </c>
      <c r="C543" s="69">
        <v>22</v>
      </c>
      <c r="D543" s="69">
        <v>252</v>
      </c>
      <c r="E543" s="69">
        <v>31</v>
      </c>
      <c r="F543" s="67">
        <v>7</v>
      </c>
      <c r="G543" s="71">
        <v>33.3</v>
      </c>
    </row>
    <row r="544" spans="1:7">
      <c r="A544" s="67" t="s">
        <v>236</v>
      </c>
      <c r="B544" s="70">
        <v>46023</v>
      </c>
      <c r="C544" s="69">
        <v>78</v>
      </c>
      <c r="D544" s="69">
        <v>610</v>
      </c>
      <c r="E544" s="69">
        <v>137</v>
      </c>
      <c r="F544" s="67">
        <v>2</v>
      </c>
      <c r="G544" s="71">
        <v>20.9</v>
      </c>
    </row>
    <row r="545" spans="1:7">
      <c r="A545" s="67" t="s">
        <v>238</v>
      </c>
      <c r="B545" s="70">
        <v>46023</v>
      </c>
      <c r="C545" s="69">
        <v>23</v>
      </c>
      <c r="D545" s="69">
        <v>117</v>
      </c>
      <c r="E545" s="69">
        <v>52</v>
      </c>
      <c r="F545" s="67">
        <v>9</v>
      </c>
      <c r="G545" s="71">
        <v>14.7</v>
      </c>
    </row>
    <row r="546" spans="1:7">
      <c r="A546" s="67" t="s">
        <v>240</v>
      </c>
      <c r="B546" s="70">
        <v>46023</v>
      </c>
      <c r="C546" s="69">
        <v>21</v>
      </c>
      <c r="D546" s="69">
        <v>162</v>
      </c>
      <c r="E546" s="69">
        <v>15</v>
      </c>
      <c r="F546" s="67">
        <v>5</v>
      </c>
      <c r="G546" s="71">
        <v>6.9</v>
      </c>
    </row>
    <row r="547" spans="1:7">
      <c r="A547" s="67" t="s">
        <v>242</v>
      </c>
      <c r="B547" s="70">
        <v>46023</v>
      </c>
      <c r="C547" s="69">
        <v>665</v>
      </c>
      <c r="D547" s="69">
        <v>3605</v>
      </c>
      <c r="E547" s="69">
        <v>1045</v>
      </c>
      <c r="F547" s="67">
        <v>9</v>
      </c>
      <c r="G547" s="71">
        <v>26.1</v>
      </c>
    </row>
    <row r="548" spans="1:7">
      <c r="A548" s="67" t="s">
        <v>244</v>
      </c>
      <c r="B548" s="70">
        <v>46023</v>
      </c>
      <c r="C548" s="69">
        <v>31</v>
      </c>
      <c r="D548" s="69">
        <v>199</v>
      </c>
      <c r="E548" s="69">
        <v>77</v>
      </c>
      <c r="F548" s="67">
        <v>7</v>
      </c>
      <c r="G548" s="71">
        <v>10.6</v>
      </c>
    </row>
    <row r="549" spans="1:7">
      <c r="A549" s="67" t="s">
        <v>246</v>
      </c>
      <c r="B549" s="70">
        <v>46023</v>
      </c>
      <c r="C549" s="69">
        <v>49</v>
      </c>
      <c r="D549" s="69">
        <v>691</v>
      </c>
      <c r="E549" s="69">
        <v>76</v>
      </c>
      <c r="F549" s="67">
        <v>10</v>
      </c>
      <c r="G549" s="71">
        <v>24.7</v>
      </c>
    </row>
    <row r="550" spans="1:7">
      <c r="A550" s="67" t="s">
        <v>248</v>
      </c>
      <c r="B550" s="70">
        <v>46023</v>
      </c>
      <c r="C550" s="69">
        <v>32</v>
      </c>
      <c r="D550" s="69">
        <v>310</v>
      </c>
      <c r="E550" s="69">
        <v>12</v>
      </c>
      <c r="F550" s="67">
        <v>6</v>
      </c>
      <c r="G550" s="71">
        <v>31.9</v>
      </c>
    </row>
    <row r="551" spans="1:7">
      <c r="A551" s="67" t="s">
        <v>250</v>
      </c>
      <c r="B551" s="70">
        <v>46023</v>
      </c>
      <c r="C551" s="69">
        <v>131</v>
      </c>
      <c r="D551" s="69">
        <v>2052</v>
      </c>
      <c r="E551" s="69">
        <v>258</v>
      </c>
      <c r="F551" s="67">
        <v>7</v>
      </c>
      <c r="G551" s="71">
        <v>34.5</v>
      </c>
    </row>
    <row r="552" spans="1:7">
      <c r="A552" s="67" t="s">
        <v>252</v>
      </c>
      <c r="B552" s="70">
        <v>46023</v>
      </c>
      <c r="C552" s="69">
        <v>14</v>
      </c>
      <c r="D552" s="69">
        <v>92</v>
      </c>
      <c r="E552" s="69">
        <v>31</v>
      </c>
      <c r="F552" s="67">
        <v>6</v>
      </c>
      <c r="G552" s="71">
        <v>16.5</v>
      </c>
    </row>
    <row r="553" spans="1:7">
      <c r="A553" s="67" t="s">
        <v>254</v>
      </c>
      <c r="B553" s="70">
        <v>46023</v>
      </c>
      <c r="C553" s="69">
        <v>99</v>
      </c>
      <c r="D553" s="69">
        <v>764</v>
      </c>
      <c r="E553" s="69">
        <v>42</v>
      </c>
      <c r="F553" s="67">
        <v>6</v>
      </c>
      <c r="G553" s="71">
        <v>25</v>
      </c>
    </row>
    <row r="554" spans="1:7">
      <c r="A554" s="67" t="s">
        <v>256</v>
      </c>
      <c r="B554" s="70">
        <v>46023</v>
      </c>
      <c r="C554" s="69">
        <v>210</v>
      </c>
      <c r="D554" s="69">
        <v>1289</v>
      </c>
      <c r="E554" s="69">
        <v>398</v>
      </c>
      <c r="F554" s="67">
        <v>7</v>
      </c>
      <c r="G554" s="71">
        <v>26.2</v>
      </c>
    </row>
    <row r="555" spans="1:7">
      <c r="A555" s="67" t="s">
        <v>258</v>
      </c>
      <c r="B555" s="70">
        <v>46023</v>
      </c>
      <c r="C555" s="69">
        <v>433</v>
      </c>
      <c r="D555" s="69">
        <v>4569</v>
      </c>
      <c r="E555" s="69">
        <v>938</v>
      </c>
      <c r="F555" s="67">
        <v>4</v>
      </c>
      <c r="G555" s="71">
        <v>14.1</v>
      </c>
    </row>
    <row r="556" spans="1:7">
      <c r="A556" s="67" t="s">
        <v>260</v>
      </c>
      <c r="B556" s="70">
        <v>46023</v>
      </c>
      <c r="C556" s="69">
        <v>786</v>
      </c>
      <c r="D556" s="69">
        <v>13403</v>
      </c>
      <c r="E556" s="69">
        <v>1298</v>
      </c>
      <c r="F556" s="67">
        <v>5</v>
      </c>
      <c r="G556" s="71">
        <v>22.4</v>
      </c>
    </row>
    <row r="557" spans="1:7">
      <c r="A557" s="67" t="s">
        <v>262</v>
      </c>
      <c r="B557" s="70">
        <v>46023</v>
      </c>
      <c r="C557" s="69">
        <v>56</v>
      </c>
      <c r="D557" s="69">
        <v>868</v>
      </c>
      <c r="E557" s="69">
        <v>126</v>
      </c>
      <c r="F557" s="67">
        <v>7</v>
      </c>
      <c r="G557" s="71">
        <v>13.1</v>
      </c>
    </row>
    <row r="558" spans="1:7">
      <c r="A558" s="67" t="s">
        <v>264</v>
      </c>
      <c r="B558" s="70">
        <v>46023</v>
      </c>
      <c r="C558" s="69">
        <v>753</v>
      </c>
      <c r="D558" s="69">
        <v>4922</v>
      </c>
      <c r="E558" s="69">
        <v>996</v>
      </c>
      <c r="F558" s="67">
        <v>7</v>
      </c>
      <c r="G558" s="71">
        <v>32.9</v>
      </c>
    </row>
    <row r="559" spans="1:7">
      <c r="A559" s="67" t="s">
        <v>266</v>
      </c>
      <c r="B559" s="70">
        <v>46023</v>
      </c>
      <c r="C559" s="69">
        <v>90</v>
      </c>
      <c r="D559" s="69">
        <v>1170</v>
      </c>
      <c r="E559" s="69">
        <v>109</v>
      </c>
      <c r="F559" s="67">
        <v>4</v>
      </c>
      <c r="G559" s="71">
        <v>6.6</v>
      </c>
    </row>
    <row r="560" spans="1:7">
      <c r="A560" s="67" t="s">
        <v>268</v>
      </c>
      <c r="B560" s="70">
        <v>46023</v>
      </c>
      <c r="C560" s="69">
        <v>24</v>
      </c>
      <c r="D560" s="69">
        <v>186</v>
      </c>
      <c r="E560" s="69">
        <v>41</v>
      </c>
      <c r="F560" s="67">
        <v>4</v>
      </c>
      <c r="G560" s="71">
        <v>29.2</v>
      </c>
    </row>
    <row r="561" spans="1:7">
      <c r="A561" s="67" t="s">
        <v>270</v>
      </c>
      <c r="B561" s="70">
        <v>46023</v>
      </c>
      <c r="C561" s="69">
        <v>41</v>
      </c>
      <c r="D561" s="69">
        <v>365</v>
      </c>
      <c r="E561" s="69">
        <v>62</v>
      </c>
      <c r="F561" s="67">
        <v>7</v>
      </c>
      <c r="G561" s="71">
        <v>31.8</v>
      </c>
    </row>
    <row r="562" spans="1:7">
      <c r="A562" s="67" t="s">
        <v>272</v>
      </c>
      <c r="B562" s="70">
        <v>46023</v>
      </c>
      <c r="C562" s="69">
        <v>29</v>
      </c>
      <c r="D562" s="69">
        <v>294</v>
      </c>
      <c r="E562" s="69">
        <v>45</v>
      </c>
      <c r="F562" s="67">
        <v>8</v>
      </c>
      <c r="G562" s="71">
        <v>38.6</v>
      </c>
    </row>
    <row r="563" spans="1:7">
      <c r="A563" s="67" t="s">
        <v>274</v>
      </c>
      <c r="B563" s="70">
        <v>46023</v>
      </c>
      <c r="C563" s="69">
        <v>416</v>
      </c>
      <c r="D563" s="69">
        <v>6589</v>
      </c>
      <c r="E563" s="69">
        <v>969</v>
      </c>
      <c r="F563" s="67">
        <v>4</v>
      </c>
      <c r="G563" s="71">
        <v>21.8</v>
      </c>
    </row>
    <row r="564" spans="1:7">
      <c r="A564" s="67" t="s">
        <v>276</v>
      </c>
      <c r="B564" s="70">
        <v>46023</v>
      </c>
      <c r="C564" s="69">
        <v>123</v>
      </c>
      <c r="D564" s="69">
        <v>832</v>
      </c>
      <c r="E564" s="69">
        <v>79</v>
      </c>
      <c r="F564" s="67">
        <v>6</v>
      </c>
      <c r="G564" s="71">
        <v>21.1</v>
      </c>
    </row>
    <row r="565" spans="1:7">
      <c r="A565" s="67" t="s">
        <v>278</v>
      </c>
      <c r="B565" s="70">
        <v>46023</v>
      </c>
      <c r="C565" s="69">
        <v>29</v>
      </c>
      <c r="D565" s="69">
        <v>319</v>
      </c>
      <c r="E565" s="69">
        <v>61</v>
      </c>
      <c r="F565" s="67">
        <v>4</v>
      </c>
      <c r="G565" s="71">
        <v>37.5</v>
      </c>
    </row>
    <row r="566" spans="1:7">
      <c r="A566" s="67" t="s">
        <v>280</v>
      </c>
      <c r="B566" s="70">
        <v>46023</v>
      </c>
      <c r="C566" s="69">
        <v>17</v>
      </c>
      <c r="D566" s="69">
        <v>210</v>
      </c>
      <c r="E566" s="69">
        <v>30</v>
      </c>
      <c r="F566" s="67">
        <v>7</v>
      </c>
      <c r="G566" s="71">
        <v>24.4</v>
      </c>
    </row>
    <row r="567" spans="1:7">
      <c r="A567" s="67" t="s">
        <v>282</v>
      </c>
      <c r="B567" s="70">
        <v>46023</v>
      </c>
      <c r="C567" s="69">
        <v>40</v>
      </c>
      <c r="D567" s="69">
        <v>372</v>
      </c>
      <c r="E567" s="69">
        <v>93</v>
      </c>
      <c r="F567" s="67">
        <v>9</v>
      </c>
      <c r="G567" s="71">
        <v>32.9</v>
      </c>
    </row>
    <row r="568" spans="1:7">
      <c r="A568" s="67" t="s">
        <v>284</v>
      </c>
      <c r="B568" s="70">
        <v>46023</v>
      </c>
      <c r="C568" s="69">
        <v>154</v>
      </c>
      <c r="D568" s="69">
        <v>2453</v>
      </c>
      <c r="E568" s="69">
        <v>161</v>
      </c>
      <c r="F568" s="67">
        <v>6</v>
      </c>
      <c r="G568" s="71">
        <v>18.1</v>
      </c>
    </row>
    <row r="569" spans="1:7">
      <c r="A569" s="67" t="s">
        <v>286</v>
      </c>
      <c r="B569" s="70">
        <v>46023</v>
      </c>
      <c r="C569" s="69">
        <v>16</v>
      </c>
      <c r="D569" s="69">
        <v>206</v>
      </c>
      <c r="E569" s="69">
        <v>11</v>
      </c>
      <c r="F569" s="67">
        <v>6</v>
      </c>
      <c r="G569" s="71">
        <v>9.1</v>
      </c>
    </row>
    <row r="570" spans="1:7">
      <c r="A570" s="67" t="s">
        <v>288</v>
      </c>
      <c r="B570" s="70">
        <v>46023</v>
      </c>
      <c r="C570" s="69">
        <v>211</v>
      </c>
      <c r="D570" s="69">
        <v>3408</v>
      </c>
      <c r="E570" s="69">
        <v>393</v>
      </c>
      <c r="F570" s="67">
        <v>6</v>
      </c>
      <c r="G570" s="71">
        <v>14.5</v>
      </c>
    </row>
    <row r="571" spans="1:7">
      <c r="A571" s="67" t="s">
        <v>290</v>
      </c>
      <c r="B571" s="70">
        <v>46023</v>
      </c>
      <c r="C571" s="69">
        <v>248</v>
      </c>
      <c r="D571" s="69">
        <v>2438</v>
      </c>
      <c r="E571" s="69">
        <v>527</v>
      </c>
      <c r="F571" s="67">
        <v>8</v>
      </c>
      <c r="G571" s="71">
        <v>15.6</v>
      </c>
    </row>
    <row r="572" spans="1:7">
      <c r="A572" s="67" t="s">
        <v>292</v>
      </c>
      <c r="B572" s="70">
        <v>46023</v>
      </c>
      <c r="C572" s="69">
        <v>74</v>
      </c>
      <c r="D572" s="69">
        <v>730</v>
      </c>
      <c r="E572" s="69">
        <v>28</v>
      </c>
      <c r="F572" s="67">
        <v>3</v>
      </c>
      <c r="G572" s="71">
        <v>12.1</v>
      </c>
    </row>
    <row r="573" spans="1:7">
      <c r="A573" s="67" t="s">
        <v>294</v>
      </c>
      <c r="B573" s="70">
        <v>46023</v>
      </c>
      <c r="C573" s="69">
        <v>34</v>
      </c>
      <c r="D573" s="69">
        <v>523</v>
      </c>
      <c r="E573" s="69">
        <v>78</v>
      </c>
      <c r="F573" s="67">
        <v>7</v>
      </c>
      <c r="G573" s="71">
        <v>10.4</v>
      </c>
    </row>
    <row r="574" spans="1:7">
      <c r="A574" s="67" t="s">
        <v>296</v>
      </c>
      <c r="B574" s="70">
        <v>46023</v>
      </c>
      <c r="C574" s="69">
        <v>254</v>
      </c>
      <c r="D574" s="69">
        <v>4156</v>
      </c>
      <c r="E574" s="69">
        <v>250</v>
      </c>
      <c r="F574" s="67">
        <v>7</v>
      </c>
      <c r="G574" s="71">
        <v>16.5</v>
      </c>
    </row>
    <row r="575" spans="1:7">
      <c r="A575" s="67" t="s">
        <v>298</v>
      </c>
      <c r="B575" s="70">
        <v>46023</v>
      </c>
      <c r="C575" s="69">
        <v>205</v>
      </c>
      <c r="D575" s="69">
        <v>3643</v>
      </c>
      <c r="E575" s="69">
        <v>294</v>
      </c>
      <c r="F575" s="67">
        <v>6</v>
      </c>
      <c r="G575" s="71">
        <v>39.7</v>
      </c>
    </row>
    <row r="576" spans="1:7">
      <c r="A576" s="67" t="s">
        <v>300</v>
      </c>
      <c r="B576" s="70">
        <v>46023</v>
      </c>
      <c r="C576" s="69">
        <v>81</v>
      </c>
      <c r="D576" s="69">
        <v>813</v>
      </c>
      <c r="E576" s="69">
        <v>178</v>
      </c>
      <c r="F576" s="67">
        <v>3</v>
      </c>
      <c r="G576" s="71">
        <v>9.1</v>
      </c>
    </row>
    <row r="577" spans="1:7">
      <c r="A577" s="67" t="s">
        <v>302</v>
      </c>
      <c r="B577" s="70">
        <v>46023</v>
      </c>
      <c r="C577" s="69">
        <v>22</v>
      </c>
      <c r="D577" s="69">
        <v>353</v>
      </c>
      <c r="E577" s="69">
        <v>49</v>
      </c>
      <c r="F577" s="67">
        <v>6</v>
      </c>
      <c r="G577" s="71">
        <v>16.7</v>
      </c>
    </row>
    <row r="578" spans="1:7">
      <c r="A578" s="67" t="s">
        <v>304</v>
      </c>
      <c r="B578" s="70">
        <v>46023</v>
      </c>
      <c r="C578" s="69">
        <v>28</v>
      </c>
      <c r="D578" s="69">
        <v>419</v>
      </c>
      <c r="E578" s="69">
        <v>54</v>
      </c>
      <c r="F578" s="67">
        <v>3</v>
      </c>
      <c r="G578" s="71">
        <v>5.8</v>
      </c>
    </row>
    <row r="579" spans="1:7">
      <c r="A579" s="67" t="s">
        <v>306</v>
      </c>
      <c r="B579" s="70">
        <v>46023</v>
      </c>
      <c r="C579" s="69">
        <v>80</v>
      </c>
      <c r="D579" s="69">
        <v>618</v>
      </c>
      <c r="E579" s="69">
        <v>59</v>
      </c>
      <c r="F579" s="67">
        <v>5</v>
      </c>
      <c r="G579" s="71">
        <v>15</v>
      </c>
    </row>
    <row r="580" spans="1:7">
      <c r="A580" s="67" t="s">
        <v>308</v>
      </c>
      <c r="B580" s="70">
        <v>46023</v>
      </c>
      <c r="C580" s="69">
        <v>120</v>
      </c>
      <c r="D580" s="69">
        <v>1647</v>
      </c>
      <c r="E580" s="69">
        <v>108</v>
      </c>
      <c r="F580" s="67">
        <v>4</v>
      </c>
      <c r="G580" s="71">
        <v>10.5</v>
      </c>
    </row>
    <row r="581" spans="1:7">
      <c r="A581" s="67" t="s">
        <v>310</v>
      </c>
      <c r="B581" s="70">
        <v>46023</v>
      </c>
      <c r="C581" s="69">
        <v>181</v>
      </c>
      <c r="D581" s="69">
        <v>2222</v>
      </c>
      <c r="E581" s="69">
        <v>95</v>
      </c>
      <c r="F581" s="67">
        <v>8</v>
      </c>
      <c r="G581" s="71">
        <v>24</v>
      </c>
    </row>
    <row r="582" spans="1:7">
      <c r="A582" s="67" t="s">
        <v>312</v>
      </c>
      <c r="B582" s="70">
        <v>46023</v>
      </c>
      <c r="C582" s="69">
        <v>140</v>
      </c>
      <c r="D582" s="69">
        <v>2417</v>
      </c>
      <c r="E582" s="69">
        <v>290</v>
      </c>
      <c r="F582" s="67">
        <v>6</v>
      </c>
      <c r="G582" s="71">
        <v>25.1</v>
      </c>
    </row>
    <row r="583" spans="1:7">
      <c r="A583" s="67" t="s">
        <v>314</v>
      </c>
      <c r="B583" s="70">
        <v>46023</v>
      </c>
      <c r="C583" s="69">
        <v>13</v>
      </c>
      <c r="D583" s="69">
        <v>216</v>
      </c>
      <c r="E583" s="69">
        <v>19</v>
      </c>
      <c r="F583" s="67">
        <v>5</v>
      </c>
      <c r="G583" s="71">
        <v>6.8</v>
      </c>
    </row>
    <row r="584" spans="1:7">
      <c r="A584" s="67" t="s">
        <v>316</v>
      </c>
      <c r="B584" s="70">
        <v>46023</v>
      </c>
      <c r="C584" s="69">
        <v>24</v>
      </c>
      <c r="D584" s="69">
        <v>136</v>
      </c>
      <c r="E584" s="69">
        <v>27</v>
      </c>
      <c r="F584" s="67">
        <v>4</v>
      </c>
      <c r="G584" s="71">
        <v>8</v>
      </c>
    </row>
    <row r="585" spans="1:7">
      <c r="A585" s="67" t="s">
        <v>318</v>
      </c>
      <c r="B585" s="70">
        <v>46023</v>
      </c>
      <c r="C585" s="69">
        <v>140</v>
      </c>
      <c r="D585" s="69">
        <v>2322</v>
      </c>
      <c r="E585" s="69">
        <v>236</v>
      </c>
      <c r="F585" s="67">
        <v>7</v>
      </c>
      <c r="G585" s="71">
        <v>29.2</v>
      </c>
    </row>
    <row r="586" spans="1:7">
      <c r="A586" s="67" t="s">
        <v>320</v>
      </c>
      <c r="B586" s="70">
        <v>46023</v>
      </c>
      <c r="C586" s="69">
        <v>114</v>
      </c>
      <c r="D586" s="69">
        <v>1063</v>
      </c>
      <c r="E586" s="69">
        <v>84</v>
      </c>
      <c r="F586" s="67">
        <v>4</v>
      </c>
      <c r="G586" s="71">
        <v>31.5</v>
      </c>
    </row>
    <row r="587" spans="1:7">
      <c r="A587" s="67" t="s">
        <v>322</v>
      </c>
      <c r="B587" s="70">
        <v>46023</v>
      </c>
      <c r="C587" s="69">
        <v>48</v>
      </c>
      <c r="D587" s="69">
        <v>816</v>
      </c>
      <c r="E587" s="69">
        <v>95</v>
      </c>
      <c r="F587" s="67">
        <v>5</v>
      </c>
      <c r="G587" s="71">
        <v>24.9</v>
      </c>
    </row>
    <row r="588" spans="1:7">
      <c r="A588" s="67" t="s">
        <v>324</v>
      </c>
      <c r="B588" s="70">
        <v>46023</v>
      </c>
      <c r="C588" s="69">
        <v>854</v>
      </c>
      <c r="D588" s="69">
        <v>12026</v>
      </c>
      <c r="E588" s="69">
        <v>439</v>
      </c>
      <c r="F588" s="67">
        <v>7</v>
      </c>
      <c r="G588" s="71">
        <v>15.9</v>
      </c>
    </row>
    <row r="589" spans="1:7">
      <c r="A589" s="67" t="s">
        <v>326</v>
      </c>
      <c r="B589" s="70">
        <v>46023</v>
      </c>
      <c r="C589" s="69">
        <v>30</v>
      </c>
      <c r="D589" s="69">
        <v>334</v>
      </c>
      <c r="E589" s="69">
        <v>72</v>
      </c>
      <c r="F589" s="67">
        <v>6</v>
      </c>
      <c r="G589" s="71">
        <v>10</v>
      </c>
    </row>
    <row r="590" spans="1:7">
      <c r="A590" s="67" t="s">
        <v>328</v>
      </c>
      <c r="B590" s="70">
        <v>46023</v>
      </c>
      <c r="C590" s="69">
        <v>137</v>
      </c>
      <c r="D590" s="69">
        <v>1332</v>
      </c>
      <c r="E590" s="69">
        <v>96</v>
      </c>
      <c r="F590" s="67">
        <v>6</v>
      </c>
      <c r="G590" s="71">
        <v>37.1</v>
      </c>
    </row>
    <row r="591" spans="1:7">
      <c r="A591" s="67" t="s">
        <v>330</v>
      </c>
      <c r="B591" s="70">
        <v>46023</v>
      </c>
      <c r="C591" s="69">
        <v>39</v>
      </c>
      <c r="D591" s="69">
        <v>360</v>
      </c>
      <c r="E591" s="69">
        <v>54</v>
      </c>
      <c r="F591" s="67">
        <v>9</v>
      </c>
      <c r="G591" s="71">
        <v>7.3</v>
      </c>
    </row>
    <row r="592" spans="1:7">
      <c r="A592" s="67" t="s">
        <v>332</v>
      </c>
      <c r="B592" s="70">
        <v>46023</v>
      </c>
      <c r="C592" s="69">
        <v>39</v>
      </c>
      <c r="D592" s="69">
        <v>624</v>
      </c>
      <c r="E592" s="69">
        <v>36</v>
      </c>
      <c r="F592" s="67">
        <v>9</v>
      </c>
      <c r="G592" s="71">
        <v>17.2</v>
      </c>
    </row>
    <row r="593" spans="1:7">
      <c r="A593" s="67" t="s">
        <v>334</v>
      </c>
      <c r="B593" s="70">
        <v>46023</v>
      </c>
      <c r="C593" s="69">
        <v>327</v>
      </c>
      <c r="D593" s="69">
        <v>3360</v>
      </c>
      <c r="E593" s="69">
        <v>612</v>
      </c>
      <c r="F593" s="67">
        <v>4</v>
      </c>
      <c r="G593" s="71">
        <v>8.699999999999999</v>
      </c>
    </row>
    <row r="594" spans="1:7">
      <c r="A594" s="67" t="s">
        <v>336</v>
      </c>
      <c r="B594" s="70">
        <v>46023</v>
      </c>
      <c r="C594" s="69">
        <v>760</v>
      </c>
      <c r="D594" s="69">
        <v>6785</v>
      </c>
      <c r="E594" s="69">
        <v>999</v>
      </c>
      <c r="F594" s="67">
        <v>6</v>
      </c>
      <c r="G594" s="71">
        <v>25.7</v>
      </c>
    </row>
    <row r="595" spans="1:7">
      <c r="A595" s="67" t="s">
        <v>338</v>
      </c>
      <c r="B595" s="70">
        <v>46023</v>
      </c>
      <c r="C595" s="69">
        <v>24</v>
      </c>
      <c r="D595" s="69">
        <v>170</v>
      </c>
      <c r="E595" s="69">
        <v>33</v>
      </c>
      <c r="F595" s="67">
        <v>5</v>
      </c>
      <c r="G595" s="71">
        <v>7.3</v>
      </c>
    </row>
    <row r="596" spans="1:7">
      <c r="A596" s="67" t="s">
        <v>340</v>
      </c>
      <c r="B596" s="70">
        <v>46023</v>
      </c>
      <c r="C596" s="69">
        <v>84</v>
      </c>
      <c r="D596" s="69">
        <v>891</v>
      </c>
      <c r="E596" s="69">
        <v>206</v>
      </c>
      <c r="F596" s="67">
        <v>9</v>
      </c>
      <c r="G596" s="71">
        <v>24.9</v>
      </c>
    </row>
    <row r="597" spans="1:7">
      <c r="A597" s="67" t="s">
        <v>342</v>
      </c>
      <c r="B597" s="70">
        <v>46023</v>
      </c>
      <c r="C597" s="69">
        <v>9</v>
      </c>
      <c r="D597" s="69">
        <v>65</v>
      </c>
      <c r="E597" s="69">
        <v>16</v>
      </c>
      <c r="F597" s="67">
        <v>8</v>
      </c>
      <c r="G597" s="71">
        <v>30.9</v>
      </c>
    </row>
    <row r="598" spans="1:7">
      <c r="A598" s="67" t="s">
        <v>344</v>
      </c>
      <c r="B598" s="70">
        <v>46023</v>
      </c>
      <c r="C598" s="69">
        <v>12</v>
      </c>
      <c r="D598" s="69">
        <v>78</v>
      </c>
      <c r="E598" s="69">
        <v>19</v>
      </c>
      <c r="F598" s="67">
        <v>4</v>
      </c>
      <c r="G598" s="71">
        <v>16.4</v>
      </c>
    </row>
    <row r="599" spans="1:7">
      <c r="A599" s="67" t="s">
        <v>346</v>
      </c>
      <c r="B599" s="70">
        <v>46023</v>
      </c>
      <c r="C599" s="69">
        <v>284</v>
      </c>
      <c r="D599" s="69">
        <v>2557</v>
      </c>
      <c r="E599" s="69">
        <v>339</v>
      </c>
      <c r="F599" s="67">
        <v>4</v>
      </c>
      <c r="G599" s="71">
        <v>25.9</v>
      </c>
    </row>
    <row r="600" spans="1:7">
      <c r="A600" s="67" t="s">
        <v>14</v>
      </c>
      <c r="B600" s="70">
        <v>46054</v>
      </c>
      <c r="C600" s="69">
        <v>132</v>
      </c>
      <c r="D600" s="69">
        <v>2067</v>
      </c>
      <c r="E600" s="69">
        <v>135</v>
      </c>
      <c r="F600" s="67">
        <v>2</v>
      </c>
      <c r="G600" s="71">
        <v>27.6</v>
      </c>
    </row>
    <row r="601" spans="1:7">
      <c r="A601" s="67" t="s">
        <v>23</v>
      </c>
      <c r="B601" s="70">
        <v>46054</v>
      </c>
      <c r="C601" s="69">
        <v>56</v>
      </c>
      <c r="D601" s="69">
        <v>381</v>
      </c>
      <c r="E601" s="69">
        <v>88</v>
      </c>
      <c r="F601" s="67">
        <v>7</v>
      </c>
      <c r="G601" s="71">
        <v>31.4</v>
      </c>
    </row>
    <row r="602" spans="1:7">
      <c r="A602" s="67" t="s">
        <v>30</v>
      </c>
      <c r="B602" s="70">
        <v>46054</v>
      </c>
      <c r="C602" s="69">
        <v>215</v>
      </c>
      <c r="D602" s="69">
        <v>2922</v>
      </c>
      <c r="E602" s="69">
        <v>279</v>
      </c>
      <c r="F602" s="67">
        <v>6</v>
      </c>
      <c r="G602" s="71">
        <v>15.2</v>
      </c>
    </row>
    <row r="603" spans="1:7">
      <c r="A603" s="67" t="s">
        <v>35</v>
      </c>
      <c r="B603" s="70">
        <v>46054</v>
      </c>
      <c r="C603" s="69">
        <v>22</v>
      </c>
      <c r="D603" s="69">
        <v>169</v>
      </c>
      <c r="E603" s="69">
        <v>49</v>
      </c>
      <c r="F603" s="67">
        <v>4</v>
      </c>
      <c r="G603" s="71">
        <v>15.5</v>
      </c>
    </row>
    <row r="604" spans="1:7">
      <c r="A604" s="67" t="s">
        <v>41</v>
      </c>
      <c r="B604" s="70">
        <v>46054</v>
      </c>
      <c r="C604" s="69">
        <v>79</v>
      </c>
      <c r="D604" s="69">
        <v>1338</v>
      </c>
      <c r="E604" s="69">
        <v>186</v>
      </c>
      <c r="F604" s="67">
        <v>4</v>
      </c>
      <c r="G604" s="71">
        <v>30.1</v>
      </c>
    </row>
    <row r="605" spans="1:7">
      <c r="A605" s="67" t="s">
        <v>44</v>
      </c>
      <c r="B605" s="70">
        <v>46054</v>
      </c>
      <c r="C605" s="69">
        <v>74</v>
      </c>
      <c r="D605" s="69">
        <v>931</v>
      </c>
      <c r="E605" s="69">
        <v>122</v>
      </c>
      <c r="F605" s="67">
        <v>5</v>
      </c>
      <c r="G605" s="71">
        <v>22.9</v>
      </c>
    </row>
    <row r="606" spans="1:7">
      <c r="A606" s="67" t="s">
        <v>47</v>
      </c>
      <c r="B606" s="70">
        <v>46054</v>
      </c>
      <c r="C606" s="69">
        <v>22</v>
      </c>
      <c r="D606" s="69">
        <v>128</v>
      </c>
      <c r="E606" s="69">
        <v>50</v>
      </c>
      <c r="F606" s="67">
        <v>3</v>
      </c>
      <c r="G606" s="71">
        <v>38.9</v>
      </c>
    </row>
    <row r="607" spans="1:7">
      <c r="A607" s="67" t="s">
        <v>51</v>
      </c>
      <c r="B607" s="70">
        <v>46054</v>
      </c>
      <c r="C607" s="69">
        <v>1015</v>
      </c>
      <c r="D607" s="69">
        <v>17989</v>
      </c>
      <c r="E607" s="69">
        <v>549</v>
      </c>
      <c r="F607" s="67">
        <v>8</v>
      </c>
      <c r="G607" s="71">
        <v>14.9</v>
      </c>
    </row>
    <row r="608" spans="1:7">
      <c r="A608" s="67" t="s">
        <v>54</v>
      </c>
      <c r="B608" s="70">
        <v>46054</v>
      </c>
      <c r="C608" s="69">
        <v>6</v>
      </c>
      <c r="D608" s="69">
        <v>76</v>
      </c>
      <c r="E608" s="69">
        <v>10</v>
      </c>
      <c r="F608" s="67">
        <v>4</v>
      </c>
      <c r="G608" s="71">
        <v>29.9</v>
      </c>
    </row>
    <row r="609" spans="1:7">
      <c r="A609" s="67" t="s">
        <v>57</v>
      </c>
      <c r="B609" s="70">
        <v>46054</v>
      </c>
      <c r="C609" s="69">
        <v>754</v>
      </c>
      <c r="D609" s="69">
        <v>5840</v>
      </c>
      <c r="E609" s="69">
        <v>514</v>
      </c>
      <c r="F609" s="67">
        <v>8</v>
      </c>
      <c r="G609" s="71">
        <v>9.9</v>
      </c>
    </row>
    <row r="610" spans="1:7">
      <c r="A610" s="67" t="s">
        <v>59</v>
      </c>
      <c r="B610" s="70">
        <v>46054</v>
      </c>
      <c r="C610" s="69">
        <v>82</v>
      </c>
      <c r="D610" s="69">
        <v>794</v>
      </c>
      <c r="E610" s="69">
        <v>100</v>
      </c>
      <c r="F610" s="67">
        <v>4</v>
      </c>
      <c r="G610" s="71">
        <v>15.1</v>
      </c>
    </row>
    <row r="611" spans="1:7">
      <c r="A611" s="67" t="s">
        <v>63</v>
      </c>
      <c r="B611" s="70">
        <v>46054</v>
      </c>
      <c r="C611" s="69">
        <v>23</v>
      </c>
      <c r="D611" s="69">
        <v>118</v>
      </c>
      <c r="E611" s="69">
        <v>40</v>
      </c>
      <c r="F611" s="67">
        <v>4</v>
      </c>
      <c r="G611" s="71">
        <v>10</v>
      </c>
    </row>
    <row r="612" spans="1:7">
      <c r="A612" s="67" t="s">
        <v>66</v>
      </c>
      <c r="B612" s="70">
        <v>46054</v>
      </c>
      <c r="C612" s="69">
        <v>17</v>
      </c>
      <c r="D612" s="69">
        <v>300</v>
      </c>
      <c r="E612" s="69">
        <v>10</v>
      </c>
      <c r="F612" s="67">
        <v>5</v>
      </c>
      <c r="G612" s="71">
        <v>9.800000000000001</v>
      </c>
    </row>
    <row r="613" spans="1:7">
      <c r="A613" s="67" t="s">
        <v>69</v>
      </c>
      <c r="B613" s="70">
        <v>46054</v>
      </c>
      <c r="C613" s="69">
        <v>11</v>
      </c>
      <c r="D613" s="69">
        <v>183</v>
      </c>
      <c r="E613" s="69">
        <v>20</v>
      </c>
      <c r="F613" s="67">
        <v>4</v>
      </c>
      <c r="G613" s="71">
        <v>37.6</v>
      </c>
    </row>
    <row r="614" spans="1:7">
      <c r="A614" s="67" t="s">
        <v>71</v>
      </c>
      <c r="B614" s="70">
        <v>46054</v>
      </c>
      <c r="C614" s="69">
        <v>57</v>
      </c>
      <c r="D614" s="69">
        <v>599</v>
      </c>
      <c r="E614" s="69">
        <v>120</v>
      </c>
      <c r="F614" s="67">
        <v>6</v>
      </c>
      <c r="G614" s="71">
        <v>18.5</v>
      </c>
    </row>
    <row r="615" spans="1:7">
      <c r="A615" s="67" t="s">
        <v>75</v>
      </c>
      <c r="B615" s="70">
        <v>46054</v>
      </c>
      <c r="C615" s="69">
        <v>261</v>
      </c>
      <c r="D615" s="69">
        <v>1330</v>
      </c>
      <c r="E615" s="69">
        <v>364</v>
      </c>
      <c r="F615" s="67">
        <v>10</v>
      </c>
      <c r="G615" s="71">
        <v>30.6</v>
      </c>
    </row>
    <row r="616" spans="1:7">
      <c r="A616" s="67" t="s">
        <v>78</v>
      </c>
      <c r="B616" s="70">
        <v>46054</v>
      </c>
      <c r="C616" s="69">
        <v>686</v>
      </c>
      <c r="D616" s="69">
        <v>11693</v>
      </c>
      <c r="E616" s="69">
        <v>1076</v>
      </c>
      <c r="F616" s="67">
        <v>5</v>
      </c>
      <c r="G616" s="71">
        <v>6.2</v>
      </c>
    </row>
    <row r="617" spans="1:7">
      <c r="A617" s="67" t="s">
        <v>81</v>
      </c>
      <c r="B617" s="70">
        <v>46054</v>
      </c>
      <c r="C617" s="69">
        <v>9</v>
      </c>
      <c r="D617" s="69">
        <v>88</v>
      </c>
      <c r="E617" s="69">
        <v>14</v>
      </c>
      <c r="F617" s="67">
        <v>7</v>
      </c>
      <c r="G617" s="71">
        <v>38.7</v>
      </c>
    </row>
    <row r="618" spans="1:7">
      <c r="A618" s="67" t="s">
        <v>83</v>
      </c>
      <c r="B618" s="70">
        <v>46054</v>
      </c>
      <c r="C618" s="69">
        <v>11</v>
      </c>
      <c r="D618" s="69">
        <v>130</v>
      </c>
      <c r="E618" s="69">
        <v>24</v>
      </c>
      <c r="F618" s="67">
        <v>6</v>
      </c>
      <c r="G618" s="71">
        <v>31.3</v>
      </c>
    </row>
    <row r="619" spans="1:7">
      <c r="A619" s="67" t="s">
        <v>85</v>
      </c>
      <c r="B619" s="70">
        <v>46054</v>
      </c>
      <c r="C619" s="69">
        <v>190</v>
      </c>
      <c r="D619" s="69">
        <v>2243</v>
      </c>
      <c r="E619" s="69">
        <v>312</v>
      </c>
      <c r="F619" s="67">
        <v>10</v>
      </c>
      <c r="G619" s="71">
        <v>13.6</v>
      </c>
    </row>
    <row r="620" spans="1:7">
      <c r="A620" s="67" t="s">
        <v>87</v>
      </c>
      <c r="B620" s="70">
        <v>46054</v>
      </c>
      <c r="C620" s="69">
        <v>11</v>
      </c>
      <c r="D620" s="69">
        <v>151</v>
      </c>
      <c r="E620" s="69">
        <v>20</v>
      </c>
      <c r="F620" s="67">
        <v>5</v>
      </c>
      <c r="G620" s="71">
        <v>23.9</v>
      </c>
    </row>
    <row r="621" spans="1:7">
      <c r="A621" s="67" t="s">
        <v>90</v>
      </c>
      <c r="B621" s="70">
        <v>46054</v>
      </c>
      <c r="C621" s="69">
        <v>52</v>
      </c>
      <c r="D621" s="69">
        <v>871</v>
      </c>
      <c r="E621" s="69">
        <v>77</v>
      </c>
      <c r="F621" s="67">
        <v>4</v>
      </c>
      <c r="G621" s="71">
        <v>5.4</v>
      </c>
    </row>
    <row r="622" spans="1:7">
      <c r="A622" s="67" t="s">
        <v>92</v>
      </c>
      <c r="B622" s="70">
        <v>46054</v>
      </c>
      <c r="C622" s="69">
        <v>5</v>
      </c>
      <c r="D622" s="69">
        <v>62</v>
      </c>
      <c r="E622" s="69">
        <v>5</v>
      </c>
      <c r="F622" s="67">
        <v>4</v>
      </c>
      <c r="G622" s="71">
        <v>17.4</v>
      </c>
    </row>
    <row r="623" spans="1:7">
      <c r="A623" s="67" t="s">
        <v>94</v>
      </c>
      <c r="B623" s="70">
        <v>46054</v>
      </c>
      <c r="C623" s="69">
        <v>38</v>
      </c>
      <c r="D623" s="69">
        <v>273</v>
      </c>
      <c r="E623" s="69">
        <v>70</v>
      </c>
      <c r="F623" s="67">
        <v>6</v>
      </c>
      <c r="G623" s="71">
        <v>25.9</v>
      </c>
    </row>
    <row r="624" spans="1:7">
      <c r="A624" s="67" t="s">
        <v>96</v>
      </c>
      <c r="B624" s="70">
        <v>46054</v>
      </c>
      <c r="C624" s="69">
        <v>653</v>
      </c>
      <c r="D624" s="69">
        <v>5476</v>
      </c>
      <c r="E624" s="69">
        <v>1100</v>
      </c>
      <c r="F624" s="67">
        <v>6</v>
      </c>
      <c r="G624" s="71">
        <v>25.2</v>
      </c>
    </row>
    <row r="625" spans="1:7">
      <c r="A625" s="67" t="s">
        <v>98</v>
      </c>
      <c r="B625" s="70">
        <v>46054</v>
      </c>
      <c r="C625" s="69">
        <v>950</v>
      </c>
      <c r="D625" s="69">
        <v>8353</v>
      </c>
      <c r="E625" s="69">
        <v>1826</v>
      </c>
      <c r="F625" s="67">
        <v>7</v>
      </c>
      <c r="G625" s="71">
        <v>6</v>
      </c>
    </row>
    <row r="626" spans="1:7">
      <c r="A626" s="67" t="s">
        <v>100</v>
      </c>
      <c r="B626" s="70">
        <v>46054</v>
      </c>
      <c r="C626" s="69">
        <v>928</v>
      </c>
      <c r="D626" s="69">
        <v>5567</v>
      </c>
      <c r="E626" s="69">
        <v>1879</v>
      </c>
      <c r="F626" s="67">
        <v>7</v>
      </c>
      <c r="G626" s="71">
        <v>13.8</v>
      </c>
    </row>
    <row r="627" spans="1:7">
      <c r="A627" s="67" t="s">
        <v>104</v>
      </c>
      <c r="B627" s="70">
        <v>46054</v>
      </c>
      <c r="C627" s="69">
        <v>17</v>
      </c>
      <c r="D627" s="69">
        <v>142</v>
      </c>
      <c r="E627" s="69">
        <v>33</v>
      </c>
      <c r="F627" s="67">
        <v>3</v>
      </c>
      <c r="G627" s="71">
        <v>26.1</v>
      </c>
    </row>
    <row r="628" spans="1:7">
      <c r="A628" s="67" t="s">
        <v>106</v>
      </c>
      <c r="B628" s="70">
        <v>46054</v>
      </c>
      <c r="C628" s="69">
        <v>196</v>
      </c>
      <c r="D628" s="69">
        <v>2660</v>
      </c>
      <c r="E628" s="69">
        <v>218</v>
      </c>
      <c r="F628" s="67">
        <v>5</v>
      </c>
      <c r="G628" s="71">
        <v>11.1</v>
      </c>
    </row>
    <row r="629" spans="1:7">
      <c r="A629" s="67" t="s">
        <v>108</v>
      </c>
      <c r="B629" s="70">
        <v>46054</v>
      </c>
      <c r="C629" s="69">
        <v>26</v>
      </c>
      <c r="D629" s="69">
        <v>191</v>
      </c>
      <c r="E629" s="69">
        <v>38</v>
      </c>
      <c r="F629" s="67">
        <v>5</v>
      </c>
      <c r="G629" s="71">
        <v>6.2</v>
      </c>
    </row>
    <row r="630" spans="1:7">
      <c r="A630" s="67" t="s">
        <v>110</v>
      </c>
      <c r="B630" s="70">
        <v>46054</v>
      </c>
      <c r="C630" s="69">
        <v>177</v>
      </c>
      <c r="D630" s="69">
        <v>2255</v>
      </c>
      <c r="E630" s="69">
        <v>373</v>
      </c>
      <c r="F630" s="67">
        <v>4</v>
      </c>
      <c r="G630" s="71">
        <v>34.3</v>
      </c>
    </row>
    <row r="631" spans="1:7">
      <c r="A631" s="67" t="s">
        <v>112</v>
      </c>
      <c r="B631" s="70">
        <v>46054</v>
      </c>
      <c r="C631" s="69">
        <v>6</v>
      </c>
      <c r="D631" s="69">
        <v>60</v>
      </c>
      <c r="E631" s="69">
        <v>11</v>
      </c>
      <c r="F631" s="67">
        <v>3</v>
      </c>
      <c r="G631" s="71">
        <v>30.4</v>
      </c>
    </row>
    <row r="632" spans="1:7">
      <c r="A632" s="67" t="s">
        <v>114</v>
      </c>
      <c r="B632" s="70">
        <v>46054</v>
      </c>
      <c r="C632" s="69">
        <v>148</v>
      </c>
      <c r="D632" s="69">
        <v>2360</v>
      </c>
      <c r="E632" s="69">
        <v>62</v>
      </c>
      <c r="F632" s="67">
        <v>9</v>
      </c>
      <c r="G632" s="71">
        <v>14.3</v>
      </c>
    </row>
    <row r="633" spans="1:7">
      <c r="A633" s="67" t="s">
        <v>116</v>
      </c>
      <c r="B633" s="70">
        <v>46054</v>
      </c>
      <c r="C633" s="69">
        <v>14</v>
      </c>
      <c r="D633" s="69">
        <v>154</v>
      </c>
      <c r="E633" s="69">
        <v>19</v>
      </c>
      <c r="F633" s="67">
        <v>5</v>
      </c>
      <c r="G633" s="71">
        <v>21.7</v>
      </c>
    </row>
    <row r="634" spans="1:7">
      <c r="A634" s="67" t="s">
        <v>118</v>
      </c>
      <c r="B634" s="70">
        <v>46054</v>
      </c>
      <c r="C634" s="69">
        <v>49</v>
      </c>
      <c r="D634" s="69">
        <v>394</v>
      </c>
      <c r="E634" s="69">
        <v>88</v>
      </c>
      <c r="F634" s="67">
        <v>8</v>
      </c>
      <c r="G634" s="71">
        <v>18.7</v>
      </c>
    </row>
    <row r="635" spans="1:7">
      <c r="A635" s="67" t="s">
        <v>120</v>
      </c>
      <c r="B635" s="70">
        <v>46054</v>
      </c>
      <c r="C635" s="69">
        <v>44</v>
      </c>
      <c r="D635" s="69">
        <v>469</v>
      </c>
      <c r="E635" s="69">
        <v>41</v>
      </c>
      <c r="F635" s="67">
        <v>4</v>
      </c>
      <c r="G635" s="71">
        <v>32.9</v>
      </c>
    </row>
    <row r="636" spans="1:7">
      <c r="A636" s="67" t="s">
        <v>122</v>
      </c>
      <c r="B636" s="70">
        <v>46054</v>
      </c>
      <c r="C636" s="69">
        <v>448</v>
      </c>
      <c r="D636" s="69">
        <v>5328</v>
      </c>
      <c r="E636" s="69">
        <v>1077</v>
      </c>
      <c r="F636" s="67">
        <v>5</v>
      </c>
      <c r="G636" s="71">
        <v>8.4</v>
      </c>
    </row>
    <row r="637" spans="1:7">
      <c r="A637" s="67" t="s">
        <v>124</v>
      </c>
      <c r="B637" s="70">
        <v>46054</v>
      </c>
      <c r="C637" s="69">
        <v>148</v>
      </c>
      <c r="D637" s="69">
        <v>2364</v>
      </c>
      <c r="E637" s="69">
        <v>243</v>
      </c>
      <c r="F637" s="67">
        <v>5</v>
      </c>
      <c r="G637" s="71">
        <v>27.8</v>
      </c>
    </row>
    <row r="638" spans="1:7">
      <c r="A638" s="67" t="s">
        <v>126</v>
      </c>
      <c r="B638" s="70">
        <v>46054</v>
      </c>
      <c r="C638" s="69">
        <v>26</v>
      </c>
      <c r="D638" s="69">
        <v>401</v>
      </c>
      <c r="E638" s="69">
        <v>22</v>
      </c>
      <c r="F638" s="67">
        <v>5</v>
      </c>
      <c r="G638" s="71">
        <v>25.4</v>
      </c>
    </row>
    <row r="639" spans="1:7">
      <c r="A639" s="67" t="s">
        <v>128</v>
      </c>
      <c r="B639" s="70">
        <v>46054</v>
      </c>
      <c r="C639" s="69">
        <v>156</v>
      </c>
      <c r="D639" s="69">
        <v>1270</v>
      </c>
      <c r="E639" s="69">
        <v>277</v>
      </c>
      <c r="F639" s="67">
        <v>7</v>
      </c>
      <c r="G639" s="71">
        <v>32</v>
      </c>
    </row>
    <row r="640" spans="1:7">
      <c r="A640" s="67" t="s">
        <v>130</v>
      </c>
      <c r="B640" s="70">
        <v>46054</v>
      </c>
      <c r="C640" s="69">
        <v>87</v>
      </c>
      <c r="D640" s="69">
        <v>1558</v>
      </c>
      <c r="E640" s="69">
        <v>86</v>
      </c>
      <c r="F640" s="67">
        <v>8</v>
      </c>
      <c r="G640" s="71">
        <v>5.4</v>
      </c>
    </row>
    <row r="641" spans="1:7">
      <c r="A641" s="67" t="s">
        <v>132</v>
      </c>
      <c r="B641" s="70">
        <v>46054</v>
      </c>
      <c r="C641" s="69">
        <v>47</v>
      </c>
      <c r="D641" s="69">
        <v>486</v>
      </c>
      <c r="E641" s="69">
        <v>68</v>
      </c>
      <c r="F641" s="67">
        <v>5</v>
      </c>
      <c r="G641" s="71">
        <v>29</v>
      </c>
    </row>
    <row r="642" spans="1:7">
      <c r="A642" s="67" t="s">
        <v>134</v>
      </c>
      <c r="B642" s="70">
        <v>46054</v>
      </c>
      <c r="C642" s="69">
        <v>193</v>
      </c>
      <c r="D642" s="69">
        <v>1597</v>
      </c>
      <c r="E642" s="69">
        <v>72</v>
      </c>
      <c r="F642" s="67">
        <v>8</v>
      </c>
      <c r="G642" s="71">
        <v>26.7</v>
      </c>
    </row>
    <row r="643" spans="1:7">
      <c r="A643" s="67" t="s">
        <v>136</v>
      </c>
      <c r="B643" s="70">
        <v>46054</v>
      </c>
      <c r="C643" s="69">
        <v>159</v>
      </c>
      <c r="D643" s="69">
        <v>2643</v>
      </c>
      <c r="E643" s="69">
        <v>124</v>
      </c>
      <c r="F643" s="67">
        <v>5</v>
      </c>
      <c r="G643" s="71">
        <v>26</v>
      </c>
    </row>
    <row r="644" spans="1:7">
      <c r="A644" s="67" t="s">
        <v>138</v>
      </c>
      <c r="B644" s="70">
        <v>46054</v>
      </c>
      <c r="C644" s="69">
        <v>40</v>
      </c>
      <c r="D644" s="69">
        <v>245</v>
      </c>
      <c r="E644" s="69">
        <v>65</v>
      </c>
      <c r="F644" s="67">
        <v>7</v>
      </c>
      <c r="G644" s="71">
        <v>18.2</v>
      </c>
    </row>
    <row r="645" spans="1:7">
      <c r="A645" s="67" t="s">
        <v>140</v>
      </c>
      <c r="B645" s="70">
        <v>46054</v>
      </c>
      <c r="C645" s="69">
        <v>132</v>
      </c>
      <c r="D645" s="69">
        <v>2038</v>
      </c>
      <c r="E645" s="69">
        <v>93</v>
      </c>
      <c r="F645" s="67">
        <v>4</v>
      </c>
      <c r="G645" s="71">
        <v>8.9</v>
      </c>
    </row>
    <row r="646" spans="1:7">
      <c r="A646" s="67" t="s">
        <v>142</v>
      </c>
      <c r="B646" s="70">
        <v>46054</v>
      </c>
      <c r="C646" s="69">
        <v>229</v>
      </c>
      <c r="D646" s="69">
        <v>3111</v>
      </c>
      <c r="E646" s="69">
        <v>107</v>
      </c>
      <c r="F646" s="67">
        <v>8</v>
      </c>
      <c r="G646" s="71">
        <v>20.9</v>
      </c>
    </row>
    <row r="647" spans="1:7">
      <c r="A647" s="67" t="s">
        <v>144</v>
      </c>
      <c r="B647" s="70">
        <v>46054</v>
      </c>
      <c r="C647" s="69">
        <v>25</v>
      </c>
      <c r="D647" s="69">
        <v>350</v>
      </c>
      <c r="E647" s="69">
        <v>44</v>
      </c>
      <c r="F647" s="67">
        <v>5</v>
      </c>
      <c r="G647" s="71">
        <v>32</v>
      </c>
    </row>
    <row r="648" spans="1:7">
      <c r="A648" s="67" t="s">
        <v>146</v>
      </c>
      <c r="B648" s="70">
        <v>46054</v>
      </c>
      <c r="C648" s="69">
        <v>1126</v>
      </c>
      <c r="D648" s="69">
        <v>9689</v>
      </c>
      <c r="E648" s="69">
        <v>492</v>
      </c>
      <c r="F648" s="67">
        <v>10</v>
      </c>
      <c r="G648" s="71">
        <v>18.6</v>
      </c>
    </row>
    <row r="649" spans="1:7">
      <c r="A649" s="67" t="s">
        <v>148</v>
      </c>
      <c r="B649" s="70">
        <v>46054</v>
      </c>
      <c r="C649" s="69">
        <v>176</v>
      </c>
      <c r="D649" s="69">
        <v>2740</v>
      </c>
      <c r="E649" s="69">
        <v>122</v>
      </c>
      <c r="F649" s="67">
        <v>8</v>
      </c>
      <c r="G649" s="71">
        <v>7.4</v>
      </c>
    </row>
    <row r="650" spans="1:7">
      <c r="A650" s="67" t="s">
        <v>150</v>
      </c>
      <c r="B650" s="70">
        <v>46054</v>
      </c>
      <c r="C650" s="69">
        <v>25</v>
      </c>
      <c r="D650" s="69">
        <v>253</v>
      </c>
      <c r="E650" s="69">
        <v>43</v>
      </c>
      <c r="F650" s="67">
        <v>3</v>
      </c>
      <c r="G650" s="71">
        <v>8.800000000000001</v>
      </c>
    </row>
    <row r="651" spans="1:7">
      <c r="A651" s="67" t="s">
        <v>152</v>
      </c>
      <c r="B651" s="70">
        <v>46054</v>
      </c>
      <c r="C651" s="69">
        <v>18</v>
      </c>
      <c r="D651" s="69">
        <v>234</v>
      </c>
      <c r="E651" s="69">
        <v>10</v>
      </c>
      <c r="F651" s="67">
        <v>4</v>
      </c>
      <c r="G651" s="71">
        <v>20.5</v>
      </c>
    </row>
    <row r="652" spans="1:7">
      <c r="A652" s="67" t="s">
        <v>154</v>
      </c>
      <c r="B652" s="70">
        <v>46054</v>
      </c>
      <c r="C652" s="69">
        <v>65</v>
      </c>
      <c r="D652" s="69">
        <v>384</v>
      </c>
      <c r="E652" s="69">
        <v>124</v>
      </c>
      <c r="F652" s="67">
        <v>2</v>
      </c>
      <c r="G652" s="71">
        <v>32.2</v>
      </c>
    </row>
    <row r="653" spans="1:7">
      <c r="A653" s="67" t="s">
        <v>156</v>
      </c>
      <c r="B653" s="70">
        <v>46054</v>
      </c>
      <c r="C653" s="69">
        <v>25</v>
      </c>
      <c r="D653" s="69">
        <v>337</v>
      </c>
      <c r="E653" s="69">
        <v>8</v>
      </c>
      <c r="F653" s="67">
        <v>7</v>
      </c>
      <c r="G653" s="71">
        <v>6.3</v>
      </c>
    </row>
    <row r="654" spans="1:7">
      <c r="A654" s="67" t="s">
        <v>158</v>
      </c>
      <c r="B654" s="70">
        <v>46054</v>
      </c>
      <c r="C654" s="69">
        <v>71</v>
      </c>
      <c r="D654" s="69">
        <v>659</v>
      </c>
      <c r="E654" s="69">
        <v>82</v>
      </c>
      <c r="F654" s="67">
        <v>4</v>
      </c>
      <c r="G654" s="71">
        <v>5.1</v>
      </c>
    </row>
    <row r="655" spans="1:7">
      <c r="A655" s="67" t="s">
        <v>160</v>
      </c>
      <c r="B655" s="70">
        <v>46054</v>
      </c>
      <c r="C655" s="69">
        <v>192</v>
      </c>
      <c r="D655" s="69">
        <v>2153</v>
      </c>
      <c r="E655" s="69">
        <v>228</v>
      </c>
      <c r="F655" s="67">
        <v>5</v>
      </c>
      <c r="G655" s="71">
        <v>30.5</v>
      </c>
    </row>
    <row r="656" spans="1:7">
      <c r="A656" s="67" t="s">
        <v>162</v>
      </c>
      <c r="B656" s="70">
        <v>46054</v>
      </c>
      <c r="C656" s="69">
        <v>49</v>
      </c>
      <c r="D656" s="69">
        <v>389</v>
      </c>
      <c r="E656" s="69">
        <v>56</v>
      </c>
      <c r="F656" s="67">
        <v>8</v>
      </c>
      <c r="G656" s="71">
        <v>29.1</v>
      </c>
    </row>
    <row r="657" spans="1:7">
      <c r="A657" s="67" t="s">
        <v>164</v>
      </c>
      <c r="B657" s="70">
        <v>46054</v>
      </c>
      <c r="C657" s="69">
        <v>84</v>
      </c>
      <c r="D657" s="69">
        <v>1005</v>
      </c>
      <c r="E657" s="69">
        <v>208</v>
      </c>
      <c r="F657" s="67">
        <v>6</v>
      </c>
      <c r="G657" s="71">
        <v>16.7</v>
      </c>
    </row>
    <row r="658" spans="1:7">
      <c r="A658" s="67" t="s">
        <v>166</v>
      </c>
      <c r="B658" s="70">
        <v>46054</v>
      </c>
      <c r="C658" s="69">
        <v>118</v>
      </c>
      <c r="D658" s="69">
        <v>2119</v>
      </c>
      <c r="E658" s="69">
        <v>203</v>
      </c>
      <c r="F658" s="67">
        <v>6</v>
      </c>
      <c r="G658" s="71">
        <v>17.8</v>
      </c>
    </row>
    <row r="659" spans="1:7">
      <c r="A659" s="67" t="s">
        <v>168</v>
      </c>
      <c r="B659" s="70">
        <v>46054</v>
      </c>
      <c r="C659" s="69">
        <v>155</v>
      </c>
      <c r="D659" s="69">
        <v>2470</v>
      </c>
      <c r="E659" s="69">
        <v>306</v>
      </c>
      <c r="F659" s="67">
        <v>7</v>
      </c>
      <c r="G659" s="71">
        <v>15.1</v>
      </c>
    </row>
    <row r="660" spans="1:7">
      <c r="A660" s="67" t="s">
        <v>170</v>
      </c>
      <c r="B660" s="70">
        <v>46054</v>
      </c>
      <c r="C660" s="69">
        <v>24</v>
      </c>
      <c r="D660" s="69">
        <v>422</v>
      </c>
      <c r="E660" s="69">
        <v>42</v>
      </c>
      <c r="F660" s="67">
        <v>8</v>
      </c>
      <c r="G660" s="71">
        <v>15.5</v>
      </c>
    </row>
    <row r="661" spans="1:7">
      <c r="A661" s="67" t="s">
        <v>172</v>
      </c>
      <c r="B661" s="70">
        <v>46054</v>
      </c>
      <c r="C661" s="69">
        <v>26</v>
      </c>
      <c r="D661" s="69">
        <v>363</v>
      </c>
      <c r="E661" s="69">
        <v>36</v>
      </c>
      <c r="F661" s="67">
        <v>7</v>
      </c>
      <c r="G661" s="71">
        <v>36</v>
      </c>
    </row>
    <row r="662" spans="1:7">
      <c r="A662" s="67" t="s">
        <v>174</v>
      </c>
      <c r="B662" s="70">
        <v>46054</v>
      </c>
      <c r="C662" s="69">
        <v>123</v>
      </c>
      <c r="D662" s="69">
        <v>672</v>
      </c>
      <c r="E662" s="69">
        <v>44</v>
      </c>
      <c r="F662" s="67">
        <v>6</v>
      </c>
      <c r="G662" s="71">
        <v>39.9</v>
      </c>
    </row>
    <row r="663" spans="1:7">
      <c r="A663" s="67" t="s">
        <v>176</v>
      </c>
      <c r="B663" s="70">
        <v>46054</v>
      </c>
      <c r="C663" s="69">
        <v>25</v>
      </c>
      <c r="D663" s="69">
        <v>383</v>
      </c>
      <c r="E663" s="69">
        <v>43</v>
      </c>
      <c r="F663" s="67">
        <v>6</v>
      </c>
      <c r="G663" s="71">
        <v>22.5</v>
      </c>
    </row>
    <row r="664" spans="1:7">
      <c r="A664" s="67" t="s">
        <v>178</v>
      </c>
      <c r="B664" s="70">
        <v>46054</v>
      </c>
      <c r="C664" s="69">
        <v>13</v>
      </c>
      <c r="D664" s="69">
        <v>228</v>
      </c>
      <c r="E664" s="69">
        <v>4</v>
      </c>
      <c r="F664" s="67">
        <v>5</v>
      </c>
      <c r="G664" s="71">
        <v>16.9</v>
      </c>
    </row>
    <row r="665" spans="1:7">
      <c r="A665" s="67" t="s">
        <v>180</v>
      </c>
      <c r="B665" s="70">
        <v>46054</v>
      </c>
      <c r="C665" s="69">
        <v>983</v>
      </c>
      <c r="D665" s="69">
        <v>10097</v>
      </c>
      <c r="E665" s="69">
        <v>753</v>
      </c>
      <c r="F665" s="67">
        <v>9</v>
      </c>
      <c r="G665" s="71">
        <v>27.9</v>
      </c>
    </row>
    <row r="666" spans="1:7">
      <c r="A666" s="67" t="s">
        <v>182</v>
      </c>
      <c r="B666" s="70">
        <v>46054</v>
      </c>
      <c r="C666" s="69">
        <v>12</v>
      </c>
      <c r="D666" s="69">
        <v>196</v>
      </c>
      <c r="E666" s="69">
        <v>18</v>
      </c>
      <c r="F666" s="67">
        <v>5</v>
      </c>
      <c r="G666" s="71">
        <v>30.9</v>
      </c>
    </row>
    <row r="667" spans="1:7">
      <c r="A667" s="67" t="s">
        <v>184</v>
      </c>
      <c r="B667" s="70">
        <v>46054</v>
      </c>
      <c r="C667" s="69">
        <v>118</v>
      </c>
      <c r="D667" s="69">
        <v>1718</v>
      </c>
      <c r="E667" s="69">
        <v>162</v>
      </c>
      <c r="F667" s="67">
        <v>6</v>
      </c>
      <c r="G667" s="71">
        <v>5.7</v>
      </c>
    </row>
    <row r="668" spans="1:7">
      <c r="A668" s="67" t="s">
        <v>186</v>
      </c>
      <c r="B668" s="70">
        <v>46054</v>
      </c>
      <c r="C668" s="69">
        <v>122</v>
      </c>
      <c r="D668" s="69">
        <v>995</v>
      </c>
      <c r="E668" s="69">
        <v>211</v>
      </c>
      <c r="F668" s="67">
        <v>6</v>
      </c>
      <c r="G668" s="71">
        <v>5.5</v>
      </c>
    </row>
    <row r="669" spans="1:7">
      <c r="A669" s="67" t="s">
        <v>188</v>
      </c>
      <c r="B669" s="70">
        <v>46054</v>
      </c>
      <c r="C669" s="69">
        <v>16</v>
      </c>
      <c r="D669" s="69">
        <v>251</v>
      </c>
      <c r="E669" s="69">
        <v>8</v>
      </c>
      <c r="F669" s="67">
        <v>2</v>
      </c>
      <c r="G669" s="71">
        <v>26.4</v>
      </c>
    </row>
    <row r="670" spans="1:7">
      <c r="A670" s="67" t="s">
        <v>190</v>
      </c>
      <c r="B670" s="70">
        <v>46054</v>
      </c>
      <c r="C670" s="69">
        <v>28</v>
      </c>
      <c r="D670" s="69">
        <v>438</v>
      </c>
      <c r="E670" s="69">
        <v>15</v>
      </c>
      <c r="F670" s="67">
        <v>4</v>
      </c>
      <c r="G670" s="71">
        <v>25.8</v>
      </c>
    </row>
    <row r="671" spans="1:7">
      <c r="A671" s="67" t="s">
        <v>192</v>
      </c>
      <c r="B671" s="70">
        <v>46054</v>
      </c>
      <c r="C671" s="69">
        <v>115</v>
      </c>
      <c r="D671" s="69">
        <v>878</v>
      </c>
      <c r="E671" s="69">
        <v>120</v>
      </c>
      <c r="F671" s="67">
        <v>4</v>
      </c>
      <c r="G671" s="71">
        <v>34.3</v>
      </c>
    </row>
    <row r="672" spans="1:7">
      <c r="A672" s="67" t="s">
        <v>194</v>
      </c>
      <c r="B672" s="70">
        <v>46054</v>
      </c>
      <c r="C672" s="69">
        <v>36</v>
      </c>
      <c r="D672" s="69">
        <v>237</v>
      </c>
      <c r="E672" s="69">
        <v>65</v>
      </c>
      <c r="F672" s="67">
        <v>1</v>
      </c>
      <c r="G672" s="71">
        <v>24.1</v>
      </c>
    </row>
    <row r="673" spans="1:7">
      <c r="A673" s="67" t="s">
        <v>198</v>
      </c>
      <c r="B673" s="70">
        <v>46054</v>
      </c>
      <c r="C673" s="69">
        <v>473</v>
      </c>
      <c r="D673" s="69">
        <v>3676</v>
      </c>
      <c r="E673" s="69">
        <v>189</v>
      </c>
      <c r="F673" s="67">
        <v>10</v>
      </c>
      <c r="G673" s="71">
        <v>11.1</v>
      </c>
    </row>
    <row r="674" spans="1:7">
      <c r="A674" s="67" t="s">
        <v>200</v>
      </c>
      <c r="B674" s="70">
        <v>46054</v>
      </c>
      <c r="C674" s="69">
        <v>109</v>
      </c>
      <c r="D674" s="69">
        <v>1618</v>
      </c>
      <c r="E674" s="69">
        <v>73</v>
      </c>
      <c r="F674" s="67">
        <v>4</v>
      </c>
      <c r="G674" s="71">
        <v>17.9</v>
      </c>
    </row>
    <row r="675" spans="1:7">
      <c r="A675" s="67" t="s">
        <v>202</v>
      </c>
      <c r="B675" s="70">
        <v>46054</v>
      </c>
      <c r="C675" s="69">
        <v>139</v>
      </c>
      <c r="D675" s="69">
        <v>1747</v>
      </c>
      <c r="E675" s="69">
        <v>82</v>
      </c>
      <c r="F675" s="67">
        <v>8</v>
      </c>
      <c r="G675" s="71">
        <v>32.7</v>
      </c>
    </row>
    <row r="676" spans="1:7">
      <c r="A676" s="67" t="s">
        <v>204</v>
      </c>
      <c r="B676" s="70">
        <v>46054</v>
      </c>
      <c r="C676" s="69">
        <v>13</v>
      </c>
      <c r="D676" s="69">
        <v>92</v>
      </c>
      <c r="E676" s="69">
        <v>29</v>
      </c>
      <c r="F676" s="67">
        <v>6</v>
      </c>
      <c r="G676" s="71">
        <v>7.8</v>
      </c>
    </row>
    <row r="677" spans="1:7">
      <c r="A677" s="67" t="s">
        <v>206</v>
      </c>
      <c r="B677" s="70">
        <v>46054</v>
      </c>
      <c r="C677" s="69">
        <v>695</v>
      </c>
      <c r="D677" s="69">
        <v>9860</v>
      </c>
      <c r="E677" s="69">
        <v>1116</v>
      </c>
      <c r="F677" s="67">
        <v>5</v>
      </c>
      <c r="G677" s="71">
        <v>14.9</v>
      </c>
    </row>
    <row r="678" spans="1:7">
      <c r="A678" s="67" t="s">
        <v>208</v>
      </c>
      <c r="B678" s="70">
        <v>46054</v>
      </c>
      <c r="C678" s="69">
        <v>12</v>
      </c>
      <c r="D678" s="69">
        <v>134</v>
      </c>
      <c r="E678" s="69">
        <v>7</v>
      </c>
      <c r="F678" s="67">
        <v>7</v>
      </c>
      <c r="G678" s="71">
        <v>10</v>
      </c>
    </row>
    <row r="679" spans="1:7">
      <c r="A679" s="67" t="s">
        <v>210</v>
      </c>
      <c r="B679" s="70">
        <v>46054</v>
      </c>
      <c r="C679" s="69">
        <v>126</v>
      </c>
      <c r="D679" s="69">
        <v>1022</v>
      </c>
      <c r="E679" s="69">
        <v>86</v>
      </c>
      <c r="F679" s="67">
        <v>5</v>
      </c>
      <c r="G679" s="71">
        <v>29.2</v>
      </c>
    </row>
    <row r="680" spans="1:7">
      <c r="A680" s="67" t="s">
        <v>212</v>
      </c>
      <c r="B680" s="70">
        <v>46054</v>
      </c>
      <c r="C680" s="69">
        <v>23</v>
      </c>
      <c r="D680" s="69">
        <v>298</v>
      </c>
      <c r="E680" s="69">
        <v>11</v>
      </c>
      <c r="F680" s="67">
        <v>6</v>
      </c>
      <c r="G680" s="71">
        <v>33.9</v>
      </c>
    </row>
    <row r="681" spans="1:7">
      <c r="A681" s="67" t="s">
        <v>214</v>
      </c>
      <c r="B681" s="70">
        <v>46054</v>
      </c>
      <c r="C681" s="69">
        <v>45</v>
      </c>
      <c r="D681" s="69">
        <v>551</v>
      </c>
      <c r="E681" s="69">
        <v>32</v>
      </c>
      <c r="F681" s="67">
        <v>6</v>
      </c>
      <c r="G681" s="71">
        <v>39.5</v>
      </c>
    </row>
    <row r="682" spans="1:7">
      <c r="A682" s="67" t="s">
        <v>216</v>
      </c>
      <c r="B682" s="70">
        <v>46054</v>
      </c>
      <c r="C682" s="69">
        <v>246</v>
      </c>
      <c r="D682" s="69">
        <v>3989</v>
      </c>
      <c r="E682" s="69">
        <v>608</v>
      </c>
      <c r="F682" s="67">
        <v>8</v>
      </c>
      <c r="G682" s="71">
        <v>22.8</v>
      </c>
    </row>
    <row r="683" spans="1:7">
      <c r="A683" s="67" t="s">
        <v>218</v>
      </c>
      <c r="B683" s="70">
        <v>46054</v>
      </c>
      <c r="C683" s="69">
        <v>11</v>
      </c>
      <c r="D683" s="69">
        <v>85</v>
      </c>
      <c r="E683" s="69">
        <v>5</v>
      </c>
      <c r="F683" s="67">
        <v>6</v>
      </c>
      <c r="G683" s="71">
        <v>8.9</v>
      </c>
    </row>
    <row r="684" spans="1:7">
      <c r="A684" s="67" t="s">
        <v>220</v>
      </c>
      <c r="B684" s="70">
        <v>46054</v>
      </c>
      <c r="C684" s="69">
        <v>68</v>
      </c>
      <c r="D684" s="69">
        <v>1146</v>
      </c>
      <c r="E684" s="69">
        <v>95</v>
      </c>
      <c r="F684" s="67">
        <v>8</v>
      </c>
      <c r="G684" s="71">
        <v>10.6</v>
      </c>
    </row>
    <row r="685" spans="1:7">
      <c r="A685" s="67" t="s">
        <v>222</v>
      </c>
      <c r="B685" s="70">
        <v>46054</v>
      </c>
      <c r="C685" s="69">
        <v>30</v>
      </c>
      <c r="D685" s="69">
        <v>292</v>
      </c>
      <c r="E685" s="69">
        <v>23</v>
      </c>
      <c r="F685" s="67">
        <v>5</v>
      </c>
      <c r="G685" s="71">
        <v>13.8</v>
      </c>
    </row>
    <row r="686" spans="1:7">
      <c r="A686" s="67" t="s">
        <v>224</v>
      </c>
      <c r="B686" s="70">
        <v>46054</v>
      </c>
      <c r="C686" s="69">
        <v>8</v>
      </c>
      <c r="D686" s="69">
        <v>87</v>
      </c>
      <c r="E686" s="69">
        <v>4</v>
      </c>
      <c r="F686" s="67">
        <v>5</v>
      </c>
      <c r="G686" s="71">
        <v>6.8</v>
      </c>
    </row>
    <row r="687" spans="1:7">
      <c r="A687" s="67" t="s">
        <v>226</v>
      </c>
      <c r="B687" s="70">
        <v>46054</v>
      </c>
      <c r="C687" s="69">
        <v>10</v>
      </c>
      <c r="D687" s="69">
        <v>54</v>
      </c>
      <c r="E687" s="69">
        <v>14</v>
      </c>
      <c r="F687" s="67">
        <v>4</v>
      </c>
      <c r="G687" s="71">
        <v>7.5</v>
      </c>
    </row>
    <row r="688" spans="1:7">
      <c r="A688" s="67" t="s">
        <v>228</v>
      </c>
      <c r="B688" s="70">
        <v>46054</v>
      </c>
      <c r="C688" s="69">
        <v>12</v>
      </c>
      <c r="D688" s="69">
        <v>150</v>
      </c>
      <c r="E688" s="69">
        <v>15</v>
      </c>
      <c r="F688" s="67">
        <v>7</v>
      </c>
      <c r="G688" s="71">
        <v>31.1</v>
      </c>
    </row>
    <row r="689" spans="1:7">
      <c r="A689" s="67" t="s">
        <v>230</v>
      </c>
      <c r="B689" s="70">
        <v>46054</v>
      </c>
      <c r="C689" s="69">
        <v>200</v>
      </c>
      <c r="D689" s="69">
        <v>1286</v>
      </c>
      <c r="E689" s="69">
        <v>160</v>
      </c>
      <c r="F689" s="67">
        <v>8</v>
      </c>
      <c r="G689" s="71">
        <v>13.3</v>
      </c>
    </row>
    <row r="690" spans="1:7">
      <c r="A690" s="67" t="s">
        <v>232</v>
      </c>
      <c r="B690" s="70">
        <v>46054</v>
      </c>
      <c r="C690" s="69">
        <v>145</v>
      </c>
      <c r="D690" s="69">
        <v>2405</v>
      </c>
      <c r="E690" s="69">
        <v>67</v>
      </c>
      <c r="F690" s="67">
        <v>8</v>
      </c>
      <c r="G690" s="71">
        <v>25.5</v>
      </c>
    </row>
    <row r="691" spans="1:7">
      <c r="A691" s="67" t="s">
        <v>234</v>
      </c>
      <c r="B691" s="70">
        <v>46054</v>
      </c>
      <c r="C691" s="69">
        <v>24</v>
      </c>
      <c r="D691" s="69">
        <v>187</v>
      </c>
      <c r="E691" s="69">
        <v>39</v>
      </c>
      <c r="F691" s="67">
        <v>7</v>
      </c>
      <c r="G691" s="71">
        <v>11.2</v>
      </c>
    </row>
    <row r="692" spans="1:7">
      <c r="A692" s="67" t="s">
        <v>236</v>
      </c>
      <c r="B692" s="70">
        <v>46054</v>
      </c>
      <c r="C692" s="69">
        <v>74</v>
      </c>
      <c r="D692" s="69">
        <v>557</v>
      </c>
      <c r="E692" s="69">
        <v>81</v>
      </c>
      <c r="F692" s="67">
        <v>4</v>
      </c>
      <c r="G692" s="71">
        <v>14.4</v>
      </c>
    </row>
    <row r="693" spans="1:7">
      <c r="A693" s="67" t="s">
        <v>238</v>
      </c>
      <c r="B693" s="70">
        <v>46054</v>
      </c>
      <c r="C693" s="69">
        <v>24</v>
      </c>
      <c r="D693" s="69">
        <v>297</v>
      </c>
      <c r="E693" s="69">
        <v>22</v>
      </c>
      <c r="F693" s="67">
        <v>8</v>
      </c>
      <c r="G693" s="71">
        <v>8.9</v>
      </c>
    </row>
    <row r="694" spans="1:7">
      <c r="A694" s="67" t="s">
        <v>240</v>
      </c>
      <c r="B694" s="70">
        <v>46054</v>
      </c>
      <c r="C694" s="69">
        <v>22</v>
      </c>
      <c r="D694" s="69">
        <v>327</v>
      </c>
      <c r="E694" s="69">
        <v>17</v>
      </c>
      <c r="F694" s="67">
        <v>7</v>
      </c>
      <c r="G694" s="71">
        <v>15.3</v>
      </c>
    </row>
    <row r="695" spans="1:7">
      <c r="A695" s="67" t="s">
        <v>242</v>
      </c>
      <c r="B695" s="70">
        <v>46054</v>
      </c>
      <c r="C695" s="69">
        <v>707</v>
      </c>
      <c r="D695" s="69">
        <v>12292</v>
      </c>
      <c r="E695" s="69">
        <v>1621</v>
      </c>
      <c r="F695" s="67">
        <v>9</v>
      </c>
      <c r="G695" s="71">
        <v>25.2</v>
      </c>
    </row>
    <row r="696" spans="1:7">
      <c r="A696" s="67" t="s">
        <v>244</v>
      </c>
      <c r="B696" s="70">
        <v>46054</v>
      </c>
      <c r="C696" s="69">
        <v>31</v>
      </c>
      <c r="D696" s="69">
        <v>321</v>
      </c>
      <c r="E696" s="69">
        <v>45</v>
      </c>
      <c r="F696" s="67">
        <v>6</v>
      </c>
      <c r="G696" s="71">
        <v>35.2</v>
      </c>
    </row>
    <row r="697" spans="1:7">
      <c r="A697" s="67" t="s">
        <v>246</v>
      </c>
      <c r="B697" s="70">
        <v>46054</v>
      </c>
      <c r="C697" s="69">
        <v>51</v>
      </c>
      <c r="D697" s="69">
        <v>562</v>
      </c>
      <c r="E697" s="69">
        <v>17</v>
      </c>
      <c r="F697" s="67">
        <v>9</v>
      </c>
      <c r="G697" s="71">
        <v>20</v>
      </c>
    </row>
    <row r="698" spans="1:7">
      <c r="A698" s="67" t="s">
        <v>248</v>
      </c>
      <c r="B698" s="70">
        <v>46054</v>
      </c>
      <c r="C698" s="69">
        <v>30</v>
      </c>
      <c r="D698" s="69">
        <v>319</v>
      </c>
      <c r="E698" s="69">
        <v>24</v>
      </c>
      <c r="F698" s="67">
        <v>6</v>
      </c>
      <c r="G698" s="71">
        <v>37.5</v>
      </c>
    </row>
    <row r="699" spans="1:7">
      <c r="A699" s="67" t="s">
        <v>250</v>
      </c>
      <c r="B699" s="70">
        <v>46054</v>
      </c>
      <c r="C699" s="69">
        <v>168</v>
      </c>
      <c r="D699" s="69">
        <v>2802</v>
      </c>
      <c r="E699" s="69">
        <v>205</v>
      </c>
      <c r="F699" s="67">
        <v>5</v>
      </c>
      <c r="G699" s="71">
        <v>6.5</v>
      </c>
    </row>
    <row r="700" spans="1:7">
      <c r="A700" s="67" t="s">
        <v>252</v>
      </c>
      <c r="B700" s="70">
        <v>46054</v>
      </c>
      <c r="C700" s="69">
        <v>15</v>
      </c>
      <c r="D700" s="69">
        <v>173</v>
      </c>
      <c r="E700" s="69">
        <v>19</v>
      </c>
      <c r="F700" s="67">
        <v>6</v>
      </c>
      <c r="G700" s="71">
        <v>18.8</v>
      </c>
    </row>
    <row r="701" spans="1:7">
      <c r="A701" s="67" t="s">
        <v>254</v>
      </c>
      <c r="B701" s="70">
        <v>46054</v>
      </c>
      <c r="C701" s="69">
        <v>108</v>
      </c>
      <c r="D701" s="69">
        <v>678</v>
      </c>
      <c r="E701" s="69">
        <v>150</v>
      </c>
      <c r="F701" s="67">
        <v>4</v>
      </c>
      <c r="G701" s="71">
        <v>7.9</v>
      </c>
    </row>
    <row r="702" spans="1:7">
      <c r="A702" s="67" t="s">
        <v>256</v>
      </c>
      <c r="B702" s="70">
        <v>46054</v>
      </c>
      <c r="C702" s="69">
        <v>195</v>
      </c>
      <c r="D702" s="69">
        <v>2006</v>
      </c>
      <c r="E702" s="69">
        <v>152</v>
      </c>
      <c r="F702" s="67">
        <v>6</v>
      </c>
      <c r="G702" s="71">
        <v>17.5</v>
      </c>
    </row>
    <row r="703" spans="1:7">
      <c r="A703" s="67" t="s">
        <v>258</v>
      </c>
      <c r="B703" s="70">
        <v>46054</v>
      </c>
      <c r="C703" s="69">
        <v>436</v>
      </c>
      <c r="D703" s="69">
        <v>2270</v>
      </c>
      <c r="E703" s="69">
        <v>773</v>
      </c>
      <c r="F703" s="67">
        <v>8</v>
      </c>
      <c r="G703" s="71">
        <v>10.7</v>
      </c>
    </row>
    <row r="704" spans="1:7">
      <c r="A704" s="67" t="s">
        <v>260</v>
      </c>
      <c r="B704" s="70">
        <v>46054</v>
      </c>
      <c r="C704" s="69">
        <v>782</v>
      </c>
      <c r="D704" s="69">
        <v>9843</v>
      </c>
      <c r="E704" s="69">
        <v>1914</v>
      </c>
      <c r="F704" s="67">
        <v>6</v>
      </c>
      <c r="G704" s="71">
        <v>21.2</v>
      </c>
    </row>
    <row r="705" spans="1:7">
      <c r="A705" s="67" t="s">
        <v>262</v>
      </c>
      <c r="B705" s="70">
        <v>46054</v>
      </c>
      <c r="C705" s="69">
        <v>60</v>
      </c>
      <c r="D705" s="69">
        <v>444</v>
      </c>
      <c r="E705" s="69">
        <v>133</v>
      </c>
      <c r="F705" s="67">
        <v>9</v>
      </c>
      <c r="G705" s="71">
        <v>26.9</v>
      </c>
    </row>
    <row r="706" spans="1:7">
      <c r="A706" s="67" t="s">
        <v>264</v>
      </c>
      <c r="B706" s="70">
        <v>46054</v>
      </c>
      <c r="C706" s="69">
        <v>753</v>
      </c>
      <c r="D706" s="69">
        <v>9906</v>
      </c>
      <c r="E706" s="69">
        <v>863</v>
      </c>
      <c r="F706" s="67">
        <v>6</v>
      </c>
      <c r="G706" s="71">
        <v>29.2</v>
      </c>
    </row>
    <row r="707" spans="1:7">
      <c r="A707" s="67" t="s">
        <v>266</v>
      </c>
      <c r="B707" s="70">
        <v>46054</v>
      </c>
      <c r="C707" s="69">
        <v>81</v>
      </c>
      <c r="D707" s="69">
        <v>1198</v>
      </c>
      <c r="E707" s="69">
        <v>149</v>
      </c>
      <c r="F707" s="67">
        <v>4</v>
      </c>
      <c r="G707" s="71">
        <v>26.4</v>
      </c>
    </row>
    <row r="708" spans="1:7">
      <c r="A708" s="67" t="s">
        <v>268</v>
      </c>
      <c r="B708" s="70">
        <v>46054</v>
      </c>
      <c r="C708" s="69">
        <v>24</v>
      </c>
      <c r="D708" s="69">
        <v>334</v>
      </c>
      <c r="E708" s="69">
        <v>40</v>
      </c>
      <c r="F708" s="67">
        <v>2</v>
      </c>
      <c r="G708" s="71">
        <v>16.7</v>
      </c>
    </row>
    <row r="709" spans="1:7">
      <c r="A709" s="67" t="s">
        <v>270</v>
      </c>
      <c r="B709" s="70">
        <v>46054</v>
      </c>
      <c r="C709" s="69">
        <v>44</v>
      </c>
      <c r="D709" s="69">
        <v>741</v>
      </c>
      <c r="E709" s="69">
        <v>48</v>
      </c>
      <c r="F709" s="67">
        <v>7</v>
      </c>
      <c r="G709" s="71">
        <v>6.8</v>
      </c>
    </row>
    <row r="710" spans="1:7">
      <c r="A710" s="67" t="s">
        <v>272</v>
      </c>
      <c r="B710" s="70">
        <v>46054</v>
      </c>
      <c r="C710" s="69">
        <v>27</v>
      </c>
      <c r="D710" s="69">
        <v>149</v>
      </c>
      <c r="E710" s="69">
        <v>30</v>
      </c>
      <c r="F710" s="67">
        <v>8</v>
      </c>
      <c r="G710" s="71">
        <v>27.7</v>
      </c>
    </row>
    <row r="711" spans="1:7">
      <c r="A711" s="67" t="s">
        <v>274</v>
      </c>
      <c r="B711" s="70">
        <v>46054</v>
      </c>
      <c r="C711" s="69">
        <v>378</v>
      </c>
      <c r="D711" s="69">
        <v>5691</v>
      </c>
      <c r="E711" s="69">
        <v>228</v>
      </c>
      <c r="F711" s="67">
        <v>3</v>
      </c>
      <c r="G711" s="71">
        <v>16.7</v>
      </c>
    </row>
    <row r="712" spans="1:7">
      <c r="A712" s="67" t="s">
        <v>276</v>
      </c>
      <c r="B712" s="70">
        <v>46054</v>
      </c>
      <c r="C712" s="69">
        <v>116</v>
      </c>
      <c r="D712" s="69">
        <v>1692</v>
      </c>
      <c r="E712" s="69">
        <v>227</v>
      </c>
      <c r="F712" s="67">
        <v>5</v>
      </c>
      <c r="G712" s="71">
        <v>35.5</v>
      </c>
    </row>
    <row r="713" spans="1:7">
      <c r="A713" s="67" t="s">
        <v>278</v>
      </c>
      <c r="B713" s="70">
        <v>46054</v>
      </c>
      <c r="C713" s="69">
        <v>26</v>
      </c>
      <c r="D713" s="69">
        <v>387</v>
      </c>
      <c r="E713" s="69">
        <v>26</v>
      </c>
      <c r="F713" s="67">
        <v>4</v>
      </c>
      <c r="G713" s="71">
        <v>36.4</v>
      </c>
    </row>
    <row r="714" spans="1:7">
      <c r="A714" s="67" t="s">
        <v>280</v>
      </c>
      <c r="B714" s="70">
        <v>46054</v>
      </c>
      <c r="C714" s="69">
        <v>15</v>
      </c>
      <c r="D714" s="69">
        <v>86</v>
      </c>
      <c r="E714" s="69">
        <v>17</v>
      </c>
      <c r="F714" s="67">
        <v>7</v>
      </c>
      <c r="G714" s="71">
        <v>20.8</v>
      </c>
    </row>
    <row r="715" spans="1:7">
      <c r="A715" s="67" t="s">
        <v>282</v>
      </c>
      <c r="B715" s="70">
        <v>46054</v>
      </c>
      <c r="C715" s="69">
        <v>35</v>
      </c>
      <c r="D715" s="69">
        <v>389</v>
      </c>
      <c r="E715" s="69">
        <v>51</v>
      </c>
      <c r="F715" s="67">
        <v>8</v>
      </c>
      <c r="G715" s="71">
        <v>33.9</v>
      </c>
    </row>
    <row r="716" spans="1:7">
      <c r="A716" s="67" t="s">
        <v>284</v>
      </c>
      <c r="B716" s="70">
        <v>46054</v>
      </c>
      <c r="C716" s="69">
        <v>156</v>
      </c>
      <c r="D716" s="69">
        <v>1527</v>
      </c>
      <c r="E716" s="69">
        <v>278</v>
      </c>
      <c r="F716" s="67">
        <v>6</v>
      </c>
      <c r="G716" s="71">
        <v>29.3</v>
      </c>
    </row>
    <row r="717" spans="1:7">
      <c r="A717" s="67" t="s">
        <v>286</v>
      </c>
      <c r="B717" s="70">
        <v>46054</v>
      </c>
      <c r="C717" s="69">
        <v>19</v>
      </c>
      <c r="D717" s="69">
        <v>142</v>
      </c>
      <c r="E717" s="69">
        <v>43</v>
      </c>
      <c r="F717" s="67">
        <v>6</v>
      </c>
      <c r="G717" s="71">
        <v>8.1</v>
      </c>
    </row>
    <row r="718" spans="1:7">
      <c r="A718" s="67" t="s">
        <v>288</v>
      </c>
      <c r="B718" s="70">
        <v>46054</v>
      </c>
      <c r="C718" s="69">
        <v>201</v>
      </c>
      <c r="D718" s="69">
        <v>3509</v>
      </c>
      <c r="E718" s="69">
        <v>94</v>
      </c>
      <c r="F718" s="67">
        <v>7</v>
      </c>
      <c r="G718" s="71">
        <v>10.8</v>
      </c>
    </row>
    <row r="719" spans="1:7">
      <c r="A719" s="67" t="s">
        <v>290</v>
      </c>
      <c r="B719" s="70">
        <v>46054</v>
      </c>
      <c r="C719" s="69">
        <v>232</v>
      </c>
      <c r="D719" s="69">
        <v>1614</v>
      </c>
      <c r="E719" s="69">
        <v>174</v>
      </c>
      <c r="F719" s="67">
        <v>8</v>
      </c>
      <c r="G719" s="71">
        <v>38.3</v>
      </c>
    </row>
    <row r="720" spans="1:7">
      <c r="A720" s="67" t="s">
        <v>292</v>
      </c>
      <c r="B720" s="70">
        <v>46054</v>
      </c>
      <c r="C720" s="69">
        <v>88</v>
      </c>
      <c r="D720" s="69">
        <v>1221</v>
      </c>
      <c r="E720" s="69">
        <v>207</v>
      </c>
      <c r="F720" s="67">
        <v>3</v>
      </c>
      <c r="G720" s="71">
        <v>21.6</v>
      </c>
    </row>
    <row r="721" spans="1:7">
      <c r="A721" s="67" t="s">
        <v>294</v>
      </c>
      <c r="B721" s="70">
        <v>46054</v>
      </c>
      <c r="C721" s="69">
        <v>29</v>
      </c>
      <c r="D721" s="69">
        <v>153</v>
      </c>
      <c r="E721" s="69">
        <v>21</v>
      </c>
      <c r="F721" s="67">
        <v>7</v>
      </c>
      <c r="G721" s="71">
        <v>5.8</v>
      </c>
    </row>
    <row r="722" spans="1:7">
      <c r="A722" s="67" t="s">
        <v>296</v>
      </c>
      <c r="B722" s="70">
        <v>46054</v>
      </c>
      <c r="C722" s="69">
        <v>271</v>
      </c>
      <c r="D722" s="69">
        <v>3186</v>
      </c>
      <c r="E722" s="69">
        <v>282</v>
      </c>
      <c r="F722" s="67">
        <v>5</v>
      </c>
      <c r="G722" s="71">
        <v>25.3</v>
      </c>
    </row>
    <row r="723" spans="1:7">
      <c r="A723" s="67" t="s">
        <v>298</v>
      </c>
      <c r="B723" s="70">
        <v>46054</v>
      </c>
      <c r="C723" s="69">
        <v>195</v>
      </c>
      <c r="D723" s="69">
        <v>2207</v>
      </c>
      <c r="E723" s="69">
        <v>344</v>
      </c>
      <c r="F723" s="67">
        <v>5</v>
      </c>
      <c r="G723" s="71">
        <v>23.6</v>
      </c>
    </row>
    <row r="724" spans="1:7">
      <c r="A724" s="67" t="s">
        <v>300</v>
      </c>
      <c r="B724" s="70">
        <v>46054</v>
      </c>
      <c r="C724" s="69">
        <v>67</v>
      </c>
      <c r="D724" s="69">
        <v>829</v>
      </c>
      <c r="E724" s="69">
        <v>153</v>
      </c>
      <c r="F724" s="67">
        <v>3</v>
      </c>
      <c r="G724" s="71">
        <v>15.7</v>
      </c>
    </row>
    <row r="725" spans="1:7">
      <c r="A725" s="67" t="s">
        <v>302</v>
      </c>
      <c r="B725" s="70">
        <v>46054</v>
      </c>
      <c r="C725" s="69">
        <v>22</v>
      </c>
      <c r="D725" s="69">
        <v>216</v>
      </c>
      <c r="E725" s="69">
        <v>21</v>
      </c>
      <c r="F725" s="67">
        <v>6</v>
      </c>
      <c r="G725" s="71">
        <v>34.6</v>
      </c>
    </row>
    <row r="726" spans="1:7">
      <c r="A726" s="67" t="s">
        <v>306</v>
      </c>
      <c r="B726" s="70">
        <v>46054</v>
      </c>
      <c r="C726" s="69">
        <v>83</v>
      </c>
      <c r="D726" s="69">
        <v>1447</v>
      </c>
      <c r="E726" s="69">
        <v>138</v>
      </c>
      <c r="F726" s="67">
        <v>6</v>
      </c>
      <c r="G726" s="71">
        <v>10.6</v>
      </c>
    </row>
    <row r="727" spans="1:7">
      <c r="A727" s="67" t="s">
        <v>308</v>
      </c>
      <c r="B727" s="70">
        <v>46054</v>
      </c>
      <c r="C727" s="69">
        <v>129</v>
      </c>
      <c r="D727" s="69">
        <v>939</v>
      </c>
      <c r="E727" s="69">
        <v>240</v>
      </c>
      <c r="F727" s="67">
        <v>4</v>
      </c>
      <c r="G727" s="71">
        <v>36.7</v>
      </c>
    </row>
    <row r="728" spans="1:7">
      <c r="A728" s="67" t="s">
        <v>310</v>
      </c>
      <c r="B728" s="70">
        <v>46054</v>
      </c>
      <c r="C728" s="69">
        <v>162</v>
      </c>
      <c r="D728" s="69">
        <v>1056</v>
      </c>
      <c r="E728" s="69">
        <v>403</v>
      </c>
      <c r="F728" s="67">
        <v>6</v>
      </c>
      <c r="G728" s="71">
        <v>25.1</v>
      </c>
    </row>
    <row r="729" spans="1:7">
      <c r="A729" s="67" t="s">
        <v>312</v>
      </c>
      <c r="B729" s="70">
        <v>46054</v>
      </c>
      <c r="C729" s="69">
        <v>144</v>
      </c>
      <c r="D729" s="69">
        <v>1104</v>
      </c>
      <c r="E729" s="69">
        <v>267</v>
      </c>
      <c r="F729" s="67">
        <v>7</v>
      </c>
      <c r="G729" s="71">
        <v>28.3</v>
      </c>
    </row>
    <row r="730" spans="1:7">
      <c r="A730" s="67" t="s">
        <v>314</v>
      </c>
      <c r="B730" s="70">
        <v>46054</v>
      </c>
      <c r="C730" s="69">
        <v>12</v>
      </c>
      <c r="D730" s="69">
        <v>130</v>
      </c>
      <c r="E730" s="69">
        <v>29</v>
      </c>
      <c r="F730" s="67">
        <v>4</v>
      </c>
      <c r="G730" s="71">
        <v>23.7</v>
      </c>
    </row>
    <row r="731" spans="1:7">
      <c r="A731" s="67" t="s">
        <v>316</v>
      </c>
      <c r="B731" s="70">
        <v>46054</v>
      </c>
      <c r="C731" s="69">
        <v>19</v>
      </c>
      <c r="D731" s="69">
        <v>325</v>
      </c>
      <c r="E731" s="69">
        <v>38</v>
      </c>
      <c r="F731" s="67">
        <v>4</v>
      </c>
      <c r="G731" s="71">
        <v>38.2</v>
      </c>
    </row>
    <row r="732" spans="1:7">
      <c r="A732" s="67" t="s">
        <v>318</v>
      </c>
      <c r="B732" s="70">
        <v>46054</v>
      </c>
      <c r="C732" s="69">
        <v>154</v>
      </c>
      <c r="D732" s="69">
        <v>2712</v>
      </c>
      <c r="E732" s="69">
        <v>231</v>
      </c>
      <c r="F732" s="67">
        <v>6</v>
      </c>
      <c r="G732" s="71">
        <v>22.8</v>
      </c>
    </row>
    <row r="733" spans="1:7">
      <c r="A733" s="67" t="s">
        <v>320</v>
      </c>
      <c r="B733" s="70">
        <v>46054</v>
      </c>
      <c r="C733" s="69">
        <v>110</v>
      </c>
      <c r="D733" s="69">
        <v>1831</v>
      </c>
      <c r="E733" s="69">
        <v>268</v>
      </c>
      <c r="F733" s="67">
        <v>3</v>
      </c>
      <c r="G733" s="71">
        <v>31.4</v>
      </c>
    </row>
    <row r="734" spans="1:7">
      <c r="A734" s="67" t="s">
        <v>322</v>
      </c>
      <c r="B734" s="70">
        <v>46054</v>
      </c>
      <c r="C734" s="69">
        <v>55</v>
      </c>
      <c r="D734" s="69">
        <v>847</v>
      </c>
      <c r="E734" s="69">
        <v>105</v>
      </c>
      <c r="F734" s="67">
        <v>5</v>
      </c>
      <c r="G734" s="71">
        <v>37.3</v>
      </c>
    </row>
    <row r="735" spans="1:7">
      <c r="A735" s="67" t="s">
        <v>324</v>
      </c>
      <c r="B735" s="70">
        <v>46054</v>
      </c>
      <c r="C735" s="69">
        <v>773</v>
      </c>
      <c r="D735" s="69">
        <v>8678</v>
      </c>
      <c r="E735" s="69">
        <v>300</v>
      </c>
      <c r="F735" s="67">
        <v>7</v>
      </c>
      <c r="G735" s="71">
        <v>28.7</v>
      </c>
    </row>
    <row r="736" spans="1:7">
      <c r="A736" s="67" t="s">
        <v>326</v>
      </c>
      <c r="B736" s="70">
        <v>46054</v>
      </c>
      <c r="C736" s="69">
        <v>33</v>
      </c>
      <c r="D736" s="69">
        <v>430</v>
      </c>
      <c r="E736" s="69">
        <v>26</v>
      </c>
      <c r="F736" s="67">
        <v>7</v>
      </c>
      <c r="G736" s="71">
        <v>17.5</v>
      </c>
    </row>
    <row r="737" spans="1:7">
      <c r="A737" s="67" t="s">
        <v>328</v>
      </c>
      <c r="B737" s="70">
        <v>46054</v>
      </c>
      <c r="C737" s="69">
        <v>129</v>
      </c>
      <c r="D737" s="69">
        <v>972</v>
      </c>
      <c r="E737" s="69">
        <v>188</v>
      </c>
      <c r="F737" s="67">
        <v>7</v>
      </c>
      <c r="G737" s="71">
        <v>32.3</v>
      </c>
    </row>
    <row r="738" spans="1:7">
      <c r="A738" s="67" t="s">
        <v>330</v>
      </c>
      <c r="B738" s="70">
        <v>46054</v>
      </c>
      <c r="C738" s="69">
        <v>42</v>
      </c>
      <c r="D738" s="69">
        <v>256</v>
      </c>
      <c r="E738" s="69">
        <v>91</v>
      </c>
      <c r="F738" s="67">
        <v>7</v>
      </c>
      <c r="G738" s="71">
        <v>28.7</v>
      </c>
    </row>
    <row r="739" spans="1:7">
      <c r="A739" s="67" t="s">
        <v>332</v>
      </c>
      <c r="B739" s="70">
        <v>46054</v>
      </c>
      <c r="C739" s="69">
        <v>42</v>
      </c>
      <c r="D739" s="69">
        <v>425</v>
      </c>
      <c r="E739" s="69">
        <v>58</v>
      </c>
      <c r="F739" s="67">
        <v>8</v>
      </c>
      <c r="G739" s="71">
        <v>26.1</v>
      </c>
    </row>
    <row r="740" spans="1:7">
      <c r="A740" s="67" t="s">
        <v>334</v>
      </c>
      <c r="B740" s="70">
        <v>46054</v>
      </c>
      <c r="C740" s="69">
        <v>338</v>
      </c>
      <c r="D740" s="69">
        <v>4620</v>
      </c>
      <c r="E740" s="69">
        <v>397</v>
      </c>
      <c r="F740" s="67">
        <v>4</v>
      </c>
      <c r="G740" s="71">
        <v>30.1</v>
      </c>
    </row>
    <row r="741" spans="1:7">
      <c r="A741" s="67" t="s">
        <v>336</v>
      </c>
      <c r="B741" s="70">
        <v>46054</v>
      </c>
      <c r="C741" s="69">
        <v>738</v>
      </c>
      <c r="D741" s="69">
        <v>3807</v>
      </c>
      <c r="E741" s="69">
        <v>781</v>
      </c>
      <c r="F741" s="67">
        <v>6</v>
      </c>
      <c r="G741" s="71">
        <v>15.8</v>
      </c>
    </row>
    <row r="742" spans="1:7">
      <c r="A742" s="67" t="s">
        <v>338</v>
      </c>
      <c r="B742" s="70">
        <v>46054</v>
      </c>
      <c r="C742" s="69">
        <v>22</v>
      </c>
      <c r="D742" s="69">
        <v>172</v>
      </c>
      <c r="E742" s="69">
        <v>50</v>
      </c>
      <c r="F742" s="67">
        <v>5</v>
      </c>
      <c r="G742" s="71">
        <v>31</v>
      </c>
    </row>
    <row r="743" spans="1:7">
      <c r="A743" s="67" t="s">
        <v>340</v>
      </c>
      <c r="B743" s="70">
        <v>46054</v>
      </c>
      <c r="C743" s="69">
        <v>79</v>
      </c>
      <c r="D743" s="69">
        <v>563</v>
      </c>
      <c r="E743" s="69">
        <v>150</v>
      </c>
      <c r="F743" s="67">
        <v>8</v>
      </c>
      <c r="G743" s="71">
        <v>36.4</v>
      </c>
    </row>
    <row r="744" spans="1:7">
      <c r="A744" s="67" t="s">
        <v>342</v>
      </c>
      <c r="B744" s="70">
        <v>46054</v>
      </c>
      <c r="C744" s="69">
        <v>10</v>
      </c>
      <c r="D744" s="69">
        <v>159</v>
      </c>
      <c r="E744" s="69">
        <v>16</v>
      </c>
      <c r="F744" s="67">
        <v>6</v>
      </c>
      <c r="G744" s="71">
        <v>10</v>
      </c>
    </row>
    <row r="745" spans="1:7">
      <c r="A745" s="67" t="s">
        <v>344</v>
      </c>
      <c r="B745" s="70">
        <v>46054</v>
      </c>
      <c r="C745" s="69">
        <v>12</v>
      </c>
      <c r="D745" s="69">
        <v>142</v>
      </c>
      <c r="E745" s="69">
        <v>12</v>
      </c>
      <c r="F745" s="67">
        <v>7</v>
      </c>
      <c r="G745" s="71">
        <v>37.7</v>
      </c>
    </row>
    <row r="746" spans="1:7">
      <c r="A746" s="67" t="s">
        <v>346</v>
      </c>
      <c r="B746" s="70">
        <v>46054</v>
      </c>
      <c r="C746" s="69">
        <v>230</v>
      </c>
      <c r="D746" s="69">
        <v>1170</v>
      </c>
      <c r="E746" s="69">
        <v>392</v>
      </c>
      <c r="F746" s="67">
        <v>3</v>
      </c>
      <c r="G746" s="71">
        <v>14.6</v>
      </c>
    </row>
    <row r="747" spans="1:7">
      <c r="A747" s="67" t="s">
        <v>14</v>
      </c>
      <c r="B747" s="70">
        <v>46082</v>
      </c>
      <c r="C747" s="69">
        <v>143</v>
      </c>
      <c r="D747" s="69">
        <v>1771</v>
      </c>
      <c r="E747" s="69">
        <v>331</v>
      </c>
      <c r="F747" s="67">
        <v>4</v>
      </c>
      <c r="G747" s="71">
        <v>12</v>
      </c>
    </row>
    <row r="748" spans="1:7">
      <c r="A748" s="67" t="s">
        <v>23</v>
      </c>
      <c r="B748" s="70">
        <v>46082</v>
      </c>
      <c r="C748" s="69">
        <v>57</v>
      </c>
      <c r="D748" s="69">
        <v>649</v>
      </c>
      <c r="E748" s="69">
        <v>120</v>
      </c>
      <c r="F748" s="67">
        <v>7</v>
      </c>
      <c r="G748" s="71">
        <v>15.6</v>
      </c>
    </row>
    <row r="749" spans="1:7">
      <c r="A749" s="67" t="s">
        <v>30</v>
      </c>
      <c r="B749" s="70">
        <v>46082</v>
      </c>
      <c r="C749" s="69">
        <v>203</v>
      </c>
      <c r="D749" s="69">
        <v>2967</v>
      </c>
      <c r="E749" s="69">
        <v>161</v>
      </c>
      <c r="F749" s="67">
        <v>7</v>
      </c>
      <c r="G749" s="71">
        <v>32.7</v>
      </c>
    </row>
    <row r="750" spans="1:7">
      <c r="A750" s="67" t="s">
        <v>35</v>
      </c>
      <c r="B750" s="70">
        <v>46082</v>
      </c>
      <c r="C750" s="69">
        <v>23</v>
      </c>
      <c r="D750" s="69">
        <v>307</v>
      </c>
      <c r="E750" s="69">
        <v>39</v>
      </c>
      <c r="F750" s="67">
        <v>5</v>
      </c>
      <c r="G750" s="71">
        <v>9.300000000000001</v>
      </c>
    </row>
    <row r="751" spans="1:7">
      <c r="A751" s="67" t="s">
        <v>41</v>
      </c>
      <c r="B751" s="70">
        <v>46082</v>
      </c>
      <c r="C751" s="69">
        <v>73</v>
      </c>
      <c r="D751" s="69">
        <v>535</v>
      </c>
      <c r="E751" s="69">
        <v>168</v>
      </c>
      <c r="F751" s="67">
        <v>5</v>
      </c>
      <c r="G751" s="71">
        <v>27.6</v>
      </c>
    </row>
    <row r="752" spans="1:7">
      <c r="A752" s="67" t="s">
        <v>44</v>
      </c>
      <c r="B752" s="70">
        <v>46082</v>
      </c>
      <c r="C752" s="69">
        <v>70</v>
      </c>
      <c r="D752" s="69">
        <v>799</v>
      </c>
      <c r="E752" s="69">
        <v>170</v>
      </c>
      <c r="F752" s="67">
        <v>6</v>
      </c>
      <c r="G752" s="71">
        <v>26</v>
      </c>
    </row>
    <row r="753" spans="1:7">
      <c r="A753" s="67" t="s">
        <v>47</v>
      </c>
      <c r="B753" s="70">
        <v>46082</v>
      </c>
      <c r="C753" s="69">
        <v>18</v>
      </c>
      <c r="D753" s="69">
        <v>192</v>
      </c>
      <c r="E753" s="69">
        <v>16</v>
      </c>
      <c r="F753" s="67">
        <v>5</v>
      </c>
      <c r="G753" s="71">
        <v>29</v>
      </c>
    </row>
    <row r="754" spans="1:7">
      <c r="A754" s="67" t="s">
        <v>51</v>
      </c>
      <c r="B754" s="70">
        <v>46082</v>
      </c>
      <c r="C754" s="69">
        <v>1046</v>
      </c>
      <c r="D754" s="69">
        <v>10305</v>
      </c>
      <c r="E754" s="69">
        <v>2000</v>
      </c>
      <c r="F754" s="67">
        <v>8</v>
      </c>
      <c r="G754" s="71">
        <v>5.6</v>
      </c>
    </row>
    <row r="755" spans="1:7">
      <c r="A755" s="67" t="s">
        <v>54</v>
      </c>
      <c r="B755" s="70">
        <v>46082</v>
      </c>
      <c r="C755" s="69">
        <v>5</v>
      </c>
      <c r="D755" s="69">
        <v>34</v>
      </c>
      <c r="E755" s="69">
        <v>7</v>
      </c>
      <c r="F755" s="67">
        <v>5</v>
      </c>
      <c r="G755" s="71">
        <v>29.3</v>
      </c>
    </row>
    <row r="756" spans="1:7">
      <c r="A756" s="67" t="s">
        <v>57</v>
      </c>
      <c r="B756" s="70">
        <v>46082</v>
      </c>
      <c r="C756" s="69">
        <v>793</v>
      </c>
      <c r="D756" s="69">
        <v>7688</v>
      </c>
      <c r="E756" s="69">
        <v>1348</v>
      </c>
      <c r="F756" s="67">
        <v>8</v>
      </c>
      <c r="G756" s="71">
        <v>38.4</v>
      </c>
    </row>
    <row r="757" spans="1:7">
      <c r="A757" s="67" t="s">
        <v>59</v>
      </c>
      <c r="B757" s="70">
        <v>46082</v>
      </c>
      <c r="C757" s="69">
        <v>102</v>
      </c>
      <c r="D757" s="69">
        <v>1357</v>
      </c>
      <c r="E757" s="69">
        <v>48</v>
      </c>
      <c r="F757" s="67">
        <v>5</v>
      </c>
      <c r="G757" s="71">
        <v>11.8</v>
      </c>
    </row>
    <row r="758" spans="1:7">
      <c r="A758" s="67" t="s">
        <v>63</v>
      </c>
      <c r="B758" s="70">
        <v>46082</v>
      </c>
      <c r="C758" s="69">
        <v>21</v>
      </c>
      <c r="D758" s="69">
        <v>268</v>
      </c>
      <c r="E758" s="69">
        <v>14</v>
      </c>
      <c r="F758" s="67">
        <v>4</v>
      </c>
      <c r="G758" s="71">
        <v>16.3</v>
      </c>
    </row>
    <row r="759" spans="1:7">
      <c r="A759" s="67" t="s">
        <v>66</v>
      </c>
      <c r="B759" s="70">
        <v>46082</v>
      </c>
      <c r="C759" s="69">
        <v>15</v>
      </c>
      <c r="D759" s="69">
        <v>231</v>
      </c>
      <c r="E759" s="69">
        <v>13</v>
      </c>
      <c r="F759" s="67">
        <v>7</v>
      </c>
      <c r="G759" s="71">
        <v>29.4</v>
      </c>
    </row>
    <row r="760" spans="1:7">
      <c r="A760" s="67" t="s">
        <v>69</v>
      </c>
      <c r="B760" s="70">
        <v>46082</v>
      </c>
      <c r="C760" s="69">
        <v>10</v>
      </c>
      <c r="D760" s="69">
        <v>96</v>
      </c>
      <c r="E760" s="69">
        <v>6</v>
      </c>
      <c r="F760" s="67">
        <v>7</v>
      </c>
      <c r="G760" s="71">
        <v>9.800000000000001</v>
      </c>
    </row>
    <row r="761" spans="1:7">
      <c r="A761" s="67" t="s">
        <v>71</v>
      </c>
      <c r="B761" s="70">
        <v>46082</v>
      </c>
      <c r="C761" s="69">
        <v>58</v>
      </c>
      <c r="D761" s="69">
        <v>601</v>
      </c>
      <c r="E761" s="69">
        <v>135</v>
      </c>
      <c r="F761" s="67">
        <v>8</v>
      </c>
      <c r="G761" s="71">
        <v>10.7</v>
      </c>
    </row>
    <row r="762" spans="1:7">
      <c r="A762" s="67" t="s">
        <v>75</v>
      </c>
      <c r="B762" s="70">
        <v>46082</v>
      </c>
      <c r="C762" s="69">
        <v>261</v>
      </c>
      <c r="D762" s="69">
        <v>4127</v>
      </c>
      <c r="E762" s="69">
        <v>535</v>
      </c>
      <c r="F762" s="67">
        <v>10</v>
      </c>
      <c r="G762" s="71">
        <v>24.6</v>
      </c>
    </row>
    <row r="763" spans="1:7">
      <c r="A763" s="67" t="s">
        <v>78</v>
      </c>
      <c r="B763" s="70">
        <v>46082</v>
      </c>
      <c r="C763" s="69">
        <v>654</v>
      </c>
      <c r="D763" s="69">
        <v>10463</v>
      </c>
      <c r="E763" s="69">
        <v>1221</v>
      </c>
      <c r="F763" s="67">
        <v>4</v>
      </c>
      <c r="G763" s="71">
        <v>29.6</v>
      </c>
    </row>
    <row r="764" spans="1:7">
      <c r="A764" s="67" t="s">
        <v>81</v>
      </c>
      <c r="B764" s="70">
        <v>46082</v>
      </c>
      <c r="C764" s="69">
        <v>8</v>
      </c>
      <c r="D764" s="69">
        <v>135</v>
      </c>
      <c r="E764" s="69">
        <v>4</v>
      </c>
      <c r="F764" s="67">
        <v>6</v>
      </c>
      <c r="G764" s="71">
        <v>9.6</v>
      </c>
    </row>
    <row r="765" spans="1:7">
      <c r="A765" s="67" t="s">
        <v>83</v>
      </c>
      <c r="B765" s="70">
        <v>46082</v>
      </c>
      <c r="C765" s="69">
        <v>10</v>
      </c>
      <c r="D765" s="69">
        <v>140</v>
      </c>
      <c r="E765" s="69">
        <v>6</v>
      </c>
      <c r="F765" s="67">
        <v>6</v>
      </c>
      <c r="G765" s="71">
        <v>20.5</v>
      </c>
    </row>
    <row r="766" spans="1:7">
      <c r="A766" s="67" t="s">
        <v>85</v>
      </c>
      <c r="B766" s="70">
        <v>46082</v>
      </c>
      <c r="C766" s="69">
        <v>206</v>
      </c>
      <c r="D766" s="69">
        <v>3628</v>
      </c>
      <c r="E766" s="69">
        <v>140</v>
      </c>
      <c r="F766" s="67">
        <v>9</v>
      </c>
      <c r="G766" s="71">
        <v>15.7</v>
      </c>
    </row>
    <row r="767" spans="1:7">
      <c r="A767" s="67" t="s">
        <v>87</v>
      </c>
      <c r="B767" s="70">
        <v>46082</v>
      </c>
      <c r="C767" s="69">
        <v>12</v>
      </c>
      <c r="D767" s="69">
        <v>80</v>
      </c>
      <c r="E767" s="69">
        <v>22</v>
      </c>
      <c r="F767" s="67">
        <v>5</v>
      </c>
      <c r="G767" s="71">
        <v>29.1</v>
      </c>
    </row>
    <row r="768" spans="1:7">
      <c r="A768" s="67" t="s">
        <v>90</v>
      </c>
      <c r="B768" s="70">
        <v>46082</v>
      </c>
      <c r="C768" s="69">
        <v>57</v>
      </c>
      <c r="D768" s="69">
        <v>1012</v>
      </c>
      <c r="E768" s="69">
        <v>70</v>
      </c>
      <c r="F768" s="67">
        <v>5</v>
      </c>
      <c r="G768" s="71">
        <v>31.7</v>
      </c>
    </row>
    <row r="769" spans="1:7">
      <c r="A769" s="67" t="s">
        <v>92</v>
      </c>
      <c r="B769" s="70">
        <v>46082</v>
      </c>
      <c r="C769" s="69">
        <v>6</v>
      </c>
      <c r="D769" s="69">
        <v>68</v>
      </c>
      <c r="E769" s="69">
        <v>7</v>
      </c>
      <c r="F769" s="67">
        <v>4</v>
      </c>
      <c r="G769" s="71">
        <v>11.9</v>
      </c>
    </row>
    <row r="770" spans="1:7">
      <c r="A770" s="67" t="s">
        <v>94</v>
      </c>
      <c r="B770" s="70">
        <v>46082</v>
      </c>
      <c r="C770" s="69">
        <v>39</v>
      </c>
      <c r="D770" s="69">
        <v>496</v>
      </c>
      <c r="E770" s="69">
        <v>52</v>
      </c>
      <c r="F770" s="67">
        <v>7</v>
      </c>
      <c r="G770" s="71">
        <v>36.8</v>
      </c>
    </row>
    <row r="771" spans="1:7">
      <c r="A771" s="67" t="s">
        <v>96</v>
      </c>
      <c r="B771" s="70">
        <v>46082</v>
      </c>
      <c r="C771" s="69">
        <v>732</v>
      </c>
      <c r="D771" s="69">
        <v>3758</v>
      </c>
      <c r="E771" s="69">
        <v>375</v>
      </c>
      <c r="F771" s="67">
        <v>5</v>
      </c>
      <c r="G771" s="71">
        <v>9.300000000000001</v>
      </c>
    </row>
    <row r="772" spans="1:7">
      <c r="A772" s="67" t="s">
        <v>98</v>
      </c>
      <c r="B772" s="70">
        <v>46082</v>
      </c>
      <c r="C772" s="69">
        <v>953</v>
      </c>
      <c r="D772" s="69">
        <v>7243</v>
      </c>
      <c r="E772" s="69">
        <v>1692</v>
      </c>
      <c r="F772" s="67">
        <v>7</v>
      </c>
      <c r="G772" s="71">
        <v>6</v>
      </c>
    </row>
    <row r="773" spans="1:7">
      <c r="A773" s="67" t="s">
        <v>100</v>
      </c>
      <c r="B773" s="70">
        <v>46082</v>
      </c>
      <c r="C773" s="69">
        <v>1014</v>
      </c>
      <c r="D773" s="69">
        <v>8726</v>
      </c>
      <c r="E773" s="69">
        <v>1598</v>
      </c>
      <c r="F773" s="67">
        <v>8</v>
      </c>
      <c r="G773" s="71">
        <v>17.3</v>
      </c>
    </row>
    <row r="774" spans="1:7">
      <c r="A774" s="67" t="s">
        <v>104</v>
      </c>
      <c r="B774" s="70">
        <v>46082</v>
      </c>
      <c r="C774" s="69">
        <v>18</v>
      </c>
      <c r="D774" s="69">
        <v>233</v>
      </c>
      <c r="E774" s="69">
        <v>25</v>
      </c>
      <c r="F774" s="67">
        <v>3</v>
      </c>
      <c r="G774" s="71">
        <v>7.4</v>
      </c>
    </row>
    <row r="775" spans="1:7">
      <c r="A775" s="67" t="s">
        <v>106</v>
      </c>
      <c r="B775" s="70">
        <v>46082</v>
      </c>
      <c r="C775" s="69">
        <v>188</v>
      </c>
      <c r="D775" s="69">
        <v>2232</v>
      </c>
      <c r="E775" s="69">
        <v>352</v>
      </c>
      <c r="F775" s="67">
        <v>5</v>
      </c>
      <c r="G775" s="71">
        <v>38.7</v>
      </c>
    </row>
    <row r="776" spans="1:7">
      <c r="A776" s="67" t="s">
        <v>108</v>
      </c>
      <c r="B776" s="70">
        <v>46082</v>
      </c>
      <c r="C776" s="69">
        <v>28</v>
      </c>
      <c r="D776" s="69">
        <v>142</v>
      </c>
      <c r="E776" s="69">
        <v>53</v>
      </c>
      <c r="F776" s="67">
        <v>7</v>
      </c>
      <c r="G776" s="71">
        <v>37.3</v>
      </c>
    </row>
    <row r="777" spans="1:7">
      <c r="A777" s="67" t="s">
        <v>110</v>
      </c>
      <c r="B777" s="70">
        <v>46082</v>
      </c>
      <c r="C777" s="69">
        <v>159</v>
      </c>
      <c r="D777" s="69">
        <v>1776</v>
      </c>
      <c r="E777" s="69">
        <v>292</v>
      </c>
      <c r="F777" s="67">
        <v>4</v>
      </c>
      <c r="G777" s="71">
        <v>11.5</v>
      </c>
    </row>
    <row r="778" spans="1:7">
      <c r="A778" s="67" t="s">
        <v>112</v>
      </c>
      <c r="B778" s="70">
        <v>46082</v>
      </c>
      <c r="C778" s="69">
        <v>5</v>
      </c>
      <c r="D778" s="69">
        <v>79</v>
      </c>
      <c r="E778" s="69">
        <v>12</v>
      </c>
      <c r="F778" s="67">
        <v>3</v>
      </c>
      <c r="G778" s="71">
        <v>19.8</v>
      </c>
    </row>
    <row r="779" spans="1:7">
      <c r="A779" s="67" t="s">
        <v>114</v>
      </c>
      <c r="B779" s="70">
        <v>46082</v>
      </c>
      <c r="C779" s="69">
        <v>137</v>
      </c>
      <c r="D779" s="69">
        <v>2041</v>
      </c>
      <c r="E779" s="69">
        <v>136</v>
      </c>
      <c r="F779" s="67">
        <v>8</v>
      </c>
      <c r="G779" s="71">
        <v>21.3</v>
      </c>
    </row>
    <row r="780" spans="1:7">
      <c r="A780" s="67" t="s">
        <v>116</v>
      </c>
      <c r="B780" s="70">
        <v>46082</v>
      </c>
      <c r="C780" s="69">
        <v>13</v>
      </c>
      <c r="D780" s="69">
        <v>126</v>
      </c>
      <c r="E780" s="69">
        <v>12</v>
      </c>
      <c r="F780" s="67">
        <v>5</v>
      </c>
      <c r="G780" s="71">
        <v>30.3</v>
      </c>
    </row>
    <row r="781" spans="1:7">
      <c r="A781" s="67" t="s">
        <v>118</v>
      </c>
      <c r="B781" s="70">
        <v>46082</v>
      </c>
      <c r="C781" s="69">
        <v>47</v>
      </c>
      <c r="D781" s="69">
        <v>470</v>
      </c>
      <c r="E781" s="69">
        <v>61</v>
      </c>
      <c r="F781" s="67">
        <v>9</v>
      </c>
      <c r="G781" s="71">
        <v>30.8</v>
      </c>
    </row>
    <row r="782" spans="1:7">
      <c r="A782" s="67" t="s">
        <v>120</v>
      </c>
      <c r="B782" s="70">
        <v>46082</v>
      </c>
      <c r="C782" s="69">
        <v>38</v>
      </c>
      <c r="D782" s="69">
        <v>302</v>
      </c>
      <c r="E782" s="69">
        <v>45</v>
      </c>
      <c r="F782" s="67">
        <v>1</v>
      </c>
      <c r="G782" s="71">
        <v>39.5</v>
      </c>
    </row>
    <row r="783" spans="1:7">
      <c r="A783" s="67" t="s">
        <v>122</v>
      </c>
      <c r="B783" s="70">
        <v>46082</v>
      </c>
      <c r="C783" s="69">
        <v>377</v>
      </c>
      <c r="D783" s="69">
        <v>6270</v>
      </c>
      <c r="E783" s="69">
        <v>779</v>
      </c>
      <c r="F783" s="67">
        <v>5</v>
      </c>
      <c r="G783" s="71">
        <v>37.9</v>
      </c>
    </row>
    <row r="784" spans="1:7">
      <c r="A784" s="67" t="s">
        <v>124</v>
      </c>
      <c r="B784" s="70">
        <v>46082</v>
      </c>
      <c r="C784" s="69">
        <v>157</v>
      </c>
      <c r="D784" s="69">
        <v>2161</v>
      </c>
      <c r="E784" s="69">
        <v>279</v>
      </c>
      <c r="F784" s="67">
        <v>5</v>
      </c>
      <c r="G784" s="71">
        <v>18.9</v>
      </c>
    </row>
    <row r="785" spans="1:7">
      <c r="A785" s="67" t="s">
        <v>126</v>
      </c>
      <c r="B785" s="70">
        <v>46082</v>
      </c>
      <c r="C785" s="69">
        <v>22</v>
      </c>
      <c r="D785" s="69">
        <v>144</v>
      </c>
      <c r="E785" s="69">
        <v>26</v>
      </c>
      <c r="F785" s="67">
        <v>4</v>
      </c>
      <c r="G785" s="71">
        <v>29.3</v>
      </c>
    </row>
    <row r="786" spans="1:7">
      <c r="A786" s="67" t="s">
        <v>128</v>
      </c>
      <c r="B786" s="70">
        <v>46082</v>
      </c>
      <c r="C786" s="69">
        <v>185</v>
      </c>
      <c r="D786" s="69">
        <v>3071</v>
      </c>
      <c r="E786" s="69">
        <v>124</v>
      </c>
      <c r="F786" s="67">
        <v>7</v>
      </c>
      <c r="G786" s="71">
        <v>17.7</v>
      </c>
    </row>
    <row r="787" spans="1:7">
      <c r="A787" s="67" t="s">
        <v>130</v>
      </c>
      <c r="B787" s="70">
        <v>46082</v>
      </c>
      <c r="C787" s="69">
        <v>96</v>
      </c>
      <c r="D787" s="69">
        <v>1533</v>
      </c>
      <c r="E787" s="69">
        <v>114</v>
      </c>
      <c r="F787" s="67">
        <v>8</v>
      </c>
      <c r="G787" s="71">
        <v>13.2</v>
      </c>
    </row>
    <row r="788" spans="1:7">
      <c r="A788" s="67" t="s">
        <v>132</v>
      </c>
      <c r="B788" s="70">
        <v>46082</v>
      </c>
      <c r="C788" s="69">
        <v>43</v>
      </c>
      <c r="D788" s="69">
        <v>643</v>
      </c>
      <c r="E788" s="69">
        <v>85</v>
      </c>
      <c r="F788" s="67">
        <v>5</v>
      </c>
      <c r="G788" s="71">
        <v>25.8</v>
      </c>
    </row>
    <row r="789" spans="1:7">
      <c r="A789" s="67" t="s">
        <v>134</v>
      </c>
      <c r="B789" s="70">
        <v>46082</v>
      </c>
      <c r="C789" s="69">
        <v>205</v>
      </c>
      <c r="D789" s="69">
        <v>3539</v>
      </c>
      <c r="E789" s="69">
        <v>222</v>
      </c>
      <c r="F789" s="67">
        <v>6</v>
      </c>
      <c r="G789" s="71">
        <v>28.3</v>
      </c>
    </row>
    <row r="790" spans="1:7">
      <c r="A790" s="67" t="s">
        <v>136</v>
      </c>
      <c r="B790" s="70">
        <v>46082</v>
      </c>
      <c r="C790" s="69">
        <v>169</v>
      </c>
      <c r="D790" s="69">
        <v>1969</v>
      </c>
      <c r="E790" s="69">
        <v>105</v>
      </c>
      <c r="F790" s="67">
        <v>4</v>
      </c>
      <c r="G790" s="71">
        <v>20.9</v>
      </c>
    </row>
    <row r="791" spans="1:7">
      <c r="A791" s="67" t="s">
        <v>138</v>
      </c>
      <c r="B791" s="70">
        <v>46082</v>
      </c>
      <c r="C791" s="69">
        <v>38</v>
      </c>
      <c r="D791" s="69">
        <v>304</v>
      </c>
      <c r="E791" s="69">
        <v>90</v>
      </c>
      <c r="F791" s="67">
        <v>7</v>
      </c>
      <c r="G791" s="71">
        <v>6</v>
      </c>
    </row>
    <row r="792" spans="1:7">
      <c r="A792" s="67" t="s">
        <v>140</v>
      </c>
      <c r="B792" s="70">
        <v>46082</v>
      </c>
      <c r="C792" s="69">
        <v>128</v>
      </c>
      <c r="D792" s="69">
        <v>1469</v>
      </c>
      <c r="E792" s="69">
        <v>46</v>
      </c>
      <c r="F792" s="67">
        <v>4</v>
      </c>
      <c r="G792" s="71">
        <v>11.3</v>
      </c>
    </row>
    <row r="793" spans="1:7">
      <c r="A793" s="67" t="s">
        <v>142</v>
      </c>
      <c r="B793" s="70">
        <v>46082</v>
      </c>
      <c r="C793" s="69">
        <v>215</v>
      </c>
      <c r="D793" s="69">
        <v>1921</v>
      </c>
      <c r="E793" s="69">
        <v>359</v>
      </c>
      <c r="F793" s="67">
        <v>7</v>
      </c>
      <c r="G793" s="71">
        <v>31.6</v>
      </c>
    </row>
    <row r="794" spans="1:7">
      <c r="A794" s="67" t="s">
        <v>144</v>
      </c>
      <c r="B794" s="70">
        <v>46082</v>
      </c>
      <c r="C794" s="69">
        <v>22</v>
      </c>
      <c r="D794" s="69">
        <v>251</v>
      </c>
      <c r="E794" s="69">
        <v>29</v>
      </c>
      <c r="F794" s="67">
        <v>5</v>
      </c>
      <c r="G794" s="71">
        <v>15.3</v>
      </c>
    </row>
    <row r="795" spans="1:7">
      <c r="A795" s="67" t="s">
        <v>146</v>
      </c>
      <c r="B795" s="70">
        <v>46082</v>
      </c>
      <c r="C795" s="69">
        <v>1084</v>
      </c>
      <c r="D795" s="69">
        <v>13064</v>
      </c>
      <c r="E795" s="69">
        <v>2256</v>
      </c>
      <c r="F795" s="67">
        <v>9</v>
      </c>
      <c r="G795" s="71">
        <v>23.9</v>
      </c>
    </row>
    <row r="796" spans="1:7">
      <c r="A796" s="67" t="s">
        <v>148</v>
      </c>
      <c r="B796" s="70">
        <v>46082</v>
      </c>
      <c r="C796" s="69">
        <v>188</v>
      </c>
      <c r="D796" s="69">
        <v>3361</v>
      </c>
      <c r="E796" s="69">
        <v>420</v>
      </c>
      <c r="F796" s="67">
        <v>8</v>
      </c>
      <c r="G796" s="71">
        <v>9.199999999999999</v>
      </c>
    </row>
    <row r="797" spans="1:7">
      <c r="A797" s="67" t="s">
        <v>150</v>
      </c>
      <c r="B797" s="70">
        <v>46082</v>
      </c>
      <c r="C797" s="69">
        <v>16</v>
      </c>
      <c r="D797" s="69">
        <v>172</v>
      </c>
      <c r="E797" s="69">
        <v>6</v>
      </c>
      <c r="F797" s="67">
        <v>3</v>
      </c>
      <c r="G797" s="71">
        <v>11.2</v>
      </c>
    </row>
    <row r="798" spans="1:7">
      <c r="A798" s="67" t="s">
        <v>152</v>
      </c>
      <c r="B798" s="70">
        <v>46082</v>
      </c>
      <c r="C798" s="69">
        <v>18</v>
      </c>
      <c r="D798" s="69">
        <v>297</v>
      </c>
      <c r="E798" s="69">
        <v>12</v>
      </c>
      <c r="F798" s="67">
        <v>3</v>
      </c>
      <c r="G798" s="71">
        <v>20.1</v>
      </c>
    </row>
    <row r="799" spans="1:7">
      <c r="A799" s="67" t="s">
        <v>154</v>
      </c>
      <c r="B799" s="70">
        <v>46082</v>
      </c>
      <c r="C799" s="69">
        <v>53</v>
      </c>
      <c r="D799" s="69">
        <v>791</v>
      </c>
      <c r="E799" s="69">
        <v>82</v>
      </c>
      <c r="F799" s="67">
        <v>3</v>
      </c>
      <c r="G799" s="71">
        <v>22.2</v>
      </c>
    </row>
    <row r="800" spans="1:7">
      <c r="A800" s="67" t="s">
        <v>156</v>
      </c>
      <c r="B800" s="70">
        <v>46082</v>
      </c>
      <c r="C800" s="69">
        <v>22</v>
      </c>
      <c r="D800" s="69">
        <v>244</v>
      </c>
      <c r="E800" s="69">
        <v>34</v>
      </c>
      <c r="F800" s="67">
        <v>7</v>
      </c>
      <c r="G800" s="71">
        <v>10.5</v>
      </c>
    </row>
    <row r="801" spans="1:7">
      <c r="A801" s="67" t="s">
        <v>158</v>
      </c>
      <c r="B801" s="70">
        <v>46082</v>
      </c>
      <c r="C801" s="69">
        <v>77</v>
      </c>
      <c r="D801" s="69">
        <v>977</v>
      </c>
      <c r="E801" s="69">
        <v>87</v>
      </c>
      <c r="F801" s="67">
        <v>4</v>
      </c>
      <c r="G801" s="71">
        <v>28.7</v>
      </c>
    </row>
    <row r="802" spans="1:7">
      <c r="A802" s="67" t="s">
        <v>160</v>
      </c>
      <c r="B802" s="70">
        <v>46082</v>
      </c>
      <c r="C802" s="69">
        <v>204</v>
      </c>
      <c r="D802" s="69">
        <v>1183</v>
      </c>
      <c r="E802" s="69">
        <v>326</v>
      </c>
      <c r="F802" s="67">
        <v>6</v>
      </c>
      <c r="G802" s="71">
        <v>9.5</v>
      </c>
    </row>
    <row r="803" spans="1:7">
      <c r="A803" s="67" t="s">
        <v>162</v>
      </c>
      <c r="B803" s="70">
        <v>46082</v>
      </c>
      <c r="C803" s="69">
        <v>46</v>
      </c>
      <c r="D803" s="69">
        <v>579</v>
      </c>
      <c r="E803" s="69">
        <v>91</v>
      </c>
      <c r="F803" s="67">
        <v>9</v>
      </c>
      <c r="G803" s="71">
        <v>26.9</v>
      </c>
    </row>
    <row r="804" spans="1:7">
      <c r="A804" s="67" t="s">
        <v>164</v>
      </c>
      <c r="B804" s="70">
        <v>46082</v>
      </c>
      <c r="C804" s="69">
        <v>82</v>
      </c>
      <c r="D804" s="69">
        <v>1467</v>
      </c>
      <c r="E804" s="69">
        <v>99</v>
      </c>
      <c r="F804" s="67">
        <v>7</v>
      </c>
      <c r="G804" s="71">
        <v>7</v>
      </c>
    </row>
    <row r="805" spans="1:7">
      <c r="A805" s="67" t="s">
        <v>166</v>
      </c>
      <c r="B805" s="70">
        <v>46082</v>
      </c>
      <c r="C805" s="69">
        <v>118</v>
      </c>
      <c r="D805" s="69">
        <v>1069</v>
      </c>
      <c r="E805" s="69">
        <v>57</v>
      </c>
      <c r="F805" s="67">
        <v>7</v>
      </c>
      <c r="G805" s="71">
        <v>29.1</v>
      </c>
    </row>
    <row r="806" spans="1:7">
      <c r="A806" s="67" t="s">
        <v>168</v>
      </c>
      <c r="B806" s="70">
        <v>46082</v>
      </c>
      <c r="C806" s="69">
        <v>156</v>
      </c>
      <c r="D806" s="69">
        <v>1124</v>
      </c>
      <c r="E806" s="69">
        <v>232</v>
      </c>
      <c r="F806" s="67">
        <v>7</v>
      </c>
      <c r="G806" s="71">
        <v>6.3</v>
      </c>
    </row>
    <row r="807" spans="1:7">
      <c r="A807" s="67" t="s">
        <v>170</v>
      </c>
      <c r="B807" s="70">
        <v>46082</v>
      </c>
      <c r="C807" s="69">
        <v>23</v>
      </c>
      <c r="D807" s="69">
        <v>269</v>
      </c>
      <c r="E807" s="69">
        <v>28</v>
      </c>
      <c r="F807" s="67">
        <v>6</v>
      </c>
      <c r="G807" s="71">
        <v>5.7</v>
      </c>
    </row>
    <row r="808" spans="1:7">
      <c r="A808" s="67" t="s">
        <v>172</v>
      </c>
      <c r="B808" s="70">
        <v>46082</v>
      </c>
      <c r="C808" s="69">
        <v>27</v>
      </c>
      <c r="D808" s="69">
        <v>246</v>
      </c>
      <c r="E808" s="69">
        <v>42</v>
      </c>
      <c r="F808" s="67">
        <v>7</v>
      </c>
      <c r="G808" s="71">
        <v>16.3</v>
      </c>
    </row>
    <row r="809" spans="1:7">
      <c r="A809" s="67" t="s">
        <v>174</v>
      </c>
      <c r="B809" s="70">
        <v>46082</v>
      </c>
      <c r="C809" s="69">
        <v>138</v>
      </c>
      <c r="D809" s="69">
        <v>1929</v>
      </c>
      <c r="E809" s="69">
        <v>104</v>
      </c>
      <c r="F809" s="67">
        <v>6</v>
      </c>
      <c r="G809" s="71">
        <v>22.4</v>
      </c>
    </row>
    <row r="810" spans="1:7">
      <c r="A810" s="67" t="s">
        <v>176</v>
      </c>
      <c r="B810" s="70">
        <v>46082</v>
      </c>
      <c r="C810" s="69">
        <v>25</v>
      </c>
      <c r="D810" s="69">
        <v>179</v>
      </c>
      <c r="E810" s="69">
        <v>24</v>
      </c>
      <c r="F810" s="67">
        <v>4</v>
      </c>
      <c r="G810" s="71">
        <v>38.9</v>
      </c>
    </row>
    <row r="811" spans="1:7">
      <c r="A811" s="67" t="s">
        <v>178</v>
      </c>
      <c r="B811" s="70">
        <v>46082</v>
      </c>
      <c r="C811" s="69">
        <v>12</v>
      </c>
      <c r="D811" s="69">
        <v>212</v>
      </c>
      <c r="E811" s="69">
        <v>6</v>
      </c>
      <c r="F811" s="67">
        <v>7</v>
      </c>
      <c r="G811" s="71">
        <v>34.8</v>
      </c>
    </row>
    <row r="812" spans="1:7">
      <c r="A812" s="67" t="s">
        <v>180</v>
      </c>
      <c r="B812" s="70">
        <v>46082</v>
      </c>
      <c r="C812" s="69">
        <v>1033</v>
      </c>
      <c r="D812" s="69">
        <v>9158</v>
      </c>
      <c r="E812" s="69">
        <v>1613</v>
      </c>
      <c r="F812" s="67">
        <v>8</v>
      </c>
      <c r="G812" s="71">
        <v>33.2</v>
      </c>
    </row>
    <row r="813" spans="1:7">
      <c r="A813" s="67" t="s">
        <v>182</v>
      </c>
      <c r="B813" s="70">
        <v>46082</v>
      </c>
      <c r="C813" s="69">
        <v>12</v>
      </c>
      <c r="D813" s="69">
        <v>172</v>
      </c>
      <c r="E813" s="69">
        <v>19</v>
      </c>
      <c r="F813" s="67">
        <v>4</v>
      </c>
      <c r="G813" s="71">
        <v>25.7</v>
      </c>
    </row>
    <row r="814" spans="1:7">
      <c r="A814" s="67" t="s">
        <v>184</v>
      </c>
      <c r="B814" s="70">
        <v>46082</v>
      </c>
      <c r="C814" s="69">
        <v>118</v>
      </c>
      <c r="D814" s="69">
        <v>1405</v>
      </c>
      <c r="E814" s="69">
        <v>146</v>
      </c>
      <c r="F814" s="67">
        <v>7</v>
      </c>
      <c r="G814" s="71">
        <v>17.2</v>
      </c>
    </row>
    <row r="815" spans="1:7">
      <c r="A815" s="67" t="s">
        <v>186</v>
      </c>
      <c r="B815" s="70">
        <v>46082</v>
      </c>
      <c r="C815" s="69">
        <v>124</v>
      </c>
      <c r="D815" s="69">
        <v>1433</v>
      </c>
      <c r="E815" s="69">
        <v>119</v>
      </c>
      <c r="F815" s="67">
        <v>7</v>
      </c>
      <c r="G815" s="71">
        <v>28.2</v>
      </c>
    </row>
    <row r="816" spans="1:7">
      <c r="A816" s="67" t="s">
        <v>188</v>
      </c>
      <c r="B816" s="70">
        <v>46082</v>
      </c>
      <c r="C816" s="69">
        <v>17</v>
      </c>
      <c r="D816" s="69">
        <v>141</v>
      </c>
      <c r="E816" s="69">
        <v>24</v>
      </c>
      <c r="F816" s="67">
        <v>4</v>
      </c>
      <c r="G816" s="71">
        <v>28.5</v>
      </c>
    </row>
    <row r="817" spans="1:7">
      <c r="A817" s="67" t="s">
        <v>190</v>
      </c>
      <c r="B817" s="70">
        <v>46082</v>
      </c>
      <c r="C817" s="69">
        <v>21</v>
      </c>
      <c r="D817" s="69">
        <v>276</v>
      </c>
      <c r="E817" s="69">
        <v>30</v>
      </c>
      <c r="F817" s="67">
        <v>4</v>
      </c>
      <c r="G817" s="71">
        <v>11.5</v>
      </c>
    </row>
    <row r="818" spans="1:7">
      <c r="A818" s="67" t="s">
        <v>192</v>
      </c>
      <c r="B818" s="70">
        <v>46082</v>
      </c>
      <c r="C818" s="69">
        <v>96</v>
      </c>
      <c r="D818" s="69">
        <v>1508</v>
      </c>
      <c r="E818" s="69">
        <v>227</v>
      </c>
      <c r="F818" s="67">
        <v>4</v>
      </c>
      <c r="G818" s="71">
        <v>14.4</v>
      </c>
    </row>
    <row r="819" spans="1:7">
      <c r="A819" s="67" t="s">
        <v>194</v>
      </c>
      <c r="B819" s="70">
        <v>46082</v>
      </c>
      <c r="C819" s="69">
        <v>26</v>
      </c>
      <c r="D819" s="69">
        <v>418</v>
      </c>
      <c r="E819" s="69">
        <v>60</v>
      </c>
      <c r="F819" s="67">
        <v>1</v>
      </c>
      <c r="G819" s="71">
        <v>37.7</v>
      </c>
    </row>
    <row r="820" spans="1:7">
      <c r="A820" s="67" t="s">
        <v>198</v>
      </c>
      <c r="B820" s="70">
        <v>46082</v>
      </c>
      <c r="C820" s="69">
        <v>494</v>
      </c>
      <c r="D820" s="69">
        <v>3759</v>
      </c>
      <c r="E820" s="69">
        <v>651</v>
      </c>
      <c r="F820" s="67">
        <v>8</v>
      </c>
      <c r="G820" s="71">
        <v>13.4</v>
      </c>
    </row>
    <row r="821" spans="1:7">
      <c r="A821" s="67" t="s">
        <v>202</v>
      </c>
      <c r="B821" s="70">
        <v>46082</v>
      </c>
      <c r="C821" s="69">
        <v>134</v>
      </c>
      <c r="D821" s="69">
        <v>2140</v>
      </c>
      <c r="E821" s="69">
        <v>161</v>
      </c>
      <c r="F821" s="67">
        <v>6</v>
      </c>
      <c r="G821" s="71">
        <v>35.1</v>
      </c>
    </row>
    <row r="822" spans="1:7">
      <c r="A822" s="67" t="s">
        <v>204</v>
      </c>
      <c r="B822" s="70">
        <v>46082</v>
      </c>
      <c r="C822" s="69">
        <v>15</v>
      </c>
      <c r="D822" s="69">
        <v>240</v>
      </c>
      <c r="E822" s="69">
        <v>13</v>
      </c>
      <c r="F822" s="67">
        <v>6</v>
      </c>
      <c r="G822" s="71">
        <v>15</v>
      </c>
    </row>
    <row r="823" spans="1:7">
      <c r="A823" s="67" t="s">
        <v>206</v>
      </c>
      <c r="B823" s="70">
        <v>46082</v>
      </c>
      <c r="C823" s="69">
        <v>640</v>
      </c>
      <c r="D823" s="69">
        <v>5165</v>
      </c>
      <c r="E823" s="69">
        <v>528</v>
      </c>
      <c r="F823" s="67">
        <v>6</v>
      </c>
      <c r="G823" s="71">
        <v>10.2</v>
      </c>
    </row>
    <row r="824" spans="1:7">
      <c r="A824" s="67" t="s">
        <v>208</v>
      </c>
      <c r="B824" s="70">
        <v>46082</v>
      </c>
      <c r="C824" s="69">
        <v>13</v>
      </c>
      <c r="D824" s="69">
        <v>117</v>
      </c>
      <c r="E824" s="69">
        <v>18</v>
      </c>
      <c r="F824" s="67">
        <v>8</v>
      </c>
      <c r="G824" s="71">
        <v>39.7</v>
      </c>
    </row>
    <row r="825" spans="1:7">
      <c r="A825" s="67" t="s">
        <v>210</v>
      </c>
      <c r="B825" s="70">
        <v>46082</v>
      </c>
      <c r="C825" s="69">
        <v>102</v>
      </c>
      <c r="D825" s="69">
        <v>778</v>
      </c>
      <c r="E825" s="69">
        <v>92</v>
      </c>
      <c r="F825" s="67">
        <v>5</v>
      </c>
      <c r="G825" s="71">
        <v>6</v>
      </c>
    </row>
    <row r="826" spans="1:7">
      <c r="A826" s="67" t="s">
        <v>212</v>
      </c>
      <c r="B826" s="70">
        <v>46082</v>
      </c>
      <c r="C826" s="69">
        <v>25</v>
      </c>
      <c r="D826" s="69">
        <v>304</v>
      </c>
      <c r="E826" s="69">
        <v>43</v>
      </c>
      <c r="F826" s="67">
        <v>7</v>
      </c>
      <c r="G826" s="71">
        <v>6.5</v>
      </c>
    </row>
    <row r="827" spans="1:7">
      <c r="A827" s="67" t="s">
        <v>214</v>
      </c>
      <c r="B827" s="70">
        <v>46082</v>
      </c>
      <c r="C827" s="69">
        <v>47</v>
      </c>
      <c r="D827" s="69">
        <v>269</v>
      </c>
      <c r="E827" s="69">
        <v>107</v>
      </c>
      <c r="F827" s="67">
        <v>4</v>
      </c>
      <c r="G827" s="71">
        <v>16</v>
      </c>
    </row>
    <row r="828" spans="1:7">
      <c r="A828" s="67" t="s">
        <v>216</v>
      </c>
      <c r="B828" s="70">
        <v>46082</v>
      </c>
      <c r="C828" s="69">
        <v>232</v>
      </c>
      <c r="D828" s="69">
        <v>4041</v>
      </c>
      <c r="E828" s="69">
        <v>527</v>
      </c>
      <c r="F828" s="67">
        <v>8</v>
      </c>
      <c r="G828" s="71">
        <v>28.5</v>
      </c>
    </row>
    <row r="829" spans="1:7">
      <c r="A829" s="67" t="s">
        <v>218</v>
      </c>
      <c r="B829" s="70">
        <v>46082</v>
      </c>
      <c r="C829" s="69">
        <v>12</v>
      </c>
      <c r="D829" s="69">
        <v>191</v>
      </c>
      <c r="E829" s="69">
        <v>26</v>
      </c>
      <c r="F829" s="67">
        <v>6</v>
      </c>
      <c r="G829" s="71">
        <v>13.3</v>
      </c>
    </row>
    <row r="830" spans="1:7">
      <c r="A830" s="67" t="s">
        <v>220</v>
      </c>
      <c r="B830" s="70">
        <v>46082</v>
      </c>
      <c r="C830" s="69">
        <v>61</v>
      </c>
      <c r="D830" s="69">
        <v>401</v>
      </c>
      <c r="E830" s="69">
        <v>107</v>
      </c>
      <c r="F830" s="67">
        <v>6</v>
      </c>
      <c r="G830" s="71">
        <v>25.3</v>
      </c>
    </row>
    <row r="831" spans="1:7">
      <c r="A831" s="67" t="s">
        <v>222</v>
      </c>
      <c r="B831" s="70">
        <v>46082</v>
      </c>
      <c r="C831" s="69">
        <v>30</v>
      </c>
      <c r="D831" s="69">
        <v>344</v>
      </c>
      <c r="E831" s="69">
        <v>15</v>
      </c>
      <c r="F831" s="67">
        <v>4</v>
      </c>
      <c r="G831" s="71">
        <v>26</v>
      </c>
    </row>
    <row r="832" spans="1:7">
      <c r="A832" s="67" t="s">
        <v>224</v>
      </c>
      <c r="B832" s="70">
        <v>46082</v>
      </c>
      <c r="C832" s="69">
        <v>9</v>
      </c>
      <c r="D832" s="69">
        <v>142</v>
      </c>
      <c r="E832" s="69">
        <v>17</v>
      </c>
      <c r="F832" s="67">
        <v>6</v>
      </c>
      <c r="G832" s="71">
        <v>33.2</v>
      </c>
    </row>
    <row r="833" spans="1:7">
      <c r="A833" s="67" t="s">
        <v>226</v>
      </c>
      <c r="B833" s="70">
        <v>46082</v>
      </c>
      <c r="C833" s="69">
        <v>10</v>
      </c>
      <c r="D833" s="69">
        <v>78</v>
      </c>
      <c r="E833" s="69">
        <v>5</v>
      </c>
      <c r="F833" s="67">
        <v>2</v>
      </c>
      <c r="G833" s="71">
        <v>12.5</v>
      </c>
    </row>
    <row r="834" spans="1:7">
      <c r="A834" s="67" t="s">
        <v>228</v>
      </c>
      <c r="B834" s="70">
        <v>46082</v>
      </c>
      <c r="C834" s="69">
        <v>12</v>
      </c>
      <c r="D834" s="69">
        <v>195</v>
      </c>
      <c r="E834" s="69">
        <v>5</v>
      </c>
      <c r="F834" s="67">
        <v>7</v>
      </c>
      <c r="G834" s="71">
        <v>23.7</v>
      </c>
    </row>
    <row r="835" spans="1:7">
      <c r="A835" s="67" t="s">
        <v>230</v>
      </c>
      <c r="B835" s="70">
        <v>46082</v>
      </c>
      <c r="C835" s="69">
        <v>195</v>
      </c>
      <c r="D835" s="69">
        <v>2358</v>
      </c>
      <c r="E835" s="69">
        <v>262</v>
      </c>
      <c r="F835" s="67">
        <v>8</v>
      </c>
      <c r="G835" s="71">
        <v>13.6</v>
      </c>
    </row>
    <row r="836" spans="1:7">
      <c r="A836" s="67" t="s">
        <v>232</v>
      </c>
      <c r="B836" s="70">
        <v>46082</v>
      </c>
      <c r="C836" s="69">
        <v>148</v>
      </c>
      <c r="D836" s="69">
        <v>1019</v>
      </c>
      <c r="E836" s="69">
        <v>199</v>
      </c>
      <c r="F836" s="67">
        <v>10</v>
      </c>
      <c r="G836" s="71">
        <v>17.9</v>
      </c>
    </row>
    <row r="837" spans="1:7">
      <c r="A837" s="67" t="s">
        <v>234</v>
      </c>
      <c r="B837" s="70">
        <v>46082</v>
      </c>
      <c r="C837" s="69">
        <v>23</v>
      </c>
      <c r="D837" s="69">
        <v>386</v>
      </c>
      <c r="E837" s="69">
        <v>9</v>
      </c>
      <c r="F837" s="67">
        <v>8</v>
      </c>
      <c r="G837" s="71">
        <v>30.9</v>
      </c>
    </row>
    <row r="838" spans="1:7">
      <c r="A838" s="67" t="s">
        <v>236</v>
      </c>
      <c r="B838" s="70">
        <v>46082</v>
      </c>
      <c r="C838" s="69">
        <v>77</v>
      </c>
      <c r="D838" s="69">
        <v>1303</v>
      </c>
      <c r="E838" s="69">
        <v>137</v>
      </c>
      <c r="F838" s="67">
        <v>3</v>
      </c>
      <c r="G838" s="71">
        <v>13.9</v>
      </c>
    </row>
    <row r="839" spans="1:7">
      <c r="A839" s="67" t="s">
        <v>238</v>
      </c>
      <c r="B839" s="70">
        <v>46082</v>
      </c>
      <c r="C839" s="69">
        <v>23</v>
      </c>
      <c r="D839" s="69">
        <v>324</v>
      </c>
      <c r="E839" s="69">
        <v>53</v>
      </c>
      <c r="F839" s="67">
        <v>9</v>
      </c>
      <c r="G839" s="71">
        <v>29</v>
      </c>
    </row>
    <row r="840" spans="1:7">
      <c r="A840" s="67" t="s">
        <v>240</v>
      </c>
      <c r="B840" s="70">
        <v>46082</v>
      </c>
      <c r="C840" s="69">
        <v>22</v>
      </c>
      <c r="D840" s="69">
        <v>237</v>
      </c>
      <c r="E840" s="69">
        <v>7</v>
      </c>
      <c r="F840" s="67">
        <v>6</v>
      </c>
      <c r="G840" s="71">
        <v>38.6</v>
      </c>
    </row>
    <row r="841" spans="1:7">
      <c r="A841" s="67" t="s">
        <v>242</v>
      </c>
      <c r="B841" s="70">
        <v>46082</v>
      </c>
      <c r="C841" s="69">
        <v>739</v>
      </c>
      <c r="D841" s="69">
        <v>6586</v>
      </c>
      <c r="E841" s="69">
        <v>1744</v>
      </c>
      <c r="F841" s="67">
        <v>7</v>
      </c>
      <c r="G841" s="71">
        <v>31.5</v>
      </c>
    </row>
    <row r="842" spans="1:7">
      <c r="A842" s="67" t="s">
        <v>244</v>
      </c>
      <c r="B842" s="70">
        <v>46082</v>
      </c>
      <c r="C842" s="69">
        <v>31</v>
      </c>
      <c r="D842" s="69">
        <v>220</v>
      </c>
      <c r="E842" s="69">
        <v>39</v>
      </c>
      <c r="F842" s="67">
        <v>8</v>
      </c>
      <c r="G842" s="71">
        <v>16.1</v>
      </c>
    </row>
    <row r="843" spans="1:7">
      <c r="A843" s="67" t="s">
        <v>246</v>
      </c>
      <c r="B843" s="70">
        <v>46082</v>
      </c>
      <c r="C843" s="69">
        <v>52</v>
      </c>
      <c r="D843" s="69">
        <v>794</v>
      </c>
      <c r="E843" s="69">
        <v>47</v>
      </c>
      <c r="F843" s="67">
        <v>8</v>
      </c>
      <c r="G843" s="71">
        <v>7.8</v>
      </c>
    </row>
    <row r="844" spans="1:7">
      <c r="A844" s="67" t="s">
        <v>248</v>
      </c>
      <c r="B844" s="70">
        <v>46082</v>
      </c>
      <c r="C844" s="69">
        <v>30</v>
      </c>
      <c r="D844" s="69">
        <v>437</v>
      </c>
      <c r="E844" s="69">
        <v>70</v>
      </c>
      <c r="F844" s="67">
        <v>6</v>
      </c>
      <c r="G844" s="71">
        <v>16.6</v>
      </c>
    </row>
    <row r="845" spans="1:7">
      <c r="A845" s="67" t="s">
        <v>250</v>
      </c>
      <c r="B845" s="70">
        <v>46082</v>
      </c>
      <c r="C845" s="69">
        <v>126</v>
      </c>
      <c r="D845" s="69">
        <v>794</v>
      </c>
      <c r="E845" s="69">
        <v>82</v>
      </c>
      <c r="F845" s="67">
        <v>6</v>
      </c>
      <c r="G845" s="71">
        <v>14.1</v>
      </c>
    </row>
    <row r="846" spans="1:7">
      <c r="A846" s="67" t="s">
        <v>252</v>
      </c>
      <c r="B846" s="70">
        <v>46082</v>
      </c>
      <c r="C846" s="69">
        <v>14</v>
      </c>
      <c r="D846" s="69">
        <v>203</v>
      </c>
      <c r="E846" s="69">
        <v>21</v>
      </c>
      <c r="F846" s="67">
        <v>6</v>
      </c>
      <c r="G846" s="71">
        <v>16.4</v>
      </c>
    </row>
    <row r="847" spans="1:7">
      <c r="A847" s="67" t="s">
        <v>254</v>
      </c>
      <c r="B847" s="70">
        <v>46082</v>
      </c>
      <c r="C847" s="69">
        <v>100</v>
      </c>
      <c r="D847" s="69">
        <v>1334</v>
      </c>
      <c r="E847" s="69">
        <v>70</v>
      </c>
      <c r="F847" s="67">
        <v>4</v>
      </c>
      <c r="G847" s="71">
        <v>20.5</v>
      </c>
    </row>
    <row r="848" spans="1:7">
      <c r="A848" s="67" t="s">
        <v>256</v>
      </c>
      <c r="B848" s="70">
        <v>46082</v>
      </c>
      <c r="C848" s="69">
        <v>192</v>
      </c>
      <c r="D848" s="69">
        <v>1459</v>
      </c>
      <c r="E848" s="69">
        <v>187</v>
      </c>
      <c r="F848" s="67">
        <v>7</v>
      </c>
      <c r="G848" s="71">
        <v>25.2</v>
      </c>
    </row>
    <row r="849" spans="1:7">
      <c r="A849" s="67" t="s">
        <v>258</v>
      </c>
      <c r="B849" s="70">
        <v>46082</v>
      </c>
      <c r="C849" s="69">
        <v>453</v>
      </c>
      <c r="D849" s="69">
        <v>6467</v>
      </c>
      <c r="E849" s="69">
        <v>901</v>
      </c>
      <c r="F849" s="67">
        <v>6</v>
      </c>
      <c r="G849" s="71">
        <v>27.7</v>
      </c>
    </row>
    <row r="850" spans="1:7">
      <c r="A850" s="67" t="s">
        <v>260</v>
      </c>
      <c r="B850" s="70">
        <v>46082</v>
      </c>
      <c r="C850" s="69">
        <v>900</v>
      </c>
      <c r="D850" s="69">
        <v>9301</v>
      </c>
      <c r="E850" s="69">
        <v>2130</v>
      </c>
      <c r="F850" s="67">
        <v>7</v>
      </c>
      <c r="G850" s="71">
        <v>20.8</v>
      </c>
    </row>
    <row r="851" spans="1:7">
      <c r="A851" s="67" t="s">
        <v>262</v>
      </c>
      <c r="B851" s="70">
        <v>46082</v>
      </c>
      <c r="C851" s="69">
        <v>59</v>
      </c>
      <c r="D851" s="69">
        <v>428</v>
      </c>
      <c r="E851" s="69">
        <v>95</v>
      </c>
      <c r="F851" s="67">
        <v>8</v>
      </c>
      <c r="G851" s="71">
        <v>16.5</v>
      </c>
    </row>
    <row r="852" spans="1:7">
      <c r="A852" s="67" t="s">
        <v>264</v>
      </c>
      <c r="B852" s="70">
        <v>46082</v>
      </c>
      <c r="C852" s="69">
        <v>742</v>
      </c>
      <c r="D852" s="69">
        <v>7256</v>
      </c>
      <c r="E852" s="69">
        <v>865</v>
      </c>
      <c r="F852" s="67">
        <v>7</v>
      </c>
      <c r="G852" s="71">
        <v>18.2</v>
      </c>
    </row>
    <row r="853" spans="1:7">
      <c r="A853" s="67" t="s">
        <v>266</v>
      </c>
      <c r="B853" s="70">
        <v>46082</v>
      </c>
      <c r="C853" s="69">
        <v>87</v>
      </c>
      <c r="D853" s="69">
        <v>458</v>
      </c>
      <c r="E853" s="69">
        <v>30</v>
      </c>
      <c r="F853" s="67">
        <v>4</v>
      </c>
      <c r="G853" s="71">
        <v>24.5</v>
      </c>
    </row>
    <row r="854" spans="1:7">
      <c r="A854" s="67" t="s">
        <v>268</v>
      </c>
      <c r="B854" s="70">
        <v>46082</v>
      </c>
      <c r="C854" s="69">
        <v>22</v>
      </c>
      <c r="D854" s="69">
        <v>135</v>
      </c>
      <c r="E854" s="69">
        <v>29</v>
      </c>
      <c r="F854" s="67">
        <v>2</v>
      </c>
      <c r="G854" s="71">
        <v>14.2</v>
      </c>
    </row>
    <row r="855" spans="1:7">
      <c r="A855" s="67" t="s">
        <v>270</v>
      </c>
      <c r="B855" s="70">
        <v>46082</v>
      </c>
      <c r="C855" s="69">
        <v>43</v>
      </c>
      <c r="D855" s="69">
        <v>560</v>
      </c>
      <c r="E855" s="69">
        <v>70</v>
      </c>
      <c r="F855" s="67">
        <v>7</v>
      </c>
      <c r="G855" s="71">
        <v>10.2</v>
      </c>
    </row>
    <row r="856" spans="1:7">
      <c r="A856" s="67" t="s">
        <v>272</v>
      </c>
      <c r="B856" s="70">
        <v>46082</v>
      </c>
      <c r="C856" s="69">
        <v>29</v>
      </c>
      <c r="D856" s="69">
        <v>359</v>
      </c>
      <c r="E856" s="69">
        <v>10</v>
      </c>
      <c r="F856" s="67">
        <v>8</v>
      </c>
      <c r="G856" s="71">
        <v>23.4</v>
      </c>
    </row>
    <row r="857" spans="1:7">
      <c r="A857" s="67" t="s">
        <v>274</v>
      </c>
      <c r="B857" s="70">
        <v>46082</v>
      </c>
      <c r="C857" s="69">
        <v>384</v>
      </c>
      <c r="D857" s="69">
        <v>6050</v>
      </c>
      <c r="E857" s="69">
        <v>533</v>
      </c>
      <c r="F857" s="67">
        <v>2</v>
      </c>
      <c r="G857" s="71">
        <v>12.9</v>
      </c>
    </row>
    <row r="858" spans="1:7">
      <c r="A858" s="67" t="s">
        <v>276</v>
      </c>
      <c r="B858" s="70">
        <v>46082</v>
      </c>
      <c r="C858" s="69">
        <v>140</v>
      </c>
      <c r="D858" s="69">
        <v>2180</v>
      </c>
      <c r="E858" s="69">
        <v>124</v>
      </c>
      <c r="F858" s="67">
        <v>7</v>
      </c>
      <c r="G858" s="71">
        <v>31.1</v>
      </c>
    </row>
    <row r="859" spans="1:7">
      <c r="A859" s="67" t="s">
        <v>278</v>
      </c>
      <c r="B859" s="70">
        <v>46082</v>
      </c>
      <c r="C859" s="69">
        <v>26</v>
      </c>
      <c r="D859" s="69">
        <v>200</v>
      </c>
      <c r="E859" s="69">
        <v>20</v>
      </c>
      <c r="F859" s="67">
        <v>6</v>
      </c>
      <c r="G859" s="71">
        <v>33.8</v>
      </c>
    </row>
    <row r="860" spans="1:7">
      <c r="A860" s="67" t="s">
        <v>280</v>
      </c>
      <c r="B860" s="70">
        <v>46082</v>
      </c>
      <c r="C860" s="69">
        <v>16</v>
      </c>
      <c r="D860" s="69">
        <v>118</v>
      </c>
      <c r="E860" s="69">
        <v>33</v>
      </c>
      <c r="F860" s="67">
        <v>6</v>
      </c>
      <c r="G860" s="71">
        <v>6</v>
      </c>
    </row>
    <row r="861" spans="1:7">
      <c r="A861" s="67" t="s">
        <v>282</v>
      </c>
      <c r="B861" s="70">
        <v>46082</v>
      </c>
      <c r="C861" s="69">
        <v>39</v>
      </c>
      <c r="D861" s="69">
        <v>424</v>
      </c>
      <c r="E861" s="69">
        <v>33</v>
      </c>
      <c r="F861" s="67">
        <v>8</v>
      </c>
      <c r="G861" s="71">
        <v>25.4</v>
      </c>
    </row>
    <row r="862" spans="1:7">
      <c r="A862" s="67" t="s">
        <v>284</v>
      </c>
      <c r="B862" s="70">
        <v>46082</v>
      </c>
      <c r="C862" s="69">
        <v>145</v>
      </c>
      <c r="D862" s="69">
        <v>1609</v>
      </c>
      <c r="E862" s="69">
        <v>321</v>
      </c>
      <c r="F862" s="67">
        <v>6</v>
      </c>
      <c r="G862" s="71">
        <v>39.1</v>
      </c>
    </row>
    <row r="863" spans="1:7">
      <c r="A863" s="67" t="s">
        <v>286</v>
      </c>
      <c r="B863" s="70">
        <v>46082</v>
      </c>
      <c r="C863" s="69">
        <v>17</v>
      </c>
      <c r="D863" s="69">
        <v>170</v>
      </c>
      <c r="E863" s="69">
        <v>21</v>
      </c>
      <c r="F863" s="67">
        <v>7</v>
      </c>
      <c r="G863" s="71">
        <v>25.9</v>
      </c>
    </row>
    <row r="864" spans="1:7">
      <c r="A864" s="67" t="s">
        <v>288</v>
      </c>
      <c r="B864" s="70">
        <v>46082</v>
      </c>
      <c r="C864" s="69">
        <v>219</v>
      </c>
      <c r="D864" s="69">
        <v>1243</v>
      </c>
      <c r="E864" s="69">
        <v>514</v>
      </c>
      <c r="F864" s="67">
        <v>7</v>
      </c>
      <c r="G864" s="71">
        <v>21.5</v>
      </c>
    </row>
    <row r="865" spans="1:7">
      <c r="A865" s="67" t="s">
        <v>290</v>
      </c>
      <c r="B865" s="70">
        <v>46082</v>
      </c>
      <c r="C865" s="69">
        <v>216</v>
      </c>
      <c r="D865" s="69">
        <v>2964</v>
      </c>
      <c r="E865" s="69">
        <v>446</v>
      </c>
      <c r="F865" s="67">
        <v>8</v>
      </c>
      <c r="G865" s="71">
        <v>29.8</v>
      </c>
    </row>
    <row r="866" spans="1:7">
      <c r="A866" s="67" t="s">
        <v>292</v>
      </c>
      <c r="B866" s="70">
        <v>46082</v>
      </c>
      <c r="C866" s="69">
        <v>75</v>
      </c>
      <c r="D866" s="69">
        <v>867</v>
      </c>
      <c r="E866" s="69">
        <v>85</v>
      </c>
      <c r="F866" s="67">
        <v>3</v>
      </c>
      <c r="G866" s="71">
        <v>39.2</v>
      </c>
    </row>
    <row r="867" spans="1:7">
      <c r="A867" s="67" t="s">
        <v>294</v>
      </c>
      <c r="B867" s="70">
        <v>46082</v>
      </c>
      <c r="C867" s="69">
        <v>31</v>
      </c>
      <c r="D867" s="69">
        <v>515</v>
      </c>
      <c r="E867" s="69">
        <v>12</v>
      </c>
      <c r="F867" s="67">
        <v>6</v>
      </c>
      <c r="G867" s="71">
        <v>11.3</v>
      </c>
    </row>
    <row r="868" spans="1:7">
      <c r="A868" s="67" t="s">
        <v>296</v>
      </c>
      <c r="B868" s="70">
        <v>46082</v>
      </c>
      <c r="C868" s="69">
        <v>269</v>
      </c>
      <c r="D868" s="69">
        <v>2531</v>
      </c>
      <c r="E868" s="69">
        <v>358</v>
      </c>
      <c r="F868" s="67">
        <v>7</v>
      </c>
      <c r="G868" s="71">
        <v>8.1</v>
      </c>
    </row>
    <row r="869" spans="1:7">
      <c r="A869" s="67" t="s">
        <v>298</v>
      </c>
      <c r="B869" s="70">
        <v>46082</v>
      </c>
      <c r="C869" s="69">
        <v>208</v>
      </c>
      <c r="D869" s="69">
        <v>1744</v>
      </c>
      <c r="E869" s="69">
        <v>206</v>
      </c>
      <c r="F869" s="67">
        <v>5</v>
      </c>
      <c r="G869" s="71">
        <v>39.2</v>
      </c>
    </row>
    <row r="870" spans="1:7">
      <c r="A870" s="67" t="s">
        <v>300</v>
      </c>
      <c r="B870" s="70">
        <v>46082</v>
      </c>
      <c r="C870" s="69">
        <v>48</v>
      </c>
      <c r="D870" s="69">
        <v>415</v>
      </c>
      <c r="E870" s="69">
        <v>52</v>
      </c>
      <c r="F870" s="67">
        <v>3</v>
      </c>
      <c r="G870" s="71">
        <v>20.1</v>
      </c>
    </row>
    <row r="871" spans="1:7">
      <c r="A871" s="67" t="s">
        <v>302</v>
      </c>
      <c r="B871" s="70">
        <v>46082</v>
      </c>
      <c r="C871" s="69">
        <v>22</v>
      </c>
      <c r="D871" s="69">
        <v>347</v>
      </c>
      <c r="E871" s="69">
        <v>51</v>
      </c>
      <c r="F871" s="67">
        <v>6</v>
      </c>
      <c r="G871" s="71">
        <v>23.1</v>
      </c>
    </row>
    <row r="872" spans="1:7">
      <c r="A872" s="67" t="s">
        <v>306</v>
      </c>
      <c r="B872" s="70">
        <v>46082</v>
      </c>
      <c r="C872" s="69">
        <v>79</v>
      </c>
      <c r="D872" s="69">
        <v>1152</v>
      </c>
      <c r="E872" s="69">
        <v>109</v>
      </c>
      <c r="F872" s="67">
        <v>6</v>
      </c>
      <c r="G872" s="71">
        <v>38.3</v>
      </c>
    </row>
    <row r="873" spans="1:7">
      <c r="A873" s="67" t="s">
        <v>308</v>
      </c>
      <c r="B873" s="70">
        <v>46082</v>
      </c>
      <c r="C873" s="69">
        <v>108</v>
      </c>
      <c r="D873" s="69">
        <v>1434</v>
      </c>
      <c r="E873" s="69">
        <v>137</v>
      </c>
      <c r="F873" s="67">
        <v>4</v>
      </c>
      <c r="G873" s="71">
        <v>11.6</v>
      </c>
    </row>
    <row r="874" spans="1:7">
      <c r="A874" s="67" t="s">
        <v>310</v>
      </c>
      <c r="B874" s="70">
        <v>46082</v>
      </c>
      <c r="C874" s="69">
        <v>164</v>
      </c>
      <c r="D874" s="69">
        <v>1823</v>
      </c>
      <c r="E874" s="69">
        <v>108</v>
      </c>
      <c r="F874" s="67">
        <v>6</v>
      </c>
      <c r="G874" s="71">
        <v>21.3</v>
      </c>
    </row>
    <row r="875" spans="1:7">
      <c r="A875" s="67" t="s">
        <v>312</v>
      </c>
      <c r="B875" s="70">
        <v>46082</v>
      </c>
      <c r="C875" s="69">
        <v>172</v>
      </c>
      <c r="D875" s="69">
        <v>1967</v>
      </c>
      <c r="E875" s="69">
        <v>219</v>
      </c>
      <c r="F875" s="67">
        <v>7</v>
      </c>
      <c r="G875" s="71">
        <v>39.6</v>
      </c>
    </row>
    <row r="876" spans="1:7">
      <c r="A876" s="67" t="s">
        <v>314</v>
      </c>
      <c r="B876" s="70">
        <v>46082</v>
      </c>
      <c r="C876" s="69">
        <v>10</v>
      </c>
      <c r="D876" s="69">
        <v>65</v>
      </c>
      <c r="E876" s="69">
        <v>19</v>
      </c>
      <c r="F876" s="67">
        <v>4</v>
      </c>
      <c r="G876" s="71">
        <v>10.2</v>
      </c>
    </row>
    <row r="877" spans="1:7">
      <c r="A877" s="67" t="s">
        <v>316</v>
      </c>
      <c r="B877" s="70">
        <v>46082</v>
      </c>
      <c r="C877" s="69">
        <v>17</v>
      </c>
      <c r="D877" s="69">
        <v>148</v>
      </c>
      <c r="E877" s="69">
        <v>36</v>
      </c>
      <c r="F877" s="67">
        <v>4</v>
      </c>
      <c r="G877" s="71">
        <v>31.2</v>
      </c>
    </row>
    <row r="878" spans="1:7">
      <c r="A878" s="67" t="s">
        <v>318</v>
      </c>
      <c r="B878" s="70">
        <v>46082</v>
      </c>
      <c r="C878" s="69">
        <v>153</v>
      </c>
      <c r="D878" s="69">
        <v>2084</v>
      </c>
      <c r="E878" s="69">
        <v>117</v>
      </c>
      <c r="F878" s="67">
        <v>5</v>
      </c>
      <c r="G878" s="71">
        <v>39.9</v>
      </c>
    </row>
    <row r="879" spans="1:7">
      <c r="A879" s="67" t="s">
        <v>320</v>
      </c>
      <c r="B879" s="70">
        <v>46082</v>
      </c>
      <c r="C879" s="69">
        <v>125</v>
      </c>
      <c r="D879" s="69">
        <v>918</v>
      </c>
      <c r="E879" s="69">
        <v>291</v>
      </c>
      <c r="F879" s="67">
        <v>4</v>
      </c>
      <c r="G879" s="71">
        <v>13.6</v>
      </c>
    </row>
    <row r="880" spans="1:7">
      <c r="A880" s="67" t="s">
        <v>322</v>
      </c>
      <c r="B880" s="70">
        <v>46082</v>
      </c>
      <c r="C880" s="69">
        <v>49</v>
      </c>
      <c r="D880" s="69">
        <v>454</v>
      </c>
      <c r="E880" s="69">
        <v>45</v>
      </c>
      <c r="F880" s="67">
        <v>5</v>
      </c>
      <c r="G880" s="71">
        <v>39.3</v>
      </c>
    </row>
    <row r="881" spans="1:7">
      <c r="A881" s="67" t="s">
        <v>324</v>
      </c>
      <c r="B881" s="70">
        <v>46082</v>
      </c>
      <c r="C881" s="69">
        <v>825</v>
      </c>
      <c r="D881" s="69">
        <v>14090</v>
      </c>
      <c r="E881" s="69">
        <v>440</v>
      </c>
      <c r="F881" s="67">
        <v>7</v>
      </c>
      <c r="G881" s="71">
        <v>16.3</v>
      </c>
    </row>
    <row r="882" spans="1:7">
      <c r="A882" s="67" t="s">
        <v>326</v>
      </c>
      <c r="B882" s="70">
        <v>46082</v>
      </c>
      <c r="C882" s="69">
        <v>35</v>
      </c>
      <c r="D882" s="69">
        <v>497</v>
      </c>
      <c r="E882" s="69">
        <v>47</v>
      </c>
      <c r="F882" s="67">
        <v>7</v>
      </c>
      <c r="G882" s="71">
        <v>27</v>
      </c>
    </row>
    <row r="883" spans="1:7">
      <c r="A883" s="67" t="s">
        <v>328</v>
      </c>
      <c r="B883" s="70">
        <v>46082</v>
      </c>
      <c r="C883" s="69">
        <v>136</v>
      </c>
      <c r="D883" s="69">
        <v>1262</v>
      </c>
      <c r="E883" s="69">
        <v>54</v>
      </c>
      <c r="F883" s="67">
        <v>7</v>
      </c>
      <c r="G883" s="71">
        <v>26.8</v>
      </c>
    </row>
    <row r="884" spans="1:7">
      <c r="A884" s="67" t="s">
        <v>330</v>
      </c>
      <c r="B884" s="70">
        <v>46082</v>
      </c>
      <c r="C884" s="69">
        <v>37</v>
      </c>
      <c r="D884" s="69">
        <v>666</v>
      </c>
      <c r="E884" s="69">
        <v>85</v>
      </c>
      <c r="F884" s="67">
        <v>9</v>
      </c>
      <c r="G884" s="71">
        <v>32.9</v>
      </c>
    </row>
    <row r="885" spans="1:7">
      <c r="A885" s="67" t="s">
        <v>332</v>
      </c>
      <c r="B885" s="70">
        <v>46082</v>
      </c>
      <c r="C885" s="69">
        <v>40</v>
      </c>
      <c r="D885" s="69">
        <v>617</v>
      </c>
      <c r="E885" s="69">
        <v>37</v>
      </c>
      <c r="F885" s="67">
        <v>10</v>
      </c>
      <c r="G885" s="71">
        <v>32.9</v>
      </c>
    </row>
    <row r="886" spans="1:7">
      <c r="A886" s="67" t="s">
        <v>334</v>
      </c>
      <c r="B886" s="70">
        <v>46082</v>
      </c>
      <c r="C886" s="69">
        <v>335</v>
      </c>
      <c r="D886" s="69">
        <v>4298</v>
      </c>
      <c r="E886" s="69">
        <v>169</v>
      </c>
      <c r="F886" s="67">
        <v>3</v>
      </c>
      <c r="G886" s="71">
        <v>13.9</v>
      </c>
    </row>
    <row r="887" spans="1:7">
      <c r="A887" s="67" t="s">
        <v>336</v>
      </c>
      <c r="B887" s="70">
        <v>46082</v>
      </c>
      <c r="C887" s="69">
        <v>797</v>
      </c>
      <c r="D887" s="69">
        <v>8118</v>
      </c>
      <c r="E887" s="69">
        <v>275</v>
      </c>
      <c r="F887" s="67">
        <v>7</v>
      </c>
      <c r="G887" s="71">
        <v>12.3</v>
      </c>
    </row>
    <row r="888" spans="1:7">
      <c r="A888" s="67" t="s">
        <v>338</v>
      </c>
      <c r="B888" s="70">
        <v>46082</v>
      </c>
      <c r="C888" s="69">
        <v>24</v>
      </c>
      <c r="D888" s="69">
        <v>322</v>
      </c>
      <c r="E888" s="69">
        <v>58</v>
      </c>
      <c r="F888" s="67">
        <v>5</v>
      </c>
      <c r="G888" s="71">
        <v>10.4</v>
      </c>
    </row>
    <row r="889" spans="1:7">
      <c r="A889" s="67" t="s">
        <v>340</v>
      </c>
      <c r="B889" s="70">
        <v>46082</v>
      </c>
      <c r="C889" s="69">
        <v>82</v>
      </c>
      <c r="D889" s="69">
        <v>1194</v>
      </c>
      <c r="E889" s="69">
        <v>191</v>
      </c>
      <c r="F889" s="67">
        <v>9</v>
      </c>
      <c r="G889" s="71">
        <v>36.6</v>
      </c>
    </row>
    <row r="890" spans="1:7">
      <c r="A890" s="67" t="s">
        <v>342</v>
      </c>
      <c r="B890" s="70">
        <v>46082</v>
      </c>
      <c r="C890" s="69">
        <v>9</v>
      </c>
      <c r="D890" s="69">
        <v>56</v>
      </c>
      <c r="E890" s="69">
        <v>10</v>
      </c>
      <c r="F890" s="67">
        <v>6</v>
      </c>
      <c r="G890" s="71">
        <v>12</v>
      </c>
    </row>
    <row r="891" spans="1:7">
      <c r="A891" s="67" t="s">
        <v>344</v>
      </c>
      <c r="B891" s="70">
        <v>46082</v>
      </c>
      <c r="C891" s="69">
        <v>12</v>
      </c>
      <c r="D891" s="69">
        <v>102</v>
      </c>
      <c r="E891" s="69">
        <v>19</v>
      </c>
      <c r="F891" s="67">
        <v>5</v>
      </c>
      <c r="G891" s="71">
        <v>8.199999999999999</v>
      </c>
    </row>
    <row r="892" spans="1:7">
      <c r="A892" s="67" t="s">
        <v>346</v>
      </c>
      <c r="B892" s="70">
        <v>46082</v>
      </c>
      <c r="C892" s="69">
        <v>215</v>
      </c>
      <c r="D892" s="69">
        <v>1596</v>
      </c>
      <c r="E892" s="69">
        <v>363</v>
      </c>
      <c r="F892" s="67">
        <v>4</v>
      </c>
      <c r="G892" s="71">
        <v>8.300000000000001</v>
      </c>
    </row>
    <row r="893" spans="1:7">
      <c r="A893" s="67" t="s">
        <v>23</v>
      </c>
      <c r="B893" s="70">
        <v>46113</v>
      </c>
      <c r="C893" s="69">
        <v>48</v>
      </c>
      <c r="D893" s="69">
        <v>662</v>
      </c>
      <c r="E893" s="69">
        <v>83</v>
      </c>
      <c r="F893" s="67">
        <v>7</v>
      </c>
      <c r="G893" s="71">
        <v>30</v>
      </c>
    </row>
    <row r="894" spans="1:7">
      <c r="A894" s="67" t="s">
        <v>30</v>
      </c>
      <c r="B894" s="70">
        <v>46113</v>
      </c>
      <c r="C894" s="69">
        <v>232</v>
      </c>
      <c r="D894" s="69">
        <v>3112</v>
      </c>
      <c r="E894" s="69">
        <v>112</v>
      </c>
      <c r="F894" s="67">
        <v>7</v>
      </c>
      <c r="G894" s="71">
        <v>21.4</v>
      </c>
    </row>
    <row r="895" spans="1:7">
      <c r="A895" s="67" t="s">
        <v>35</v>
      </c>
      <c r="B895" s="70">
        <v>46113</v>
      </c>
      <c r="C895" s="69">
        <v>23</v>
      </c>
      <c r="D895" s="69">
        <v>205</v>
      </c>
      <c r="E895" s="69">
        <v>57</v>
      </c>
      <c r="F895" s="67">
        <v>5</v>
      </c>
      <c r="G895" s="71">
        <v>29</v>
      </c>
    </row>
    <row r="896" spans="1:7">
      <c r="A896" s="67" t="s">
        <v>41</v>
      </c>
      <c r="B896" s="70">
        <v>46113</v>
      </c>
      <c r="C896" s="69">
        <v>73</v>
      </c>
      <c r="D896" s="69">
        <v>771</v>
      </c>
      <c r="E896" s="69">
        <v>113</v>
      </c>
      <c r="F896" s="67">
        <v>6</v>
      </c>
      <c r="G896" s="71">
        <v>24.3</v>
      </c>
    </row>
    <row r="897" spans="1:7">
      <c r="A897" s="67" t="s">
        <v>44</v>
      </c>
      <c r="B897" s="70">
        <v>46113</v>
      </c>
      <c r="C897" s="69">
        <v>67</v>
      </c>
      <c r="D897" s="69">
        <v>780</v>
      </c>
      <c r="E897" s="69">
        <v>81</v>
      </c>
      <c r="F897" s="67">
        <v>6</v>
      </c>
      <c r="G897" s="71">
        <v>21.3</v>
      </c>
    </row>
    <row r="898" spans="1:7">
      <c r="A898" s="67" t="s">
        <v>47</v>
      </c>
      <c r="B898" s="70">
        <v>46113</v>
      </c>
      <c r="C898" s="69">
        <v>17</v>
      </c>
      <c r="D898" s="69">
        <v>164</v>
      </c>
      <c r="E898" s="69">
        <v>27</v>
      </c>
      <c r="F898" s="67">
        <v>3</v>
      </c>
      <c r="G898" s="71">
        <v>31.9</v>
      </c>
    </row>
    <row r="899" spans="1:7">
      <c r="A899" s="67" t="s">
        <v>51</v>
      </c>
      <c r="B899" s="70">
        <v>46113</v>
      </c>
      <c r="C899" s="69">
        <v>1042</v>
      </c>
      <c r="D899" s="69">
        <v>11480</v>
      </c>
      <c r="E899" s="69">
        <v>2115</v>
      </c>
      <c r="F899" s="67">
        <v>8</v>
      </c>
      <c r="G899" s="71">
        <v>34.5</v>
      </c>
    </row>
    <row r="900" spans="1:7">
      <c r="A900" s="67" t="s">
        <v>54</v>
      </c>
      <c r="B900" s="70">
        <v>46113</v>
      </c>
      <c r="C900" s="69">
        <v>6</v>
      </c>
      <c r="D900" s="69">
        <v>85</v>
      </c>
      <c r="E900" s="69">
        <v>6</v>
      </c>
      <c r="F900" s="67">
        <v>4</v>
      </c>
      <c r="G900" s="71">
        <v>30.3</v>
      </c>
    </row>
    <row r="901" spans="1:7">
      <c r="A901" s="67" t="s">
        <v>57</v>
      </c>
      <c r="B901" s="70">
        <v>46113</v>
      </c>
      <c r="C901" s="69">
        <v>815</v>
      </c>
      <c r="D901" s="69">
        <v>12634</v>
      </c>
      <c r="E901" s="69">
        <v>857</v>
      </c>
      <c r="F901" s="67">
        <v>7</v>
      </c>
      <c r="G901" s="71">
        <v>37.1</v>
      </c>
    </row>
    <row r="902" spans="1:7">
      <c r="A902" s="67" t="s">
        <v>59</v>
      </c>
      <c r="B902" s="70">
        <v>46113</v>
      </c>
      <c r="C902" s="69">
        <v>95</v>
      </c>
      <c r="D902" s="69">
        <v>572</v>
      </c>
      <c r="E902" s="69">
        <v>234</v>
      </c>
      <c r="F902" s="67">
        <v>4</v>
      </c>
      <c r="G902" s="71">
        <v>14.1</v>
      </c>
    </row>
    <row r="903" spans="1:7">
      <c r="A903" s="67" t="s">
        <v>63</v>
      </c>
      <c r="B903" s="70">
        <v>46113</v>
      </c>
      <c r="C903" s="69">
        <v>24</v>
      </c>
      <c r="D903" s="69">
        <v>126</v>
      </c>
      <c r="E903" s="69">
        <v>28</v>
      </c>
      <c r="F903" s="67">
        <v>4</v>
      </c>
      <c r="G903" s="71">
        <v>5.5</v>
      </c>
    </row>
    <row r="904" spans="1:7">
      <c r="A904" s="67" t="s">
        <v>66</v>
      </c>
      <c r="B904" s="70">
        <v>46113</v>
      </c>
      <c r="C904" s="69">
        <v>16</v>
      </c>
      <c r="D904" s="69">
        <v>164</v>
      </c>
      <c r="E904" s="69">
        <v>28</v>
      </c>
      <c r="F904" s="67">
        <v>5</v>
      </c>
      <c r="G904" s="71">
        <v>31</v>
      </c>
    </row>
    <row r="905" spans="1:7">
      <c r="A905" s="67" t="s">
        <v>69</v>
      </c>
      <c r="B905" s="70">
        <v>46113</v>
      </c>
      <c r="C905" s="69">
        <v>11</v>
      </c>
      <c r="D905" s="69">
        <v>171</v>
      </c>
      <c r="E905" s="69">
        <v>18</v>
      </c>
      <c r="F905" s="67">
        <v>5</v>
      </c>
      <c r="G905" s="71">
        <v>29.2</v>
      </c>
    </row>
    <row r="906" spans="1:7">
      <c r="A906" s="67" t="s">
        <v>71</v>
      </c>
      <c r="B906" s="70">
        <v>46113</v>
      </c>
      <c r="C906" s="69">
        <v>63</v>
      </c>
      <c r="D906" s="69">
        <v>974</v>
      </c>
      <c r="E906" s="69">
        <v>31</v>
      </c>
      <c r="F906" s="67">
        <v>7</v>
      </c>
      <c r="G906" s="71">
        <v>9.699999999999999</v>
      </c>
    </row>
    <row r="907" spans="1:7">
      <c r="A907" s="67" t="s">
        <v>75</v>
      </c>
      <c r="B907" s="70">
        <v>46113</v>
      </c>
      <c r="C907" s="69">
        <v>265</v>
      </c>
      <c r="D907" s="69">
        <v>3723</v>
      </c>
      <c r="E907" s="69">
        <v>189</v>
      </c>
      <c r="F907" s="67">
        <v>10</v>
      </c>
      <c r="G907" s="71">
        <v>5.9</v>
      </c>
    </row>
    <row r="908" spans="1:7">
      <c r="A908" s="67" t="s">
        <v>78</v>
      </c>
      <c r="B908" s="70">
        <v>46113</v>
      </c>
      <c r="C908" s="69">
        <v>670</v>
      </c>
      <c r="D908" s="69">
        <v>5456</v>
      </c>
      <c r="E908" s="69">
        <v>1442</v>
      </c>
      <c r="F908" s="67">
        <v>6</v>
      </c>
      <c r="G908" s="71">
        <v>35</v>
      </c>
    </row>
    <row r="909" spans="1:7">
      <c r="A909" s="67" t="s">
        <v>81</v>
      </c>
      <c r="B909" s="70">
        <v>46113</v>
      </c>
      <c r="C909" s="69">
        <v>8</v>
      </c>
      <c r="D909" s="69">
        <v>120</v>
      </c>
      <c r="E909" s="69">
        <v>5</v>
      </c>
      <c r="F909" s="67">
        <v>7</v>
      </c>
      <c r="G909" s="71">
        <v>19.8</v>
      </c>
    </row>
    <row r="910" spans="1:7">
      <c r="A910" s="67" t="s">
        <v>83</v>
      </c>
      <c r="B910" s="70">
        <v>46113</v>
      </c>
      <c r="C910" s="69">
        <v>11</v>
      </c>
      <c r="D910" s="69">
        <v>161</v>
      </c>
      <c r="E910" s="69">
        <v>14</v>
      </c>
      <c r="F910" s="67">
        <v>7</v>
      </c>
      <c r="G910" s="71">
        <v>22</v>
      </c>
    </row>
    <row r="911" spans="1:7">
      <c r="A911" s="67" t="s">
        <v>85</v>
      </c>
      <c r="B911" s="70">
        <v>46113</v>
      </c>
      <c r="C911" s="69">
        <v>209</v>
      </c>
      <c r="D911" s="69">
        <v>1704</v>
      </c>
      <c r="E911" s="69">
        <v>198</v>
      </c>
      <c r="F911" s="67">
        <v>9</v>
      </c>
      <c r="G911" s="71">
        <v>34</v>
      </c>
    </row>
    <row r="912" spans="1:7">
      <c r="A912" s="67" t="s">
        <v>87</v>
      </c>
      <c r="B912" s="70">
        <v>46113</v>
      </c>
      <c r="C912" s="69">
        <v>12</v>
      </c>
      <c r="D912" s="69">
        <v>76</v>
      </c>
      <c r="E912" s="69">
        <v>26</v>
      </c>
      <c r="F912" s="67">
        <v>6</v>
      </c>
      <c r="G912" s="71">
        <v>20.1</v>
      </c>
    </row>
    <row r="913" spans="1:7">
      <c r="A913" s="67" t="s">
        <v>90</v>
      </c>
      <c r="B913" s="70">
        <v>46113</v>
      </c>
      <c r="C913" s="69">
        <v>54</v>
      </c>
      <c r="D913" s="69">
        <v>676</v>
      </c>
      <c r="E913" s="69">
        <v>103</v>
      </c>
      <c r="F913" s="67">
        <v>5</v>
      </c>
      <c r="G913" s="71">
        <v>40</v>
      </c>
    </row>
    <row r="914" spans="1:7">
      <c r="A914" s="67" t="s">
        <v>92</v>
      </c>
      <c r="B914" s="70">
        <v>46113</v>
      </c>
      <c r="C914" s="69">
        <v>6</v>
      </c>
      <c r="D914" s="69">
        <v>70</v>
      </c>
      <c r="E914" s="69">
        <v>11</v>
      </c>
      <c r="F914" s="67">
        <v>4</v>
      </c>
      <c r="G914" s="71">
        <v>37.7</v>
      </c>
    </row>
    <row r="915" spans="1:7">
      <c r="A915" s="67" t="s">
        <v>94</v>
      </c>
      <c r="B915" s="70">
        <v>46113</v>
      </c>
      <c r="C915" s="69">
        <v>40</v>
      </c>
      <c r="D915" s="69">
        <v>321</v>
      </c>
      <c r="E915" s="69">
        <v>17</v>
      </c>
      <c r="F915" s="67">
        <v>6</v>
      </c>
      <c r="G915" s="71">
        <v>5.7</v>
      </c>
    </row>
    <row r="916" spans="1:7">
      <c r="A916" s="67" t="s">
        <v>96</v>
      </c>
      <c r="B916" s="70">
        <v>46113</v>
      </c>
      <c r="C916" s="69">
        <v>634</v>
      </c>
      <c r="D916" s="69">
        <v>5378</v>
      </c>
      <c r="E916" s="69">
        <v>1094</v>
      </c>
      <c r="F916" s="67">
        <v>5</v>
      </c>
      <c r="G916" s="71">
        <v>36.1</v>
      </c>
    </row>
    <row r="917" spans="1:7">
      <c r="A917" s="67" t="s">
        <v>98</v>
      </c>
      <c r="B917" s="70">
        <v>46113</v>
      </c>
      <c r="C917" s="69">
        <v>1053</v>
      </c>
      <c r="D917" s="69">
        <v>14111</v>
      </c>
      <c r="E917" s="69">
        <v>1354</v>
      </c>
      <c r="F917" s="67">
        <v>8</v>
      </c>
      <c r="G917" s="71">
        <v>20.3</v>
      </c>
    </row>
    <row r="918" spans="1:7">
      <c r="A918" s="67" t="s">
        <v>100</v>
      </c>
      <c r="B918" s="70">
        <v>46113</v>
      </c>
      <c r="C918" s="69">
        <v>1008</v>
      </c>
      <c r="D918" s="69">
        <v>11189</v>
      </c>
      <c r="E918" s="69">
        <v>1274</v>
      </c>
      <c r="F918" s="67">
        <v>8</v>
      </c>
      <c r="G918" s="71">
        <v>22.8</v>
      </c>
    </row>
    <row r="919" spans="1:7">
      <c r="A919" s="67" t="s">
        <v>104</v>
      </c>
      <c r="B919" s="70">
        <v>46113</v>
      </c>
      <c r="C919" s="69">
        <v>13</v>
      </c>
      <c r="D919" s="69">
        <v>221</v>
      </c>
      <c r="E919" s="69">
        <v>28</v>
      </c>
      <c r="F919" s="67">
        <v>3</v>
      </c>
      <c r="G919" s="71">
        <v>30</v>
      </c>
    </row>
    <row r="920" spans="1:7">
      <c r="A920" s="67" t="s">
        <v>106</v>
      </c>
      <c r="B920" s="70">
        <v>46113</v>
      </c>
      <c r="C920" s="69">
        <v>156</v>
      </c>
      <c r="D920" s="69">
        <v>2246</v>
      </c>
      <c r="E920" s="69">
        <v>181</v>
      </c>
      <c r="F920" s="67">
        <v>6</v>
      </c>
      <c r="G920" s="71">
        <v>19.6</v>
      </c>
    </row>
    <row r="921" spans="1:7">
      <c r="A921" s="67" t="s">
        <v>108</v>
      </c>
      <c r="B921" s="70">
        <v>46113</v>
      </c>
      <c r="C921" s="69">
        <v>30</v>
      </c>
      <c r="D921" s="69">
        <v>290</v>
      </c>
      <c r="E921" s="69">
        <v>40</v>
      </c>
      <c r="F921" s="67">
        <v>5</v>
      </c>
      <c r="G921" s="71">
        <v>39</v>
      </c>
    </row>
    <row r="922" spans="1:7">
      <c r="A922" s="67" t="s">
        <v>110</v>
      </c>
      <c r="B922" s="70">
        <v>46113</v>
      </c>
      <c r="C922" s="69">
        <v>135</v>
      </c>
      <c r="D922" s="69">
        <v>1887</v>
      </c>
      <c r="E922" s="69">
        <v>66</v>
      </c>
      <c r="F922" s="67">
        <v>5</v>
      </c>
      <c r="G922" s="71">
        <v>21.9</v>
      </c>
    </row>
    <row r="923" spans="1:7">
      <c r="A923" s="67" t="s">
        <v>112</v>
      </c>
      <c r="B923" s="70">
        <v>46113</v>
      </c>
      <c r="C923" s="69">
        <v>5</v>
      </c>
      <c r="D923" s="69">
        <v>57</v>
      </c>
      <c r="E923" s="69">
        <v>10</v>
      </c>
      <c r="F923" s="67">
        <v>4</v>
      </c>
      <c r="G923" s="71">
        <v>38</v>
      </c>
    </row>
    <row r="924" spans="1:7">
      <c r="A924" s="67" t="s">
        <v>114</v>
      </c>
      <c r="B924" s="70">
        <v>46113</v>
      </c>
      <c r="C924" s="69">
        <v>140</v>
      </c>
      <c r="D924" s="69">
        <v>1713</v>
      </c>
      <c r="E924" s="69">
        <v>350</v>
      </c>
      <c r="F924" s="67">
        <v>8</v>
      </c>
      <c r="G924" s="71">
        <v>17.6</v>
      </c>
    </row>
    <row r="925" spans="1:7">
      <c r="A925" s="67" t="s">
        <v>116</v>
      </c>
      <c r="B925" s="70">
        <v>46113</v>
      </c>
      <c r="C925" s="69">
        <v>14</v>
      </c>
      <c r="D925" s="69">
        <v>102</v>
      </c>
      <c r="E925" s="69">
        <v>31</v>
      </c>
      <c r="F925" s="67">
        <v>6</v>
      </c>
      <c r="G925" s="71">
        <v>22.6</v>
      </c>
    </row>
    <row r="926" spans="1:7">
      <c r="A926" s="67" t="s">
        <v>118</v>
      </c>
      <c r="B926" s="70">
        <v>46113</v>
      </c>
      <c r="C926" s="69">
        <v>47</v>
      </c>
      <c r="D926" s="69">
        <v>305</v>
      </c>
      <c r="E926" s="69">
        <v>38</v>
      </c>
      <c r="F926" s="67">
        <v>8</v>
      </c>
      <c r="G926" s="71">
        <v>24.7</v>
      </c>
    </row>
    <row r="927" spans="1:7">
      <c r="A927" s="67" t="s">
        <v>120</v>
      </c>
      <c r="B927" s="70">
        <v>46113</v>
      </c>
      <c r="C927" s="69">
        <v>21</v>
      </c>
      <c r="D927" s="69">
        <v>319</v>
      </c>
      <c r="E927" s="69">
        <v>42</v>
      </c>
      <c r="F927" s="67">
        <v>3</v>
      </c>
      <c r="G927" s="71">
        <v>32</v>
      </c>
    </row>
    <row r="928" spans="1:7">
      <c r="A928" s="67" t="s">
        <v>122</v>
      </c>
      <c r="B928" s="70">
        <v>46113</v>
      </c>
      <c r="C928" s="69">
        <v>340</v>
      </c>
      <c r="D928" s="69">
        <v>5472</v>
      </c>
      <c r="E928" s="69">
        <v>756</v>
      </c>
      <c r="F928" s="67">
        <v>4</v>
      </c>
      <c r="G928" s="71">
        <v>26.2</v>
      </c>
    </row>
    <row r="929" spans="1:7">
      <c r="A929" s="67" t="s">
        <v>124</v>
      </c>
      <c r="B929" s="70">
        <v>46113</v>
      </c>
      <c r="C929" s="69">
        <v>160</v>
      </c>
      <c r="D929" s="69">
        <v>2768</v>
      </c>
      <c r="E929" s="69">
        <v>329</v>
      </c>
      <c r="F929" s="67">
        <v>5</v>
      </c>
      <c r="G929" s="71">
        <v>38.7</v>
      </c>
    </row>
    <row r="930" spans="1:7">
      <c r="A930" s="67" t="s">
        <v>126</v>
      </c>
      <c r="B930" s="70">
        <v>46113</v>
      </c>
      <c r="C930" s="69">
        <v>24</v>
      </c>
      <c r="D930" s="69">
        <v>364</v>
      </c>
      <c r="E930" s="69">
        <v>39</v>
      </c>
      <c r="F930" s="67">
        <v>2</v>
      </c>
      <c r="G930" s="71">
        <v>35</v>
      </c>
    </row>
    <row r="931" spans="1:7">
      <c r="A931" s="67" t="s">
        <v>128</v>
      </c>
      <c r="B931" s="70">
        <v>46113</v>
      </c>
      <c r="C931" s="69">
        <v>179</v>
      </c>
      <c r="D931" s="69">
        <v>2076</v>
      </c>
      <c r="E931" s="69">
        <v>119</v>
      </c>
      <c r="F931" s="67">
        <v>7</v>
      </c>
      <c r="G931" s="71">
        <v>9.1</v>
      </c>
    </row>
    <row r="932" spans="1:7">
      <c r="A932" s="67" t="s">
        <v>130</v>
      </c>
      <c r="B932" s="70">
        <v>46113</v>
      </c>
      <c r="C932" s="69">
        <v>98</v>
      </c>
      <c r="D932" s="69">
        <v>1418</v>
      </c>
      <c r="E932" s="69">
        <v>182</v>
      </c>
      <c r="F932" s="67">
        <v>8</v>
      </c>
      <c r="G932" s="71">
        <v>31.7</v>
      </c>
    </row>
    <row r="933" spans="1:7">
      <c r="A933" s="67" t="s">
        <v>132</v>
      </c>
      <c r="B933" s="70">
        <v>46113</v>
      </c>
      <c r="C933" s="69">
        <v>41</v>
      </c>
      <c r="D933" s="69">
        <v>287</v>
      </c>
      <c r="E933" s="69">
        <v>45</v>
      </c>
      <c r="F933" s="67">
        <v>5</v>
      </c>
      <c r="G933" s="71">
        <v>33.7</v>
      </c>
    </row>
    <row r="934" spans="1:7">
      <c r="A934" s="67" t="s">
        <v>134</v>
      </c>
      <c r="B934" s="70">
        <v>46113</v>
      </c>
      <c r="C934" s="69">
        <v>211</v>
      </c>
      <c r="D934" s="69">
        <v>3715</v>
      </c>
      <c r="E934" s="69">
        <v>420</v>
      </c>
      <c r="F934" s="67">
        <v>8</v>
      </c>
      <c r="G934" s="71">
        <v>5.2</v>
      </c>
    </row>
    <row r="935" spans="1:7">
      <c r="A935" s="67" t="s">
        <v>136</v>
      </c>
      <c r="B935" s="70">
        <v>46113</v>
      </c>
      <c r="C935" s="69">
        <v>136</v>
      </c>
      <c r="D935" s="69">
        <v>1187</v>
      </c>
      <c r="E935" s="69">
        <v>92</v>
      </c>
      <c r="F935" s="67">
        <v>4</v>
      </c>
      <c r="G935" s="71">
        <v>14.3</v>
      </c>
    </row>
    <row r="936" spans="1:7">
      <c r="A936" s="67" t="s">
        <v>138</v>
      </c>
      <c r="B936" s="70">
        <v>46113</v>
      </c>
      <c r="C936" s="69">
        <v>36</v>
      </c>
      <c r="D936" s="69">
        <v>475</v>
      </c>
      <c r="E936" s="69">
        <v>30</v>
      </c>
      <c r="F936" s="67">
        <v>5</v>
      </c>
      <c r="G936" s="71">
        <v>31.4</v>
      </c>
    </row>
    <row r="937" spans="1:7">
      <c r="A937" s="67" t="s">
        <v>140</v>
      </c>
      <c r="B937" s="70">
        <v>46113</v>
      </c>
      <c r="C937" s="69">
        <v>110</v>
      </c>
      <c r="D937" s="69">
        <v>747</v>
      </c>
      <c r="E937" s="69">
        <v>137</v>
      </c>
      <c r="F937" s="67">
        <v>5</v>
      </c>
      <c r="G937" s="71">
        <v>37.1</v>
      </c>
    </row>
    <row r="938" spans="1:7">
      <c r="A938" s="67" t="s">
        <v>142</v>
      </c>
      <c r="B938" s="70">
        <v>46113</v>
      </c>
      <c r="C938" s="69">
        <v>243</v>
      </c>
      <c r="D938" s="69">
        <v>2846</v>
      </c>
      <c r="E938" s="69">
        <v>438</v>
      </c>
      <c r="F938" s="67">
        <v>6</v>
      </c>
      <c r="G938" s="71">
        <v>38</v>
      </c>
    </row>
    <row r="939" spans="1:7">
      <c r="A939" s="67" t="s">
        <v>144</v>
      </c>
      <c r="B939" s="70">
        <v>46113</v>
      </c>
      <c r="C939" s="69">
        <v>21</v>
      </c>
      <c r="D939" s="69">
        <v>301</v>
      </c>
      <c r="E939" s="69">
        <v>30</v>
      </c>
      <c r="F939" s="67">
        <v>6</v>
      </c>
      <c r="G939" s="71">
        <v>7.4</v>
      </c>
    </row>
    <row r="940" spans="1:7">
      <c r="A940" s="67" t="s">
        <v>146</v>
      </c>
      <c r="B940" s="70">
        <v>46113</v>
      </c>
      <c r="C940" s="69">
        <v>1136</v>
      </c>
      <c r="D940" s="69">
        <v>17086</v>
      </c>
      <c r="E940" s="69">
        <v>1426</v>
      </c>
      <c r="F940" s="67">
        <v>9</v>
      </c>
      <c r="G940" s="71">
        <v>18.8</v>
      </c>
    </row>
    <row r="941" spans="1:7">
      <c r="A941" s="67" t="s">
        <v>148</v>
      </c>
      <c r="B941" s="70">
        <v>46113</v>
      </c>
      <c r="C941" s="69">
        <v>197</v>
      </c>
      <c r="D941" s="69">
        <v>1372</v>
      </c>
      <c r="E941" s="69">
        <v>308</v>
      </c>
      <c r="F941" s="67">
        <v>8</v>
      </c>
      <c r="G941" s="71">
        <v>39.2</v>
      </c>
    </row>
    <row r="942" spans="1:7">
      <c r="A942" s="67" t="s">
        <v>150</v>
      </c>
      <c r="B942" s="70">
        <v>46113</v>
      </c>
      <c r="C942" s="69">
        <v>25</v>
      </c>
      <c r="D942" s="69">
        <v>410</v>
      </c>
      <c r="E942" s="69">
        <v>61</v>
      </c>
      <c r="F942" s="67">
        <v>3</v>
      </c>
      <c r="G942" s="71">
        <v>19.7</v>
      </c>
    </row>
    <row r="943" spans="1:7">
      <c r="A943" s="67" t="s">
        <v>152</v>
      </c>
      <c r="B943" s="70">
        <v>46113</v>
      </c>
      <c r="C943" s="69">
        <v>21</v>
      </c>
      <c r="D943" s="69">
        <v>343</v>
      </c>
      <c r="E943" s="69">
        <v>40</v>
      </c>
      <c r="F943" s="67">
        <v>4</v>
      </c>
      <c r="G943" s="71">
        <v>16</v>
      </c>
    </row>
    <row r="944" spans="1:7">
      <c r="A944" s="67" t="s">
        <v>154</v>
      </c>
      <c r="B944" s="70">
        <v>46113</v>
      </c>
      <c r="C944" s="69">
        <v>37</v>
      </c>
      <c r="D944" s="69">
        <v>618</v>
      </c>
      <c r="E944" s="69">
        <v>61</v>
      </c>
      <c r="F944" s="67">
        <v>3</v>
      </c>
      <c r="G944" s="71">
        <v>10.1</v>
      </c>
    </row>
    <row r="945" spans="1:7">
      <c r="A945" s="67" t="s">
        <v>156</v>
      </c>
      <c r="B945" s="70">
        <v>46113</v>
      </c>
      <c r="C945" s="69">
        <v>23</v>
      </c>
      <c r="D945" s="69">
        <v>380</v>
      </c>
      <c r="E945" s="69">
        <v>38</v>
      </c>
      <c r="F945" s="67">
        <v>8</v>
      </c>
      <c r="G945" s="71">
        <v>26.6</v>
      </c>
    </row>
    <row r="946" spans="1:7">
      <c r="A946" s="67" t="s">
        <v>158</v>
      </c>
      <c r="B946" s="70">
        <v>46113</v>
      </c>
      <c r="C946" s="69">
        <v>64</v>
      </c>
      <c r="D946" s="69">
        <v>995</v>
      </c>
      <c r="E946" s="69">
        <v>111</v>
      </c>
      <c r="F946" s="67">
        <v>4</v>
      </c>
      <c r="G946" s="71">
        <v>32.1</v>
      </c>
    </row>
    <row r="947" spans="1:7">
      <c r="A947" s="67" t="s">
        <v>160</v>
      </c>
      <c r="B947" s="70">
        <v>46113</v>
      </c>
      <c r="C947" s="69">
        <v>211</v>
      </c>
      <c r="D947" s="69">
        <v>2529</v>
      </c>
      <c r="E947" s="69">
        <v>244</v>
      </c>
      <c r="F947" s="67">
        <v>6</v>
      </c>
      <c r="G947" s="71">
        <v>30.2</v>
      </c>
    </row>
    <row r="948" spans="1:7">
      <c r="A948" s="67" t="s">
        <v>162</v>
      </c>
      <c r="B948" s="70">
        <v>46113</v>
      </c>
      <c r="C948" s="69">
        <v>51</v>
      </c>
      <c r="D948" s="69">
        <v>614</v>
      </c>
      <c r="E948" s="69">
        <v>39</v>
      </c>
      <c r="F948" s="67">
        <v>7</v>
      </c>
      <c r="G948" s="71">
        <v>22.9</v>
      </c>
    </row>
    <row r="949" spans="1:7">
      <c r="A949" s="67" t="s">
        <v>164</v>
      </c>
      <c r="B949" s="70">
        <v>46113</v>
      </c>
      <c r="C949" s="69">
        <v>85</v>
      </c>
      <c r="D949" s="69">
        <v>1127</v>
      </c>
      <c r="E949" s="69">
        <v>30</v>
      </c>
      <c r="F949" s="67">
        <v>7</v>
      </c>
      <c r="G949" s="71">
        <v>36.2</v>
      </c>
    </row>
    <row r="950" spans="1:7">
      <c r="A950" s="67" t="s">
        <v>166</v>
      </c>
      <c r="B950" s="70">
        <v>46113</v>
      </c>
      <c r="C950" s="69">
        <v>111</v>
      </c>
      <c r="D950" s="69">
        <v>1756</v>
      </c>
      <c r="E950" s="69">
        <v>108</v>
      </c>
      <c r="F950" s="67">
        <v>6</v>
      </c>
      <c r="G950" s="71">
        <v>19.8</v>
      </c>
    </row>
    <row r="951" spans="1:7">
      <c r="A951" s="67" t="s">
        <v>168</v>
      </c>
      <c r="B951" s="70">
        <v>46113</v>
      </c>
      <c r="C951" s="69">
        <v>143</v>
      </c>
      <c r="D951" s="69">
        <v>2280</v>
      </c>
      <c r="E951" s="69">
        <v>125</v>
      </c>
      <c r="F951" s="67">
        <v>7</v>
      </c>
      <c r="G951" s="71">
        <v>22.8</v>
      </c>
    </row>
    <row r="952" spans="1:7">
      <c r="A952" s="67" t="s">
        <v>170</v>
      </c>
      <c r="B952" s="70">
        <v>46113</v>
      </c>
      <c r="C952" s="69">
        <v>25</v>
      </c>
      <c r="D952" s="69">
        <v>431</v>
      </c>
      <c r="E952" s="69">
        <v>32</v>
      </c>
      <c r="F952" s="67">
        <v>8</v>
      </c>
      <c r="G952" s="71">
        <v>25</v>
      </c>
    </row>
    <row r="953" spans="1:7">
      <c r="A953" s="67" t="s">
        <v>172</v>
      </c>
      <c r="B953" s="70">
        <v>46113</v>
      </c>
      <c r="C953" s="69">
        <v>29</v>
      </c>
      <c r="D953" s="69">
        <v>234</v>
      </c>
      <c r="E953" s="69">
        <v>56</v>
      </c>
      <c r="F953" s="67">
        <v>7</v>
      </c>
      <c r="G953" s="71">
        <v>25.4</v>
      </c>
    </row>
    <row r="954" spans="1:7">
      <c r="A954" s="67" t="s">
        <v>174</v>
      </c>
      <c r="B954" s="70">
        <v>46113</v>
      </c>
      <c r="C954" s="69">
        <v>127</v>
      </c>
      <c r="D954" s="69">
        <v>1734</v>
      </c>
      <c r="E954" s="69">
        <v>274</v>
      </c>
      <c r="F954" s="67">
        <v>4</v>
      </c>
      <c r="G954" s="71">
        <v>13.2</v>
      </c>
    </row>
    <row r="955" spans="1:7">
      <c r="A955" s="67" t="s">
        <v>176</v>
      </c>
      <c r="B955" s="70">
        <v>46113</v>
      </c>
      <c r="C955" s="69">
        <v>23</v>
      </c>
      <c r="D955" s="69">
        <v>359</v>
      </c>
      <c r="E955" s="69">
        <v>36</v>
      </c>
      <c r="F955" s="67">
        <v>6</v>
      </c>
      <c r="G955" s="71">
        <v>9.9</v>
      </c>
    </row>
    <row r="956" spans="1:7">
      <c r="A956" s="67" t="s">
        <v>178</v>
      </c>
      <c r="B956" s="70">
        <v>46113</v>
      </c>
      <c r="C956" s="69">
        <v>11</v>
      </c>
      <c r="D956" s="69">
        <v>70</v>
      </c>
      <c r="E956" s="69">
        <v>16</v>
      </c>
      <c r="F956" s="67">
        <v>6</v>
      </c>
      <c r="G956" s="71">
        <v>11.7</v>
      </c>
    </row>
    <row r="957" spans="1:7">
      <c r="A957" s="67" t="s">
        <v>180</v>
      </c>
      <c r="B957" s="70">
        <v>46113</v>
      </c>
      <c r="C957" s="69">
        <v>1033</v>
      </c>
      <c r="D957" s="69">
        <v>7133</v>
      </c>
      <c r="E957" s="69">
        <v>1277</v>
      </c>
      <c r="F957" s="67">
        <v>7</v>
      </c>
      <c r="G957" s="71">
        <v>19.4</v>
      </c>
    </row>
    <row r="958" spans="1:7">
      <c r="A958" s="67" t="s">
        <v>182</v>
      </c>
      <c r="B958" s="70">
        <v>46113</v>
      </c>
      <c r="C958" s="69">
        <v>16</v>
      </c>
      <c r="D958" s="69">
        <v>107</v>
      </c>
      <c r="E958" s="69">
        <v>12</v>
      </c>
      <c r="F958" s="67">
        <v>6</v>
      </c>
      <c r="G958" s="71">
        <v>7.7</v>
      </c>
    </row>
    <row r="959" spans="1:7">
      <c r="A959" s="67" t="s">
        <v>184</v>
      </c>
      <c r="B959" s="70">
        <v>46113</v>
      </c>
      <c r="C959" s="69">
        <v>119</v>
      </c>
      <c r="D959" s="69">
        <v>1460</v>
      </c>
      <c r="E959" s="69">
        <v>240</v>
      </c>
      <c r="F959" s="67">
        <v>5</v>
      </c>
      <c r="G959" s="71">
        <v>35.5</v>
      </c>
    </row>
    <row r="960" spans="1:7">
      <c r="A960" s="67" t="s">
        <v>186</v>
      </c>
      <c r="B960" s="70">
        <v>46113</v>
      </c>
      <c r="C960" s="69">
        <v>103</v>
      </c>
      <c r="D960" s="69">
        <v>1849</v>
      </c>
      <c r="E960" s="69">
        <v>187</v>
      </c>
      <c r="F960" s="67">
        <v>6</v>
      </c>
      <c r="G960" s="71">
        <v>38.2</v>
      </c>
    </row>
    <row r="961" spans="1:7">
      <c r="A961" s="67" t="s">
        <v>188</v>
      </c>
      <c r="B961" s="70">
        <v>46113</v>
      </c>
      <c r="C961" s="69">
        <v>17</v>
      </c>
      <c r="D961" s="69">
        <v>121</v>
      </c>
      <c r="E961" s="69">
        <v>24</v>
      </c>
      <c r="F961" s="67">
        <v>2</v>
      </c>
      <c r="G961" s="71">
        <v>22</v>
      </c>
    </row>
    <row r="962" spans="1:7">
      <c r="A962" s="67" t="s">
        <v>190</v>
      </c>
      <c r="B962" s="70">
        <v>46113</v>
      </c>
      <c r="C962" s="69">
        <v>18</v>
      </c>
      <c r="D962" s="69">
        <v>210</v>
      </c>
      <c r="E962" s="69">
        <v>26</v>
      </c>
      <c r="F962" s="67">
        <v>5</v>
      </c>
      <c r="G962" s="71">
        <v>29.3</v>
      </c>
    </row>
    <row r="963" spans="1:7">
      <c r="A963" s="67" t="s">
        <v>192</v>
      </c>
      <c r="B963" s="70">
        <v>46113</v>
      </c>
      <c r="C963" s="69">
        <v>102</v>
      </c>
      <c r="D963" s="69">
        <v>718</v>
      </c>
      <c r="E963" s="69">
        <v>156</v>
      </c>
      <c r="F963" s="67">
        <v>4</v>
      </c>
      <c r="G963" s="71">
        <v>37.3</v>
      </c>
    </row>
    <row r="964" spans="1:7">
      <c r="A964" s="67" t="s">
        <v>194</v>
      </c>
      <c r="B964" s="70">
        <v>46113</v>
      </c>
      <c r="C964" s="69">
        <v>37</v>
      </c>
      <c r="D964" s="69">
        <v>238</v>
      </c>
      <c r="E964" s="69">
        <v>41</v>
      </c>
      <c r="F964" s="67">
        <v>3</v>
      </c>
      <c r="G964" s="71">
        <v>15.1</v>
      </c>
    </row>
    <row r="965" spans="1:7">
      <c r="A965" s="67" t="s">
        <v>198</v>
      </c>
      <c r="B965" s="70">
        <v>46113</v>
      </c>
      <c r="C965" s="69">
        <v>481</v>
      </c>
      <c r="D965" s="69">
        <v>4312</v>
      </c>
      <c r="E965" s="69">
        <v>541</v>
      </c>
      <c r="F965" s="67">
        <v>9</v>
      </c>
      <c r="G965" s="71">
        <v>15.3</v>
      </c>
    </row>
    <row r="966" spans="1:7">
      <c r="A966" s="67" t="s">
        <v>202</v>
      </c>
      <c r="B966" s="70">
        <v>46113</v>
      </c>
      <c r="C966" s="69">
        <v>137</v>
      </c>
      <c r="D966" s="69">
        <v>2081</v>
      </c>
      <c r="E966" s="69">
        <v>168</v>
      </c>
      <c r="F966" s="67">
        <v>7</v>
      </c>
      <c r="G966" s="71">
        <v>37.8</v>
      </c>
    </row>
    <row r="967" spans="1:7">
      <c r="A967" s="67" t="s">
        <v>204</v>
      </c>
      <c r="B967" s="70">
        <v>46113</v>
      </c>
      <c r="C967" s="69">
        <v>14</v>
      </c>
      <c r="D967" s="69">
        <v>103</v>
      </c>
      <c r="E967" s="69">
        <v>27</v>
      </c>
      <c r="F967" s="67">
        <v>7</v>
      </c>
      <c r="G967" s="71">
        <v>5.1</v>
      </c>
    </row>
    <row r="968" spans="1:7">
      <c r="A968" s="67" t="s">
        <v>206</v>
      </c>
      <c r="B968" s="70">
        <v>46113</v>
      </c>
      <c r="C968" s="69">
        <v>598</v>
      </c>
      <c r="D968" s="69">
        <v>3337</v>
      </c>
      <c r="E968" s="69">
        <v>812</v>
      </c>
      <c r="F968" s="67">
        <v>5</v>
      </c>
      <c r="G968" s="71">
        <v>15.8</v>
      </c>
    </row>
    <row r="969" spans="1:7">
      <c r="A969" s="67" t="s">
        <v>208</v>
      </c>
      <c r="B969" s="70">
        <v>46113</v>
      </c>
      <c r="C969" s="69">
        <v>12</v>
      </c>
      <c r="D969" s="69">
        <v>119</v>
      </c>
      <c r="E969" s="69">
        <v>26</v>
      </c>
      <c r="F969" s="67">
        <v>8</v>
      </c>
      <c r="G969" s="71">
        <v>34.2</v>
      </c>
    </row>
    <row r="970" spans="1:7">
      <c r="A970" s="67" t="s">
        <v>210</v>
      </c>
      <c r="B970" s="70">
        <v>46113</v>
      </c>
      <c r="C970" s="69">
        <v>124</v>
      </c>
      <c r="D970" s="69">
        <v>1646</v>
      </c>
      <c r="E970" s="69">
        <v>245</v>
      </c>
      <c r="F970" s="67">
        <v>4</v>
      </c>
      <c r="G970" s="71">
        <v>28.4</v>
      </c>
    </row>
    <row r="971" spans="1:7">
      <c r="A971" s="67" t="s">
        <v>212</v>
      </c>
      <c r="B971" s="70">
        <v>46113</v>
      </c>
      <c r="C971" s="69">
        <v>26</v>
      </c>
      <c r="D971" s="69">
        <v>160</v>
      </c>
      <c r="E971" s="69">
        <v>44</v>
      </c>
      <c r="F971" s="67">
        <v>8</v>
      </c>
      <c r="G971" s="71">
        <v>26.8</v>
      </c>
    </row>
    <row r="972" spans="1:7">
      <c r="A972" s="67" t="s">
        <v>214</v>
      </c>
      <c r="B972" s="70">
        <v>46113</v>
      </c>
      <c r="C972" s="69">
        <v>44</v>
      </c>
      <c r="D972" s="69">
        <v>414</v>
      </c>
      <c r="E972" s="69">
        <v>18</v>
      </c>
      <c r="F972" s="67">
        <v>7</v>
      </c>
      <c r="G972" s="71">
        <v>28.5</v>
      </c>
    </row>
    <row r="973" spans="1:7">
      <c r="A973" s="67" t="s">
        <v>216</v>
      </c>
      <c r="B973" s="70">
        <v>46113</v>
      </c>
      <c r="C973" s="69">
        <v>228</v>
      </c>
      <c r="D973" s="69">
        <v>1402</v>
      </c>
      <c r="E973" s="69">
        <v>151</v>
      </c>
      <c r="F973" s="67">
        <v>8</v>
      </c>
      <c r="G973" s="71">
        <v>5.9</v>
      </c>
    </row>
    <row r="974" spans="1:7">
      <c r="A974" s="67" t="s">
        <v>218</v>
      </c>
      <c r="B974" s="70">
        <v>46113</v>
      </c>
      <c r="C974" s="69">
        <v>11</v>
      </c>
      <c r="D974" s="69">
        <v>99</v>
      </c>
      <c r="E974" s="69">
        <v>19</v>
      </c>
      <c r="F974" s="67">
        <v>5</v>
      </c>
      <c r="G974" s="71">
        <v>27.5</v>
      </c>
    </row>
    <row r="975" spans="1:7">
      <c r="A975" s="67" t="s">
        <v>220</v>
      </c>
      <c r="B975" s="70">
        <v>46113</v>
      </c>
      <c r="C975" s="69">
        <v>75</v>
      </c>
      <c r="D975" s="69">
        <v>903</v>
      </c>
      <c r="E975" s="69">
        <v>148</v>
      </c>
      <c r="F975" s="67">
        <v>8</v>
      </c>
      <c r="G975" s="71">
        <v>38.5</v>
      </c>
    </row>
    <row r="976" spans="1:7">
      <c r="A976" s="67" t="s">
        <v>222</v>
      </c>
      <c r="B976" s="70">
        <v>46113</v>
      </c>
      <c r="C976" s="69">
        <v>26</v>
      </c>
      <c r="D976" s="69">
        <v>300</v>
      </c>
      <c r="E976" s="69">
        <v>9</v>
      </c>
      <c r="F976" s="67">
        <v>5</v>
      </c>
      <c r="G976" s="71">
        <v>28</v>
      </c>
    </row>
    <row r="977" spans="1:7">
      <c r="A977" s="67" t="s">
        <v>224</v>
      </c>
      <c r="B977" s="70">
        <v>46113</v>
      </c>
      <c r="C977" s="69">
        <v>7</v>
      </c>
      <c r="D977" s="69">
        <v>60</v>
      </c>
      <c r="E977" s="69">
        <v>5</v>
      </c>
      <c r="F977" s="67">
        <v>6</v>
      </c>
      <c r="G977" s="71">
        <v>34</v>
      </c>
    </row>
    <row r="978" spans="1:7">
      <c r="A978" s="67" t="s">
        <v>226</v>
      </c>
      <c r="B978" s="70">
        <v>46113</v>
      </c>
      <c r="C978" s="69">
        <v>11</v>
      </c>
      <c r="D978" s="69">
        <v>67</v>
      </c>
      <c r="E978" s="69">
        <v>16</v>
      </c>
      <c r="F978" s="67">
        <v>3</v>
      </c>
      <c r="G978" s="71">
        <v>16.2</v>
      </c>
    </row>
    <row r="979" spans="1:7">
      <c r="A979" s="67" t="s">
        <v>228</v>
      </c>
      <c r="B979" s="70">
        <v>46113</v>
      </c>
      <c r="C979" s="69">
        <v>11</v>
      </c>
      <c r="D979" s="69">
        <v>189</v>
      </c>
      <c r="E979" s="69">
        <v>12</v>
      </c>
      <c r="F979" s="67">
        <v>5</v>
      </c>
      <c r="G979" s="71">
        <v>11.3</v>
      </c>
    </row>
    <row r="980" spans="1:7">
      <c r="A980" s="67" t="s">
        <v>230</v>
      </c>
      <c r="B980" s="70">
        <v>46113</v>
      </c>
      <c r="C980" s="69">
        <v>210</v>
      </c>
      <c r="D980" s="69">
        <v>2093</v>
      </c>
      <c r="E980" s="69">
        <v>105</v>
      </c>
      <c r="F980" s="67">
        <v>8</v>
      </c>
      <c r="G980" s="71">
        <v>39.3</v>
      </c>
    </row>
    <row r="981" spans="1:7">
      <c r="A981" s="67" t="s">
        <v>232</v>
      </c>
      <c r="B981" s="70">
        <v>46113</v>
      </c>
      <c r="C981" s="69">
        <v>146</v>
      </c>
      <c r="D981" s="69">
        <v>1077</v>
      </c>
      <c r="E981" s="69">
        <v>291</v>
      </c>
      <c r="F981" s="67">
        <v>8</v>
      </c>
      <c r="G981" s="71">
        <v>10.4</v>
      </c>
    </row>
    <row r="982" spans="1:7">
      <c r="A982" s="67" t="s">
        <v>234</v>
      </c>
      <c r="B982" s="70">
        <v>46113</v>
      </c>
      <c r="C982" s="69">
        <v>26</v>
      </c>
      <c r="D982" s="69">
        <v>150</v>
      </c>
      <c r="E982" s="69">
        <v>63</v>
      </c>
      <c r="F982" s="67">
        <v>6</v>
      </c>
      <c r="G982" s="71">
        <v>11.4</v>
      </c>
    </row>
    <row r="983" spans="1:7">
      <c r="A983" s="67" t="s">
        <v>236</v>
      </c>
      <c r="B983" s="70">
        <v>46113</v>
      </c>
      <c r="C983" s="69">
        <v>69</v>
      </c>
      <c r="D983" s="69">
        <v>434</v>
      </c>
      <c r="E983" s="69">
        <v>42</v>
      </c>
      <c r="F983" s="67">
        <v>2</v>
      </c>
      <c r="G983" s="71">
        <v>36.3</v>
      </c>
    </row>
    <row r="984" spans="1:7">
      <c r="A984" s="67" t="s">
        <v>238</v>
      </c>
      <c r="B984" s="70">
        <v>46113</v>
      </c>
      <c r="C984" s="69">
        <v>24</v>
      </c>
      <c r="D984" s="69">
        <v>401</v>
      </c>
      <c r="E984" s="69">
        <v>10</v>
      </c>
      <c r="F984" s="67">
        <v>10</v>
      </c>
      <c r="G984" s="71">
        <v>13.4</v>
      </c>
    </row>
    <row r="985" spans="1:7">
      <c r="A985" s="67" t="s">
        <v>240</v>
      </c>
      <c r="B985" s="70">
        <v>46113</v>
      </c>
      <c r="C985" s="69">
        <v>22</v>
      </c>
      <c r="D985" s="69">
        <v>255</v>
      </c>
      <c r="E985" s="69">
        <v>31</v>
      </c>
      <c r="F985" s="67">
        <v>6</v>
      </c>
      <c r="G985" s="71">
        <v>38.2</v>
      </c>
    </row>
    <row r="986" spans="1:7">
      <c r="A986" s="67" t="s">
        <v>242</v>
      </c>
      <c r="B986" s="70">
        <v>46113</v>
      </c>
      <c r="C986" s="69">
        <v>670</v>
      </c>
      <c r="D986" s="69">
        <v>8168</v>
      </c>
      <c r="E986" s="69">
        <v>297</v>
      </c>
      <c r="F986" s="67">
        <v>9</v>
      </c>
      <c r="G986" s="71">
        <v>6</v>
      </c>
    </row>
    <row r="987" spans="1:7">
      <c r="A987" s="67" t="s">
        <v>244</v>
      </c>
      <c r="B987" s="70">
        <v>46113</v>
      </c>
      <c r="C987" s="69">
        <v>29</v>
      </c>
      <c r="D987" s="69">
        <v>152</v>
      </c>
      <c r="E987" s="69">
        <v>44</v>
      </c>
      <c r="F987" s="67">
        <v>5</v>
      </c>
      <c r="G987" s="71">
        <v>25.5</v>
      </c>
    </row>
    <row r="988" spans="1:7">
      <c r="A988" s="67" t="s">
        <v>246</v>
      </c>
      <c r="B988" s="70">
        <v>46113</v>
      </c>
      <c r="C988" s="69">
        <v>54</v>
      </c>
      <c r="D988" s="69">
        <v>727</v>
      </c>
      <c r="E988" s="69">
        <v>31</v>
      </c>
      <c r="F988" s="67">
        <v>9</v>
      </c>
      <c r="G988" s="71">
        <v>24.9</v>
      </c>
    </row>
    <row r="989" spans="1:7">
      <c r="A989" s="67" t="s">
        <v>248</v>
      </c>
      <c r="B989" s="70">
        <v>46113</v>
      </c>
      <c r="C989" s="69">
        <v>26</v>
      </c>
      <c r="D989" s="69">
        <v>299</v>
      </c>
      <c r="E989" s="69">
        <v>53</v>
      </c>
      <c r="F989" s="67">
        <v>7</v>
      </c>
      <c r="G989" s="71">
        <v>10</v>
      </c>
    </row>
    <row r="990" spans="1:7">
      <c r="A990" s="67" t="s">
        <v>250</v>
      </c>
      <c r="B990" s="70">
        <v>46113</v>
      </c>
      <c r="C990" s="69">
        <v>144</v>
      </c>
      <c r="D990" s="69">
        <v>1179</v>
      </c>
      <c r="E990" s="69">
        <v>345</v>
      </c>
      <c r="F990" s="67">
        <v>5</v>
      </c>
      <c r="G990" s="71">
        <v>38.6</v>
      </c>
    </row>
    <row r="991" spans="1:7">
      <c r="A991" s="67" t="s">
        <v>252</v>
      </c>
      <c r="B991" s="70">
        <v>46113</v>
      </c>
      <c r="C991" s="69">
        <v>14</v>
      </c>
      <c r="D991" s="69">
        <v>218</v>
      </c>
      <c r="E991" s="69">
        <v>34</v>
      </c>
      <c r="F991" s="67">
        <v>6</v>
      </c>
      <c r="G991" s="71">
        <v>26.7</v>
      </c>
    </row>
    <row r="992" spans="1:7">
      <c r="A992" s="67" t="s">
        <v>254</v>
      </c>
      <c r="B992" s="70">
        <v>46113</v>
      </c>
      <c r="C992" s="69">
        <v>102</v>
      </c>
      <c r="D992" s="69">
        <v>590</v>
      </c>
      <c r="E992" s="69">
        <v>237</v>
      </c>
      <c r="F992" s="67">
        <v>5</v>
      </c>
      <c r="G992" s="71">
        <v>14.6</v>
      </c>
    </row>
    <row r="993" spans="1:7">
      <c r="A993" s="67" t="s">
        <v>256</v>
      </c>
      <c r="B993" s="70">
        <v>46113</v>
      </c>
      <c r="C993" s="69">
        <v>190</v>
      </c>
      <c r="D993" s="69">
        <v>3418</v>
      </c>
      <c r="E993" s="69">
        <v>409</v>
      </c>
      <c r="F993" s="67">
        <v>8</v>
      </c>
      <c r="G993" s="71">
        <v>12.4</v>
      </c>
    </row>
    <row r="994" spans="1:7">
      <c r="A994" s="67" t="s">
        <v>258</v>
      </c>
      <c r="B994" s="70">
        <v>46113</v>
      </c>
      <c r="C994" s="69">
        <v>455</v>
      </c>
      <c r="D994" s="69">
        <v>3230</v>
      </c>
      <c r="E994" s="69">
        <v>671</v>
      </c>
      <c r="F994" s="67">
        <v>5</v>
      </c>
      <c r="G994" s="71">
        <v>7.4</v>
      </c>
    </row>
    <row r="995" spans="1:7">
      <c r="A995" s="67" t="s">
        <v>260</v>
      </c>
      <c r="B995" s="70">
        <v>46113</v>
      </c>
      <c r="C995" s="69">
        <v>918</v>
      </c>
      <c r="D995" s="69">
        <v>14501</v>
      </c>
      <c r="E995" s="69">
        <v>1740</v>
      </c>
      <c r="F995" s="67">
        <v>7</v>
      </c>
      <c r="G995" s="71">
        <v>40</v>
      </c>
    </row>
    <row r="996" spans="1:7">
      <c r="A996" s="67" t="s">
        <v>262</v>
      </c>
      <c r="B996" s="70">
        <v>46113</v>
      </c>
      <c r="C996" s="69">
        <v>60</v>
      </c>
      <c r="D996" s="69">
        <v>694</v>
      </c>
      <c r="E996" s="69">
        <v>124</v>
      </c>
      <c r="F996" s="67">
        <v>8</v>
      </c>
      <c r="G996" s="71">
        <v>35.9</v>
      </c>
    </row>
    <row r="997" spans="1:7">
      <c r="A997" s="67" t="s">
        <v>264</v>
      </c>
      <c r="B997" s="70">
        <v>46113</v>
      </c>
      <c r="C997" s="69">
        <v>801</v>
      </c>
      <c r="D997" s="69">
        <v>14206</v>
      </c>
      <c r="E997" s="69">
        <v>1488</v>
      </c>
      <c r="F997" s="67">
        <v>6</v>
      </c>
      <c r="G997" s="71">
        <v>14.6</v>
      </c>
    </row>
    <row r="998" spans="1:7">
      <c r="A998" s="67" t="s">
        <v>266</v>
      </c>
      <c r="B998" s="70">
        <v>46113</v>
      </c>
      <c r="C998" s="69">
        <v>76</v>
      </c>
      <c r="D998" s="69">
        <v>588</v>
      </c>
      <c r="E998" s="69">
        <v>183</v>
      </c>
      <c r="F998" s="67">
        <v>4</v>
      </c>
      <c r="G998" s="71">
        <v>16.5</v>
      </c>
    </row>
    <row r="999" spans="1:7">
      <c r="A999" s="67" t="s">
        <v>268</v>
      </c>
      <c r="B999" s="70">
        <v>46113</v>
      </c>
      <c r="C999" s="69">
        <v>23</v>
      </c>
      <c r="D999" s="69">
        <v>391</v>
      </c>
      <c r="E999" s="69">
        <v>38</v>
      </c>
      <c r="F999" s="67">
        <v>3</v>
      </c>
      <c r="G999" s="71">
        <v>5.1</v>
      </c>
    </row>
    <row r="1000" spans="1:7">
      <c r="A1000" s="67" t="s">
        <v>270</v>
      </c>
      <c r="B1000" s="70">
        <v>46113</v>
      </c>
      <c r="C1000" s="69">
        <v>44</v>
      </c>
      <c r="D1000" s="69">
        <v>538</v>
      </c>
      <c r="E1000" s="69">
        <v>81</v>
      </c>
      <c r="F1000" s="67">
        <v>7</v>
      </c>
      <c r="G1000" s="71">
        <v>22.1</v>
      </c>
    </row>
    <row r="1001" spans="1:7">
      <c r="A1001" s="67" t="s">
        <v>272</v>
      </c>
      <c r="B1001" s="70">
        <v>46113</v>
      </c>
      <c r="C1001" s="69">
        <v>28</v>
      </c>
      <c r="D1001" s="69">
        <v>459</v>
      </c>
      <c r="E1001" s="69">
        <v>49</v>
      </c>
      <c r="F1001" s="67">
        <v>8</v>
      </c>
      <c r="G1001" s="71">
        <v>23.9</v>
      </c>
    </row>
    <row r="1002" spans="1:7">
      <c r="A1002" s="67" t="s">
        <v>274</v>
      </c>
      <c r="B1002" s="70">
        <v>46113</v>
      </c>
      <c r="C1002" s="69">
        <v>403</v>
      </c>
      <c r="D1002" s="69">
        <v>4347</v>
      </c>
      <c r="E1002" s="69">
        <v>230</v>
      </c>
      <c r="F1002" s="67">
        <v>3</v>
      </c>
      <c r="G1002" s="71">
        <v>39</v>
      </c>
    </row>
    <row r="1003" spans="1:7">
      <c r="A1003" s="67" t="s">
        <v>276</v>
      </c>
      <c r="B1003" s="70">
        <v>46113</v>
      </c>
      <c r="C1003" s="69">
        <v>128</v>
      </c>
      <c r="D1003" s="69">
        <v>1284</v>
      </c>
      <c r="E1003" s="69">
        <v>275</v>
      </c>
      <c r="F1003" s="67">
        <v>6</v>
      </c>
      <c r="G1003" s="71">
        <v>33.4</v>
      </c>
    </row>
    <row r="1004" spans="1:7">
      <c r="A1004" s="67" t="s">
        <v>278</v>
      </c>
      <c r="B1004" s="70">
        <v>46113</v>
      </c>
      <c r="C1004" s="69">
        <v>29</v>
      </c>
      <c r="D1004" s="69">
        <v>285</v>
      </c>
      <c r="E1004" s="69">
        <v>21</v>
      </c>
      <c r="F1004" s="67">
        <v>5</v>
      </c>
      <c r="G1004" s="71">
        <v>5.3</v>
      </c>
    </row>
    <row r="1005" spans="1:7">
      <c r="A1005" s="67" t="s">
        <v>280</v>
      </c>
      <c r="B1005" s="70">
        <v>46113</v>
      </c>
      <c r="C1005" s="69">
        <v>16</v>
      </c>
      <c r="D1005" s="69">
        <v>222</v>
      </c>
      <c r="E1005" s="69">
        <v>30</v>
      </c>
      <c r="F1005" s="67">
        <v>5</v>
      </c>
      <c r="G1005" s="71">
        <v>11.7</v>
      </c>
    </row>
    <row r="1006" spans="1:7">
      <c r="A1006" s="67" t="s">
        <v>282</v>
      </c>
      <c r="B1006" s="70">
        <v>46113</v>
      </c>
      <c r="C1006" s="69">
        <v>39</v>
      </c>
      <c r="D1006" s="69">
        <v>605</v>
      </c>
      <c r="E1006" s="69">
        <v>31</v>
      </c>
      <c r="F1006" s="67">
        <v>7</v>
      </c>
      <c r="G1006" s="71">
        <v>39.3</v>
      </c>
    </row>
    <row r="1007" spans="1:7">
      <c r="A1007" s="67" t="s">
        <v>284</v>
      </c>
      <c r="B1007" s="70">
        <v>46113</v>
      </c>
      <c r="C1007" s="69">
        <v>149</v>
      </c>
      <c r="D1007" s="69">
        <v>1700</v>
      </c>
      <c r="E1007" s="69">
        <v>275</v>
      </c>
      <c r="F1007" s="67">
        <v>6</v>
      </c>
      <c r="G1007" s="71">
        <v>26.2</v>
      </c>
    </row>
    <row r="1008" spans="1:7">
      <c r="A1008" s="67" t="s">
        <v>286</v>
      </c>
      <c r="B1008" s="70">
        <v>46113</v>
      </c>
      <c r="C1008" s="69">
        <v>21</v>
      </c>
      <c r="D1008" s="69">
        <v>279</v>
      </c>
      <c r="E1008" s="69">
        <v>11</v>
      </c>
      <c r="F1008" s="67">
        <v>6</v>
      </c>
      <c r="G1008" s="71">
        <v>14.7</v>
      </c>
    </row>
    <row r="1009" spans="1:7">
      <c r="A1009" s="67" t="s">
        <v>288</v>
      </c>
      <c r="B1009" s="70">
        <v>46113</v>
      </c>
      <c r="C1009" s="69">
        <v>195</v>
      </c>
      <c r="D1009" s="69">
        <v>1466</v>
      </c>
      <c r="E1009" s="69">
        <v>375</v>
      </c>
      <c r="F1009" s="67">
        <v>6</v>
      </c>
      <c r="G1009" s="71">
        <v>28.5</v>
      </c>
    </row>
    <row r="1010" spans="1:7">
      <c r="A1010" s="67" t="s">
        <v>290</v>
      </c>
      <c r="B1010" s="70">
        <v>46113</v>
      </c>
      <c r="C1010" s="69">
        <v>220</v>
      </c>
      <c r="D1010" s="69">
        <v>2782</v>
      </c>
      <c r="E1010" s="69">
        <v>427</v>
      </c>
      <c r="F1010" s="67">
        <v>7</v>
      </c>
      <c r="G1010" s="71">
        <v>9.5</v>
      </c>
    </row>
    <row r="1011" spans="1:7">
      <c r="A1011" s="67" t="s">
        <v>292</v>
      </c>
      <c r="B1011" s="70">
        <v>46113</v>
      </c>
      <c r="C1011" s="69">
        <v>90</v>
      </c>
      <c r="D1011" s="69">
        <v>1481</v>
      </c>
      <c r="E1011" s="69">
        <v>171</v>
      </c>
      <c r="F1011" s="67">
        <v>2</v>
      </c>
      <c r="G1011" s="71">
        <v>14.6</v>
      </c>
    </row>
    <row r="1012" spans="1:7">
      <c r="A1012" s="67" t="s">
        <v>294</v>
      </c>
      <c r="B1012" s="70">
        <v>46113</v>
      </c>
      <c r="C1012" s="69">
        <v>32</v>
      </c>
      <c r="D1012" s="69">
        <v>563</v>
      </c>
      <c r="E1012" s="69">
        <v>57</v>
      </c>
      <c r="F1012" s="67">
        <v>6</v>
      </c>
      <c r="G1012" s="71">
        <v>26.5</v>
      </c>
    </row>
    <row r="1013" spans="1:7">
      <c r="A1013" s="67" t="s">
        <v>296</v>
      </c>
      <c r="B1013" s="70">
        <v>46113</v>
      </c>
      <c r="C1013" s="69">
        <v>244</v>
      </c>
      <c r="D1013" s="69">
        <v>1226</v>
      </c>
      <c r="E1013" s="69">
        <v>302</v>
      </c>
      <c r="F1013" s="67">
        <v>5</v>
      </c>
      <c r="G1013" s="71">
        <v>28.6</v>
      </c>
    </row>
    <row r="1014" spans="1:7">
      <c r="A1014" s="67" t="s">
        <v>298</v>
      </c>
      <c r="B1014" s="70">
        <v>46113</v>
      </c>
      <c r="C1014" s="69">
        <v>199</v>
      </c>
      <c r="D1014" s="69">
        <v>1831</v>
      </c>
      <c r="E1014" s="69">
        <v>429</v>
      </c>
      <c r="F1014" s="67">
        <v>5</v>
      </c>
      <c r="G1014" s="71">
        <v>19.2</v>
      </c>
    </row>
    <row r="1015" spans="1:7">
      <c r="A1015" s="67" t="s">
        <v>300</v>
      </c>
      <c r="B1015" s="70">
        <v>46113</v>
      </c>
      <c r="C1015" s="69">
        <v>72</v>
      </c>
      <c r="D1015" s="69">
        <v>824</v>
      </c>
      <c r="E1015" s="69">
        <v>104</v>
      </c>
      <c r="F1015" s="67">
        <v>4</v>
      </c>
      <c r="G1015" s="71">
        <v>6.5</v>
      </c>
    </row>
    <row r="1016" spans="1:7">
      <c r="A1016" s="67" t="s">
        <v>302</v>
      </c>
      <c r="B1016" s="70">
        <v>46113</v>
      </c>
      <c r="C1016" s="69">
        <v>21</v>
      </c>
      <c r="D1016" s="69">
        <v>356</v>
      </c>
      <c r="E1016" s="69">
        <v>31</v>
      </c>
      <c r="F1016" s="67">
        <v>6</v>
      </c>
      <c r="G1016" s="71">
        <v>16.1</v>
      </c>
    </row>
    <row r="1017" spans="1:7">
      <c r="A1017" s="67" t="s">
        <v>306</v>
      </c>
      <c r="B1017" s="70">
        <v>46113</v>
      </c>
      <c r="C1017" s="69">
        <v>80</v>
      </c>
      <c r="D1017" s="69">
        <v>1315</v>
      </c>
      <c r="E1017" s="69">
        <v>166</v>
      </c>
      <c r="F1017" s="67">
        <v>6</v>
      </c>
      <c r="G1017" s="71">
        <v>39.7</v>
      </c>
    </row>
    <row r="1018" spans="1:7">
      <c r="A1018" s="67" t="s">
        <v>308</v>
      </c>
      <c r="B1018" s="70">
        <v>46113</v>
      </c>
      <c r="C1018" s="69">
        <v>132</v>
      </c>
      <c r="D1018" s="69">
        <v>2304</v>
      </c>
      <c r="E1018" s="69">
        <v>306</v>
      </c>
      <c r="F1018" s="67">
        <v>6</v>
      </c>
      <c r="G1018" s="71">
        <v>11.9</v>
      </c>
    </row>
    <row r="1019" spans="1:7">
      <c r="A1019" s="67" t="s">
        <v>310</v>
      </c>
      <c r="B1019" s="70">
        <v>46113</v>
      </c>
      <c r="C1019" s="69">
        <v>154</v>
      </c>
      <c r="D1019" s="69">
        <v>2022</v>
      </c>
      <c r="E1019" s="69">
        <v>56</v>
      </c>
      <c r="F1019" s="67">
        <v>7</v>
      </c>
      <c r="G1019" s="71">
        <v>20.1</v>
      </c>
    </row>
    <row r="1020" spans="1:7">
      <c r="A1020" s="67" t="s">
        <v>312</v>
      </c>
      <c r="B1020" s="70">
        <v>46113</v>
      </c>
      <c r="C1020" s="69">
        <v>179</v>
      </c>
      <c r="D1020" s="69">
        <v>3071</v>
      </c>
      <c r="E1020" s="69">
        <v>385</v>
      </c>
      <c r="F1020" s="67">
        <v>6</v>
      </c>
      <c r="G1020" s="71">
        <v>13.7</v>
      </c>
    </row>
    <row r="1021" spans="1:7">
      <c r="A1021" s="67" t="s">
        <v>314</v>
      </c>
      <c r="B1021" s="70">
        <v>46113</v>
      </c>
      <c r="C1021" s="69">
        <v>8</v>
      </c>
      <c r="D1021" s="69">
        <v>127</v>
      </c>
      <c r="E1021" s="69">
        <v>17</v>
      </c>
      <c r="F1021" s="67">
        <v>5</v>
      </c>
      <c r="G1021" s="71">
        <v>23.2</v>
      </c>
    </row>
    <row r="1022" spans="1:7">
      <c r="A1022" s="67" t="s">
        <v>316</v>
      </c>
      <c r="B1022" s="70">
        <v>46113</v>
      </c>
      <c r="C1022" s="69">
        <v>16</v>
      </c>
      <c r="D1022" s="69">
        <v>205</v>
      </c>
      <c r="E1022" s="69">
        <v>20</v>
      </c>
      <c r="F1022" s="67">
        <v>4</v>
      </c>
      <c r="G1022" s="71">
        <v>8.300000000000001</v>
      </c>
    </row>
    <row r="1023" spans="1:7">
      <c r="A1023" s="67" t="s">
        <v>318</v>
      </c>
      <c r="B1023" s="70">
        <v>46113</v>
      </c>
      <c r="C1023" s="69">
        <v>142</v>
      </c>
      <c r="D1023" s="69">
        <v>2509</v>
      </c>
      <c r="E1023" s="69">
        <v>329</v>
      </c>
      <c r="F1023" s="67">
        <v>6</v>
      </c>
      <c r="G1023" s="71">
        <v>18.2</v>
      </c>
    </row>
    <row r="1024" spans="1:7">
      <c r="A1024" s="67" t="s">
        <v>320</v>
      </c>
      <c r="B1024" s="70">
        <v>46113</v>
      </c>
      <c r="C1024" s="69">
        <v>112</v>
      </c>
      <c r="D1024" s="69">
        <v>1700</v>
      </c>
      <c r="E1024" s="69">
        <v>49</v>
      </c>
      <c r="F1024" s="67">
        <v>3</v>
      </c>
      <c r="G1024" s="71">
        <v>33.1</v>
      </c>
    </row>
    <row r="1025" spans="1:7">
      <c r="A1025" s="67" t="s">
        <v>322</v>
      </c>
      <c r="B1025" s="70">
        <v>46113</v>
      </c>
      <c r="C1025" s="69">
        <v>58</v>
      </c>
      <c r="D1025" s="69">
        <v>616</v>
      </c>
      <c r="E1025" s="69">
        <v>30</v>
      </c>
      <c r="F1025" s="67">
        <v>5</v>
      </c>
      <c r="G1025" s="71">
        <v>7</v>
      </c>
    </row>
    <row r="1026" spans="1:7">
      <c r="A1026" s="67" t="s">
        <v>324</v>
      </c>
      <c r="B1026" s="70">
        <v>46113</v>
      </c>
      <c r="C1026" s="69">
        <v>885</v>
      </c>
      <c r="D1026" s="69">
        <v>9046</v>
      </c>
      <c r="E1026" s="69">
        <v>1467</v>
      </c>
      <c r="F1026" s="67">
        <v>7</v>
      </c>
      <c r="G1026" s="71">
        <v>19.4</v>
      </c>
    </row>
    <row r="1027" spans="1:7">
      <c r="A1027" s="67" t="s">
        <v>326</v>
      </c>
      <c r="B1027" s="70">
        <v>46113</v>
      </c>
      <c r="C1027" s="69">
        <v>36</v>
      </c>
      <c r="D1027" s="69">
        <v>472</v>
      </c>
      <c r="E1027" s="69">
        <v>47</v>
      </c>
      <c r="F1027" s="67">
        <v>6</v>
      </c>
      <c r="G1027" s="71">
        <v>21.2</v>
      </c>
    </row>
    <row r="1028" spans="1:7">
      <c r="A1028" s="67" t="s">
        <v>328</v>
      </c>
      <c r="B1028" s="70">
        <v>46113</v>
      </c>
      <c r="C1028" s="69">
        <v>129</v>
      </c>
      <c r="D1028" s="69">
        <v>815</v>
      </c>
      <c r="E1028" s="69">
        <v>223</v>
      </c>
      <c r="F1028" s="67">
        <v>7</v>
      </c>
      <c r="G1028" s="71">
        <v>28.7</v>
      </c>
    </row>
    <row r="1029" spans="1:7">
      <c r="A1029" s="67" t="s">
        <v>330</v>
      </c>
      <c r="B1029" s="70">
        <v>46113</v>
      </c>
      <c r="C1029" s="69">
        <v>44</v>
      </c>
      <c r="D1029" s="69">
        <v>556</v>
      </c>
      <c r="E1029" s="69">
        <v>24</v>
      </c>
      <c r="F1029" s="67">
        <v>8</v>
      </c>
      <c r="G1029" s="71">
        <v>5.4</v>
      </c>
    </row>
    <row r="1030" spans="1:7">
      <c r="A1030" s="67" t="s">
        <v>332</v>
      </c>
      <c r="B1030" s="70">
        <v>46113</v>
      </c>
      <c r="C1030" s="69">
        <v>38</v>
      </c>
      <c r="D1030" s="69">
        <v>605</v>
      </c>
      <c r="E1030" s="69">
        <v>87</v>
      </c>
      <c r="F1030" s="67">
        <v>7</v>
      </c>
      <c r="G1030" s="71">
        <v>9.4</v>
      </c>
    </row>
    <row r="1031" spans="1:7">
      <c r="A1031" s="67" t="s">
        <v>334</v>
      </c>
      <c r="B1031" s="70">
        <v>46113</v>
      </c>
      <c r="C1031" s="69">
        <v>297</v>
      </c>
      <c r="D1031" s="69">
        <v>3344</v>
      </c>
      <c r="E1031" s="69">
        <v>495</v>
      </c>
      <c r="F1031" s="67">
        <v>4</v>
      </c>
      <c r="G1031" s="71">
        <v>11.5</v>
      </c>
    </row>
    <row r="1032" spans="1:7">
      <c r="A1032" s="67" t="s">
        <v>336</v>
      </c>
      <c r="B1032" s="70">
        <v>46113</v>
      </c>
      <c r="C1032" s="69">
        <v>807</v>
      </c>
      <c r="D1032" s="69">
        <v>5374</v>
      </c>
      <c r="E1032" s="69">
        <v>1280</v>
      </c>
      <c r="F1032" s="67">
        <v>6</v>
      </c>
      <c r="G1032" s="71">
        <v>23</v>
      </c>
    </row>
    <row r="1033" spans="1:7">
      <c r="A1033" s="67" t="s">
        <v>338</v>
      </c>
      <c r="B1033" s="70">
        <v>46113</v>
      </c>
      <c r="C1033" s="69">
        <v>25</v>
      </c>
      <c r="D1033" s="69">
        <v>315</v>
      </c>
      <c r="E1033" s="69">
        <v>37</v>
      </c>
      <c r="F1033" s="67">
        <v>4</v>
      </c>
      <c r="G1033" s="71">
        <v>10.1</v>
      </c>
    </row>
    <row r="1034" spans="1:7">
      <c r="A1034" s="67" t="s">
        <v>340</v>
      </c>
      <c r="B1034" s="70">
        <v>46113</v>
      </c>
      <c r="C1034" s="69">
        <v>79</v>
      </c>
      <c r="D1034" s="69">
        <v>694</v>
      </c>
      <c r="E1034" s="69">
        <v>192</v>
      </c>
      <c r="F1034" s="67">
        <v>8</v>
      </c>
      <c r="G1034" s="71">
        <v>23.1</v>
      </c>
    </row>
    <row r="1035" spans="1:7">
      <c r="A1035" s="67" t="s">
        <v>342</v>
      </c>
      <c r="B1035" s="70">
        <v>46113</v>
      </c>
      <c r="C1035" s="69">
        <v>10</v>
      </c>
      <c r="D1035" s="69">
        <v>81</v>
      </c>
      <c r="E1035" s="69">
        <v>21</v>
      </c>
      <c r="F1035" s="67">
        <v>6</v>
      </c>
      <c r="G1035" s="71">
        <v>24.6</v>
      </c>
    </row>
    <row r="1036" spans="1:7">
      <c r="A1036" s="67" t="s">
        <v>344</v>
      </c>
      <c r="B1036" s="70">
        <v>46113</v>
      </c>
      <c r="C1036" s="69">
        <v>14</v>
      </c>
      <c r="D1036" s="69">
        <v>248</v>
      </c>
      <c r="E1036" s="69">
        <v>24</v>
      </c>
      <c r="F1036" s="67">
        <v>5</v>
      </c>
      <c r="G1036" s="71">
        <v>12</v>
      </c>
    </row>
    <row r="1037" spans="1:7">
      <c r="A1037" s="67" t="s">
        <v>346</v>
      </c>
      <c r="B1037" s="70">
        <v>46113</v>
      </c>
      <c r="C1037" s="69">
        <v>234</v>
      </c>
      <c r="D1037" s="69">
        <v>2617</v>
      </c>
      <c r="E1037" s="69">
        <v>426</v>
      </c>
      <c r="F1037" s="67">
        <v>4</v>
      </c>
      <c r="G1037" s="71">
        <v>21.4</v>
      </c>
    </row>
    <row r="1038" spans="1:7">
      <c r="A1038" s="67" t="s">
        <v>23</v>
      </c>
      <c r="B1038" s="70">
        <v>46143</v>
      </c>
      <c r="C1038" s="69">
        <v>56</v>
      </c>
      <c r="D1038" s="69">
        <v>692</v>
      </c>
      <c r="E1038" s="69">
        <v>58</v>
      </c>
      <c r="F1038" s="67">
        <v>6</v>
      </c>
      <c r="G1038" s="71">
        <v>15.5</v>
      </c>
    </row>
    <row r="1039" spans="1:7">
      <c r="A1039" s="67" t="s">
        <v>30</v>
      </c>
      <c r="B1039" s="70">
        <v>46143</v>
      </c>
      <c r="C1039" s="69">
        <v>222</v>
      </c>
      <c r="D1039" s="69">
        <v>3638</v>
      </c>
      <c r="E1039" s="69">
        <v>511</v>
      </c>
      <c r="F1039" s="67">
        <v>8</v>
      </c>
      <c r="G1039" s="71">
        <v>22.4</v>
      </c>
    </row>
    <row r="1040" spans="1:7">
      <c r="A1040" s="67" t="s">
        <v>35</v>
      </c>
      <c r="B1040" s="70">
        <v>46143</v>
      </c>
      <c r="C1040" s="69">
        <v>21</v>
      </c>
      <c r="D1040" s="69">
        <v>294</v>
      </c>
      <c r="E1040" s="69">
        <v>28</v>
      </c>
      <c r="F1040" s="67">
        <v>4</v>
      </c>
      <c r="G1040" s="71">
        <v>12.5</v>
      </c>
    </row>
    <row r="1041" spans="1:7">
      <c r="A1041" s="67" t="s">
        <v>41</v>
      </c>
      <c r="B1041" s="70">
        <v>46143</v>
      </c>
      <c r="C1041" s="69">
        <v>63</v>
      </c>
      <c r="D1041" s="69">
        <v>982</v>
      </c>
      <c r="E1041" s="69">
        <v>131</v>
      </c>
      <c r="F1041" s="67">
        <v>5</v>
      </c>
      <c r="G1041" s="71">
        <v>18.2</v>
      </c>
    </row>
    <row r="1042" spans="1:7">
      <c r="A1042" s="67" t="s">
        <v>44</v>
      </c>
      <c r="B1042" s="70">
        <v>46143</v>
      </c>
      <c r="C1042" s="69">
        <v>56</v>
      </c>
      <c r="D1042" s="69">
        <v>285</v>
      </c>
      <c r="E1042" s="69">
        <v>18</v>
      </c>
      <c r="F1042" s="67">
        <v>7</v>
      </c>
      <c r="G1042" s="71">
        <v>17.5</v>
      </c>
    </row>
    <row r="1043" spans="1:7">
      <c r="A1043" s="67" t="s">
        <v>47</v>
      </c>
      <c r="B1043" s="70">
        <v>46143</v>
      </c>
      <c r="C1043" s="69">
        <v>15</v>
      </c>
      <c r="D1043" s="69">
        <v>161</v>
      </c>
      <c r="E1043" s="69">
        <v>25</v>
      </c>
      <c r="F1043" s="67">
        <v>4</v>
      </c>
      <c r="G1043" s="71">
        <v>36.9</v>
      </c>
    </row>
    <row r="1044" spans="1:7">
      <c r="A1044" s="67" t="s">
        <v>51</v>
      </c>
      <c r="B1044" s="70">
        <v>46143</v>
      </c>
      <c r="C1044" s="69">
        <v>887</v>
      </c>
      <c r="D1044" s="69">
        <v>6731</v>
      </c>
      <c r="E1044" s="69">
        <v>820</v>
      </c>
      <c r="F1044" s="67">
        <v>10</v>
      </c>
      <c r="G1044" s="71">
        <v>12.7</v>
      </c>
    </row>
    <row r="1045" spans="1:7">
      <c r="A1045" s="67" t="s">
        <v>54</v>
      </c>
      <c r="B1045" s="70">
        <v>46143</v>
      </c>
      <c r="C1045" s="69">
        <v>5</v>
      </c>
      <c r="D1045" s="69">
        <v>80</v>
      </c>
      <c r="E1045" s="69">
        <v>4</v>
      </c>
      <c r="F1045" s="67">
        <v>4</v>
      </c>
      <c r="G1045" s="71">
        <v>11.9</v>
      </c>
    </row>
    <row r="1046" spans="1:7">
      <c r="A1046" s="67" t="s">
        <v>57</v>
      </c>
      <c r="B1046" s="70">
        <v>46143</v>
      </c>
      <c r="C1046" s="69">
        <v>838</v>
      </c>
      <c r="D1046" s="69">
        <v>5292</v>
      </c>
      <c r="E1046" s="69">
        <v>1784</v>
      </c>
      <c r="F1046" s="67">
        <v>8</v>
      </c>
      <c r="G1046" s="71">
        <v>9.800000000000001</v>
      </c>
    </row>
    <row r="1047" spans="1:7">
      <c r="A1047" s="67" t="s">
        <v>59</v>
      </c>
      <c r="B1047" s="70">
        <v>46143</v>
      </c>
      <c r="C1047" s="69">
        <v>81</v>
      </c>
      <c r="D1047" s="69">
        <v>761</v>
      </c>
      <c r="E1047" s="69">
        <v>62</v>
      </c>
      <c r="F1047" s="67">
        <v>3</v>
      </c>
      <c r="G1047" s="71">
        <v>21</v>
      </c>
    </row>
    <row r="1048" spans="1:7">
      <c r="A1048" s="67" t="s">
        <v>63</v>
      </c>
      <c r="B1048" s="70">
        <v>46143</v>
      </c>
      <c r="C1048" s="69">
        <v>24</v>
      </c>
      <c r="D1048" s="69">
        <v>173</v>
      </c>
      <c r="E1048" s="69">
        <v>35</v>
      </c>
      <c r="F1048" s="67">
        <v>5</v>
      </c>
      <c r="G1048" s="71">
        <v>33</v>
      </c>
    </row>
    <row r="1049" spans="1:7">
      <c r="A1049" s="67" t="s">
        <v>66</v>
      </c>
      <c r="B1049" s="70">
        <v>46143</v>
      </c>
      <c r="C1049" s="69">
        <v>16</v>
      </c>
      <c r="D1049" s="69">
        <v>228</v>
      </c>
      <c r="E1049" s="69">
        <v>9</v>
      </c>
      <c r="F1049" s="67">
        <v>5</v>
      </c>
      <c r="G1049" s="71">
        <v>35.9</v>
      </c>
    </row>
    <row r="1050" spans="1:7">
      <c r="A1050" s="67" t="s">
        <v>69</v>
      </c>
      <c r="B1050" s="70">
        <v>46143</v>
      </c>
      <c r="C1050" s="69">
        <v>11</v>
      </c>
      <c r="D1050" s="69">
        <v>131</v>
      </c>
      <c r="E1050" s="69">
        <v>20</v>
      </c>
      <c r="F1050" s="67">
        <v>6</v>
      </c>
      <c r="G1050" s="71">
        <v>16.1</v>
      </c>
    </row>
    <row r="1051" spans="1:7">
      <c r="A1051" s="67" t="s">
        <v>71</v>
      </c>
      <c r="B1051" s="70">
        <v>46143</v>
      </c>
      <c r="C1051" s="69">
        <v>53</v>
      </c>
      <c r="D1051" s="69">
        <v>900</v>
      </c>
      <c r="E1051" s="69">
        <v>105</v>
      </c>
      <c r="F1051" s="67">
        <v>7</v>
      </c>
      <c r="G1051" s="71">
        <v>25.6</v>
      </c>
    </row>
    <row r="1052" spans="1:7">
      <c r="A1052" s="67" t="s">
        <v>75</v>
      </c>
      <c r="B1052" s="70">
        <v>46143</v>
      </c>
      <c r="C1052" s="69">
        <v>262</v>
      </c>
      <c r="D1052" s="69">
        <v>1816</v>
      </c>
      <c r="E1052" s="69">
        <v>221</v>
      </c>
      <c r="F1052" s="67">
        <v>8</v>
      </c>
      <c r="G1052" s="71">
        <v>27</v>
      </c>
    </row>
    <row r="1053" spans="1:7">
      <c r="A1053" s="67" t="s">
        <v>78</v>
      </c>
      <c r="B1053" s="70">
        <v>46143</v>
      </c>
      <c r="C1053" s="69">
        <v>692</v>
      </c>
      <c r="D1053" s="69">
        <v>8032</v>
      </c>
      <c r="E1053" s="69">
        <v>1097</v>
      </c>
      <c r="F1053" s="67">
        <v>6</v>
      </c>
      <c r="G1053" s="71">
        <v>22.1</v>
      </c>
    </row>
    <row r="1054" spans="1:7">
      <c r="A1054" s="67" t="s">
        <v>81</v>
      </c>
      <c r="B1054" s="70">
        <v>46143</v>
      </c>
      <c r="C1054" s="69">
        <v>8</v>
      </c>
      <c r="D1054" s="69">
        <v>122</v>
      </c>
      <c r="E1054" s="69">
        <v>13</v>
      </c>
      <c r="F1054" s="67">
        <v>6</v>
      </c>
      <c r="G1054" s="71">
        <v>10.9</v>
      </c>
    </row>
    <row r="1055" spans="1:7">
      <c r="A1055" s="67" t="s">
        <v>83</v>
      </c>
      <c r="B1055" s="70">
        <v>46143</v>
      </c>
      <c r="C1055" s="69">
        <v>9</v>
      </c>
      <c r="D1055" s="69">
        <v>133</v>
      </c>
      <c r="E1055" s="69">
        <v>10</v>
      </c>
      <c r="F1055" s="67">
        <v>7</v>
      </c>
      <c r="G1055" s="71">
        <v>23.2</v>
      </c>
    </row>
    <row r="1056" spans="1:7">
      <c r="A1056" s="67" t="s">
        <v>85</v>
      </c>
      <c r="B1056" s="70">
        <v>46143</v>
      </c>
      <c r="C1056" s="69">
        <v>210</v>
      </c>
      <c r="D1056" s="69">
        <v>2485</v>
      </c>
      <c r="E1056" s="69">
        <v>286</v>
      </c>
      <c r="F1056" s="67">
        <v>10</v>
      </c>
      <c r="G1056" s="71">
        <v>38.5</v>
      </c>
    </row>
    <row r="1057" spans="1:7">
      <c r="A1057" s="67" t="s">
        <v>87</v>
      </c>
      <c r="B1057" s="70">
        <v>46143</v>
      </c>
      <c r="C1057" s="69">
        <v>11</v>
      </c>
      <c r="D1057" s="69">
        <v>146</v>
      </c>
      <c r="E1057" s="69">
        <v>22</v>
      </c>
      <c r="F1057" s="67">
        <v>6</v>
      </c>
      <c r="G1057" s="71">
        <v>27.7</v>
      </c>
    </row>
    <row r="1058" spans="1:7">
      <c r="A1058" s="67" t="s">
        <v>90</v>
      </c>
      <c r="B1058" s="70">
        <v>46143</v>
      </c>
      <c r="C1058" s="69">
        <v>63</v>
      </c>
      <c r="D1058" s="69">
        <v>685</v>
      </c>
      <c r="E1058" s="69">
        <v>51</v>
      </c>
      <c r="F1058" s="67">
        <v>6</v>
      </c>
      <c r="G1058" s="71">
        <v>12.7</v>
      </c>
    </row>
    <row r="1059" spans="1:7">
      <c r="A1059" s="67" t="s">
        <v>92</v>
      </c>
      <c r="B1059" s="70">
        <v>46143</v>
      </c>
      <c r="C1059" s="69">
        <v>5</v>
      </c>
      <c r="D1059" s="69">
        <v>35</v>
      </c>
      <c r="E1059" s="69">
        <v>11</v>
      </c>
      <c r="F1059" s="67">
        <v>4</v>
      </c>
      <c r="G1059" s="71">
        <v>13.9</v>
      </c>
    </row>
    <row r="1060" spans="1:7">
      <c r="A1060" s="67" t="s">
        <v>94</v>
      </c>
      <c r="B1060" s="70">
        <v>46143</v>
      </c>
      <c r="C1060" s="69">
        <v>40</v>
      </c>
      <c r="D1060" s="69">
        <v>353</v>
      </c>
      <c r="E1060" s="69">
        <v>58</v>
      </c>
      <c r="F1060" s="67">
        <v>7</v>
      </c>
      <c r="G1060" s="71">
        <v>13.1</v>
      </c>
    </row>
    <row r="1061" spans="1:7">
      <c r="A1061" s="67" t="s">
        <v>96</v>
      </c>
      <c r="B1061" s="70">
        <v>46143</v>
      </c>
      <c r="C1061" s="69">
        <v>759</v>
      </c>
      <c r="D1061" s="69">
        <v>7114</v>
      </c>
      <c r="E1061" s="69">
        <v>981</v>
      </c>
      <c r="F1061" s="67">
        <v>5</v>
      </c>
      <c r="G1061" s="71">
        <v>20.1</v>
      </c>
    </row>
    <row r="1062" spans="1:7">
      <c r="A1062" s="67" t="s">
        <v>98</v>
      </c>
      <c r="B1062" s="70">
        <v>46143</v>
      </c>
      <c r="C1062" s="69">
        <v>948</v>
      </c>
      <c r="D1062" s="69">
        <v>8105</v>
      </c>
      <c r="E1062" s="69">
        <v>336</v>
      </c>
      <c r="F1062" s="67">
        <v>8</v>
      </c>
      <c r="G1062" s="71">
        <v>20.5</v>
      </c>
    </row>
    <row r="1063" spans="1:7">
      <c r="A1063" s="67" t="s">
        <v>100</v>
      </c>
      <c r="B1063" s="70">
        <v>46143</v>
      </c>
      <c r="C1063" s="69">
        <v>960</v>
      </c>
      <c r="D1063" s="69">
        <v>16050</v>
      </c>
      <c r="E1063" s="69">
        <v>910</v>
      </c>
      <c r="F1063" s="67">
        <v>7</v>
      </c>
      <c r="G1063" s="71">
        <v>22.6</v>
      </c>
    </row>
    <row r="1064" spans="1:7">
      <c r="A1064" s="67" t="s">
        <v>104</v>
      </c>
      <c r="B1064" s="70">
        <v>46143</v>
      </c>
      <c r="C1064" s="69">
        <v>14</v>
      </c>
      <c r="D1064" s="69">
        <v>120</v>
      </c>
      <c r="E1064" s="69">
        <v>11</v>
      </c>
      <c r="F1064" s="67">
        <v>4</v>
      </c>
      <c r="G1064" s="71">
        <v>9.199999999999999</v>
      </c>
    </row>
    <row r="1065" spans="1:7">
      <c r="A1065" s="67" t="s">
        <v>106</v>
      </c>
      <c r="B1065" s="70">
        <v>46143</v>
      </c>
      <c r="C1065" s="69">
        <v>170</v>
      </c>
      <c r="D1065" s="69">
        <v>1588</v>
      </c>
      <c r="E1065" s="69">
        <v>303</v>
      </c>
      <c r="F1065" s="67">
        <v>7</v>
      </c>
      <c r="G1065" s="71">
        <v>13.8</v>
      </c>
    </row>
    <row r="1066" spans="1:7">
      <c r="A1066" s="67" t="s">
        <v>108</v>
      </c>
      <c r="B1066" s="70">
        <v>46143</v>
      </c>
      <c r="C1066" s="69">
        <v>28</v>
      </c>
      <c r="D1066" s="69">
        <v>448</v>
      </c>
      <c r="E1066" s="69">
        <v>20</v>
      </c>
      <c r="F1066" s="67">
        <v>4</v>
      </c>
      <c r="G1066" s="71">
        <v>26.1</v>
      </c>
    </row>
    <row r="1067" spans="1:7">
      <c r="A1067" s="67" t="s">
        <v>110</v>
      </c>
      <c r="B1067" s="70">
        <v>46143</v>
      </c>
      <c r="C1067" s="69">
        <v>138</v>
      </c>
      <c r="D1067" s="69">
        <v>1975</v>
      </c>
      <c r="E1067" s="69">
        <v>206</v>
      </c>
      <c r="F1067" s="67">
        <v>6</v>
      </c>
      <c r="G1067" s="71">
        <v>14.1</v>
      </c>
    </row>
    <row r="1068" spans="1:7">
      <c r="A1068" s="67" t="s">
        <v>112</v>
      </c>
      <c r="B1068" s="70">
        <v>46143</v>
      </c>
      <c r="C1068" s="69">
        <v>5</v>
      </c>
      <c r="D1068" s="69">
        <v>48</v>
      </c>
      <c r="E1068" s="69">
        <v>12</v>
      </c>
      <c r="F1068" s="67">
        <v>3</v>
      </c>
      <c r="G1068" s="71">
        <v>38.1</v>
      </c>
    </row>
    <row r="1069" spans="1:7">
      <c r="A1069" s="67" t="s">
        <v>114</v>
      </c>
      <c r="B1069" s="70">
        <v>46143</v>
      </c>
      <c r="C1069" s="69">
        <v>150</v>
      </c>
      <c r="D1069" s="69">
        <v>773</v>
      </c>
      <c r="E1069" s="69">
        <v>261</v>
      </c>
      <c r="F1069" s="67">
        <v>7</v>
      </c>
      <c r="G1069" s="71">
        <v>39.6</v>
      </c>
    </row>
    <row r="1070" spans="1:7">
      <c r="A1070" s="67" t="s">
        <v>116</v>
      </c>
      <c r="B1070" s="70">
        <v>46143</v>
      </c>
      <c r="C1070" s="69">
        <v>16</v>
      </c>
      <c r="D1070" s="69">
        <v>127</v>
      </c>
      <c r="E1070" s="69">
        <v>30</v>
      </c>
      <c r="F1070" s="67">
        <v>5</v>
      </c>
      <c r="G1070" s="71">
        <v>12.3</v>
      </c>
    </row>
    <row r="1071" spans="1:7">
      <c r="A1071" s="67" t="s">
        <v>118</v>
      </c>
      <c r="B1071" s="70">
        <v>46143</v>
      </c>
      <c r="C1071" s="69">
        <v>47</v>
      </c>
      <c r="D1071" s="69">
        <v>573</v>
      </c>
      <c r="E1071" s="69">
        <v>63</v>
      </c>
      <c r="F1071" s="67">
        <v>10</v>
      </c>
      <c r="G1071" s="71">
        <v>33.5</v>
      </c>
    </row>
    <row r="1072" spans="1:7">
      <c r="A1072" s="67" t="s">
        <v>120</v>
      </c>
      <c r="B1072" s="70">
        <v>46143</v>
      </c>
      <c r="C1072" s="69">
        <v>33</v>
      </c>
      <c r="D1072" s="69">
        <v>528</v>
      </c>
      <c r="E1072" s="69">
        <v>41</v>
      </c>
      <c r="F1072" s="67">
        <v>3</v>
      </c>
      <c r="G1072" s="71">
        <v>38</v>
      </c>
    </row>
    <row r="1073" spans="1:7">
      <c r="A1073" s="67" t="s">
        <v>122</v>
      </c>
      <c r="B1073" s="70">
        <v>46143</v>
      </c>
      <c r="C1073" s="69">
        <v>351</v>
      </c>
      <c r="D1073" s="69">
        <v>5647</v>
      </c>
      <c r="E1073" s="69">
        <v>129</v>
      </c>
      <c r="F1073" s="67">
        <v>5</v>
      </c>
      <c r="G1073" s="71">
        <v>9.9</v>
      </c>
    </row>
    <row r="1074" spans="1:7">
      <c r="A1074" s="67" t="s">
        <v>124</v>
      </c>
      <c r="B1074" s="70">
        <v>46143</v>
      </c>
      <c r="C1074" s="69">
        <v>164</v>
      </c>
      <c r="D1074" s="69">
        <v>2393</v>
      </c>
      <c r="E1074" s="69">
        <v>230</v>
      </c>
      <c r="F1074" s="67">
        <v>4</v>
      </c>
      <c r="G1074" s="71">
        <v>28.1</v>
      </c>
    </row>
    <row r="1075" spans="1:7">
      <c r="A1075" s="67" t="s">
        <v>126</v>
      </c>
      <c r="B1075" s="70">
        <v>46143</v>
      </c>
      <c r="C1075" s="69">
        <v>21</v>
      </c>
      <c r="D1075" s="69">
        <v>221</v>
      </c>
      <c r="E1075" s="69">
        <v>41</v>
      </c>
      <c r="F1075" s="67">
        <v>4</v>
      </c>
      <c r="G1075" s="71">
        <v>31.7</v>
      </c>
    </row>
    <row r="1076" spans="1:7">
      <c r="A1076" s="67" t="s">
        <v>128</v>
      </c>
      <c r="B1076" s="70">
        <v>46143</v>
      </c>
      <c r="C1076" s="69">
        <v>164</v>
      </c>
      <c r="D1076" s="69">
        <v>2071</v>
      </c>
      <c r="E1076" s="69">
        <v>254</v>
      </c>
      <c r="F1076" s="67">
        <v>6</v>
      </c>
      <c r="G1076" s="71">
        <v>6.1</v>
      </c>
    </row>
    <row r="1077" spans="1:7">
      <c r="A1077" s="67" t="s">
        <v>130</v>
      </c>
      <c r="B1077" s="70">
        <v>46143</v>
      </c>
      <c r="C1077" s="69">
        <v>107</v>
      </c>
      <c r="D1077" s="69">
        <v>1918</v>
      </c>
      <c r="E1077" s="69">
        <v>166</v>
      </c>
      <c r="F1077" s="67">
        <v>9</v>
      </c>
      <c r="G1077" s="71">
        <v>33</v>
      </c>
    </row>
    <row r="1078" spans="1:7">
      <c r="A1078" s="67" t="s">
        <v>132</v>
      </c>
      <c r="B1078" s="70">
        <v>46143</v>
      </c>
      <c r="C1078" s="69">
        <v>54</v>
      </c>
      <c r="D1078" s="69">
        <v>544</v>
      </c>
      <c r="E1078" s="69">
        <v>62</v>
      </c>
      <c r="F1078" s="67">
        <v>4</v>
      </c>
      <c r="G1078" s="71">
        <v>38.2</v>
      </c>
    </row>
    <row r="1079" spans="1:7">
      <c r="A1079" s="67" t="s">
        <v>134</v>
      </c>
      <c r="B1079" s="70">
        <v>46143</v>
      </c>
      <c r="C1079" s="69">
        <v>216</v>
      </c>
      <c r="D1079" s="69">
        <v>2413</v>
      </c>
      <c r="E1079" s="69">
        <v>221</v>
      </c>
      <c r="F1079" s="67">
        <v>8</v>
      </c>
      <c r="G1079" s="71">
        <v>38.7</v>
      </c>
    </row>
    <row r="1080" spans="1:7">
      <c r="A1080" s="67" t="s">
        <v>136</v>
      </c>
      <c r="B1080" s="70">
        <v>46143</v>
      </c>
      <c r="C1080" s="69">
        <v>115</v>
      </c>
      <c r="D1080" s="69">
        <v>831</v>
      </c>
      <c r="E1080" s="69">
        <v>205</v>
      </c>
      <c r="F1080" s="67">
        <v>4</v>
      </c>
      <c r="G1080" s="71">
        <v>11.2</v>
      </c>
    </row>
    <row r="1081" spans="1:7">
      <c r="A1081" s="67" t="s">
        <v>138</v>
      </c>
      <c r="B1081" s="70">
        <v>46143</v>
      </c>
      <c r="C1081" s="69">
        <v>38</v>
      </c>
      <c r="D1081" s="69">
        <v>203</v>
      </c>
      <c r="E1081" s="69">
        <v>28</v>
      </c>
      <c r="F1081" s="67">
        <v>5</v>
      </c>
      <c r="G1081" s="71">
        <v>36.9</v>
      </c>
    </row>
    <row r="1082" spans="1:7">
      <c r="A1082" s="67" t="s">
        <v>140</v>
      </c>
      <c r="B1082" s="70">
        <v>46143</v>
      </c>
      <c r="C1082" s="69">
        <v>120</v>
      </c>
      <c r="D1082" s="69">
        <v>1054</v>
      </c>
      <c r="E1082" s="69">
        <v>174</v>
      </c>
      <c r="F1082" s="67">
        <v>5</v>
      </c>
      <c r="G1082" s="71">
        <v>20.9</v>
      </c>
    </row>
    <row r="1083" spans="1:7">
      <c r="A1083" s="67" t="s">
        <v>142</v>
      </c>
      <c r="B1083" s="70">
        <v>46143</v>
      </c>
      <c r="C1083" s="69">
        <v>218</v>
      </c>
      <c r="D1083" s="69">
        <v>2016</v>
      </c>
      <c r="E1083" s="69">
        <v>502</v>
      </c>
      <c r="F1083" s="67">
        <v>8</v>
      </c>
      <c r="G1083" s="71">
        <v>18.7</v>
      </c>
    </row>
    <row r="1084" spans="1:7">
      <c r="A1084" s="67" t="s">
        <v>144</v>
      </c>
      <c r="B1084" s="70">
        <v>46143</v>
      </c>
      <c r="C1084" s="69">
        <v>25</v>
      </c>
      <c r="D1084" s="69">
        <v>261</v>
      </c>
      <c r="E1084" s="69">
        <v>48</v>
      </c>
      <c r="F1084" s="67">
        <v>5</v>
      </c>
      <c r="G1084" s="71">
        <v>18.6</v>
      </c>
    </row>
    <row r="1085" spans="1:7">
      <c r="A1085" s="67" t="s">
        <v>146</v>
      </c>
      <c r="B1085" s="70">
        <v>46143</v>
      </c>
      <c r="C1085" s="69">
        <v>1211</v>
      </c>
      <c r="D1085" s="69">
        <v>19758</v>
      </c>
      <c r="E1085" s="69">
        <v>1189</v>
      </c>
      <c r="F1085" s="67">
        <v>8</v>
      </c>
      <c r="G1085" s="71">
        <v>33.6</v>
      </c>
    </row>
    <row r="1086" spans="1:7">
      <c r="A1086" s="67" t="s">
        <v>148</v>
      </c>
      <c r="B1086" s="70">
        <v>46143</v>
      </c>
      <c r="C1086" s="69">
        <v>179</v>
      </c>
      <c r="D1086" s="69">
        <v>2233</v>
      </c>
      <c r="E1086" s="69">
        <v>176</v>
      </c>
      <c r="F1086" s="67">
        <v>8</v>
      </c>
      <c r="G1086" s="71">
        <v>12.1</v>
      </c>
    </row>
    <row r="1087" spans="1:7">
      <c r="A1087" s="67" t="s">
        <v>150</v>
      </c>
      <c r="B1087" s="70">
        <v>46143</v>
      </c>
      <c r="C1087" s="69">
        <v>17</v>
      </c>
      <c r="D1087" s="69">
        <v>130</v>
      </c>
      <c r="E1087" s="69">
        <v>42</v>
      </c>
      <c r="F1087" s="67">
        <v>2</v>
      </c>
      <c r="G1087" s="71">
        <v>20.6</v>
      </c>
    </row>
    <row r="1088" spans="1:7">
      <c r="A1088" s="67" t="s">
        <v>152</v>
      </c>
      <c r="B1088" s="70">
        <v>46143</v>
      </c>
      <c r="C1088" s="69">
        <v>19</v>
      </c>
      <c r="D1088" s="69">
        <v>156</v>
      </c>
      <c r="E1088" s="69">
        <v>19</v>
      </c>
      <c r="F1088" s="67">
        <v>4</v>
      </c>
      <c r="G1088" s="71">
        <v>24.9</v>
      </c>
    </row>
    <row r="1089" spans="1:7">
      <c r="A1089" s="67" t="s">
        <v>154</v>
      </c>
      <c r="B1089" s="70">
        <v>46143</v>
      </c>
      <c r="C1089" s="69">
        <v>27</v>
      </c>
      <c r="D1089" s="69">
        <v>149</v>
      </c>
      <c r="E1089" s="69">
        <v>14</v>
      </c>
      <c r="F1089" s="67">
        <v>2</v>
      </c>
      <c r="G1089" s="71">
        <v>27.6</v>
      </c>
    </row>
    <row r="1090" spans="1:7">
      <c r="A1090" s="67" t="s">
        <v>156</v>
      </c>
      <c r="B1090" s="70">
        <v>46143</v>
      </c>
      <c r="C1090" s="69">
        <v>26</v>
      </c>
      <c r="D1090" s="69">
        <v>415</v>
      </c>
      <c r="E1090" s="69">
        <v>53</v>
      </c>
      <c r="F1090" s="67">
        <v>7</v>
      </c>
      <c r="G1090" s="71">
        <v>18.7</v>
      </c>
    </row>
    <row r="1091" spans="1:7">
      <c r="A1091" s="67" t="s">
        <v>158</v>
      </c>
      <c r="B1091" s="70">
        <v>46143</v>
      </c>
      <c r="C1091" s="69">
        <v>73</v>
      </c>
      <c r="D1091" s="69">
        <v>759</v>
      </c>
      <c r="E1091" s="69">
        <v>51</v>
      </c>
      <c r="F1091" s="67">
        <v>3</v>
      </c>
      <c r="G1091" s="71">
        <v>26.6</v>
      </c>
    </row>
    <row r="1092" spans="1:7">
      <c r="A1092" s="67" t="s">
        <v>160</v>
      </c>
      <c r="B1092" s="70">
        <v>46143</v>
      </c>
      <c r="C1092" s="69">
        <v>202</v>
      </c>
      <c r="D1092" s="69">
        <v>2741</v>
      </c>
      <c r="E1092" s="69">
        <v>371</v>
      </c>
      <c r="F1092" s="67">
        <v>7</v>
      </c>
      <c r="G1092" s="71">
        <v>8.300000000000001</v>
      </c>
    </row>
    <row r="1093" spans="1:7">
      <c r="A1093" s="67" t="s">
        <v>162</v>
      </c>
      <c r="B1093" s="70">
        <v>46143</v>
      </c>
      <c r="C1093" s="69">
        <v>49</v>
      </c>
      <c r="D1093" s="69">
        <v>809</v>
      </c>
      <c r="E1093" s="69">
        <v>32</v>
      </c>
      <c r="F1093" s="67">
        <v>8</v>
      </c>
      <c r="G1093" s="71">
        <v>35.9</v>
      </c>
    </row>
    <row r="1094" spans="1:7">
      <c r="A1094" s="67" t="s">
        <v>164</v>
      </c>
      <c r="B1094" s="70">
        <v>46143</v>
      </c>
      <c r="C1094" s="69">
        <v>81</v>
      </c>
      <c r="D1094" s="69">
        <v>475</v>
      </c>
      <c r="E1094" s="69">
        <v>154</v>
      </c>
      <c r="F1094" s="67">
        <v>6</v>
      </c>
      <c r="G1094" s="71">
        <v>36.6</v>
      </c>
    </row>
    <row r="1095" spans="1:7">
      <c r="A1095" s="67" t="s">
        <v>166</v>
      </c>
      <c r="B1095" s="70">
        <v>46143</v>
      </c>
      <c r="C1095" s="69">
        <v>122</v>
      </c>
      <c r="D1095" s="69">
        <v>1818</v>
      </c>
      <c r="E1095" s="69">
        <v>69</v>
      </c>
      <c r="F1095" s="67">
        <v>6</v>
      </c>
      <c r="G1095" s="71">
        <v>17.9</v>
      </c>
    </row>
    <row r="1096" spans="1:7">
      <c r="A1096" s="67" t="s">
        <v>168</v>
      </c>
      <c r="B1096" s="70">
        <v>46143</v>
      </c>
      <c r="C1096" s="69">
        <v>160</v>
      </c>
      <c r="D1096" s="69">
        <v>2421</v>
      </c>
      <c r="E1096" s="69">
        <v>192</v>
      </c>
      <c r="F1096" s="67">
        <v>6</v>
      </c>
      <c r="G1096" s="71">
        <v>10.8</v>
      </c>
    </row>
    <row r="1097" spans="1:7">
      <c r="A1097" s="67" t="s">
        <v>170</v>
      </c>
      <c r="B1097" s="70">
        <v>46143</v>
      </c>
      <c r="C1097" s="69">
        <v>24</v>
      </c>
      <c r="D1097" s="69">
        <v>128</v>
      </c>
      <c r="E1097" s="69">
        <v>41</v>
      </c>
      <c r="F1097" s="67">
        <v>7</v>
      </c>
      <c r="G1097" s="71">
        <v>28.6</v>
      </c>
    </row>
    <row r="1098" spans="1:7">
      <c r="A1098" s="67" t="s">
        <v>172</v>
      </c>
      <c r="B1098" s="70">
        <v>46143</v>
      </c>
      <c r="C1098" s="69">
        <v>26</v>
      </c>
      <c r="D1098" s="69">
        <v>265</v>
      </c>
      <c r="E1098" s="69">
        <v>19</v>
      </c>
      <c r="F1098" s="67">
        <v>7</v>
      </c>
      <c r="G1098" s="71">
        <v>6.3</v>
      </c>
    </row>
    <row r="1099" spans="1:7">
      <c r="A1099" s="67" t="s">
        <v>174</v>
      </c>
      <c r="B1099" s="70">
        <v>46143</v>
      </c>
      <c r="C1099" s="69">
        <v>134</v>
      </c>
      <c r="D1099" s="69">
        <v>908</v>
      </c>
      <c r="E1099" s="69">
        <v>238</v>
      </c>
      <c r="F1099" s="67">
        <v>7</v>
      </c>
      <c r="G1099" s="71">
        <v>21.2</v>
      </c>
    </row>
    <row r="1100" spans="1:7">
      <c r="A1100" s="67" t="s">
        <v>176</v>
      </c>
      <c r="B1100" s="70">
        <v>46143</v>
      </c>
      <c r="C1100" s="69">
        <v>22</v>
      </c>
      <c r="D1100" s="69">
        <v>298</v>
      </c>
      <c r="E1100" s="69">
        <v>41</v>
      </c>
      <c r="F1100" s="67">
        <v>5</v>
      </c>
      <c r="G1100" s="71">
        <v>20.3</v>
      </c>
    </row>
    <row r="1101" spans="1:7">
      <c r="A1101" s="67" t="s">
        <v>178</v>
      </c>
      <c r="B1101" s="70">
        <v>46143</v>
      </c>
      <c r="C1101" s="69">
        <v>11</v>
      </c>
      <c r="D1101" s="69">
        <v>78</v>
      </c>
      <c r="E1101" s="69">
        <v>24</v>
      </c>
      <c r="F1101" s="67">
        <v>6</v>
      </c>
      <c r="G1101" s="71">
        <v>26.2</v>
      </c>
    </row>
    <row r="1102" spans="1:7">
      <c r="A1102" s="67" t="s">
        <v>180</v>
      </c>
      <c r="B1102" s="70">
        <v>46143</v>
      </c>
      <c r="C1102" s="69">
        <v>1034</v>
      </c>
      <c r="D1102" s="69">
        <v>15137</v>
      </c>
      <c r="E1102" s="69">
        <v>693</v>
      </c>
      <c r="F1102" s="67">
        <v>8</v>
      </c>
      <c r="G1102" s="71">
        <v>28.5</v>
      </c>
    </row>
    <row r="1103" spans="1:7">
      <c r="A1103" s="67" t="s">
        <v>182</v>
      </c>
      <c r="B1103" s="70">
        <v>46143</v>
      </c>
      <c r="C1103" s="69">
        <v>16</v>
      </c>
      <c r="D1103" s="69">
        <v>172</v>
      </c>
      <c r="E1103" s="69">
        <v>11</v>
      </c>
      <c r="F1103" s="67">
        <v>5</v>
      </c>
      <c r="G1103" s="71">
        <v>30</v>
      </c>
    </row>
    <row r="1104" spans="1:7">
      <c r="A1104" s="67" t="s">
        <v>184</v>
      </c>
      <c r="B1104" s="70">
        <v>46143</v>
      </c>
      <c r="C1104" s="69">
        <v>132</v>
      </c>
      <c r="D1104" s="69">
        <v>1419</v>
      </c>
      <c r="E1104" s="69">
        <v>53</v>
      </c>
      <c r="F1104" s="67">
        <v>6</v>
      </c>
      <c r="G1104" s="71">
        <v>27.2</v>
      </c>
    </row>
    <row r="1105" spans="1:7">
      <c r="A1105" s="67" t="s">
        <v>186</v>
      </c>
      <c r="B1105" s="70">
        <v>46143</v>
      </c>
      <c r="C1105" s="69">
        <v>100</v>
      </c>
      <c r="D1105" s="69">
        <v>1358</v>
      </c>
      <c r="E1105" s="69">
        <v>53</v>
      </c>
      <c r="F1105" s="67">
        <v>6</v>
      </c>
      <c r="G1105" s="71">
        <v>29.2</v>
      </c>
    </row>
    <row r="1106" spans="1:7">
      <c r="A1106" s="67" t="s">
        <v>188</v>
      </c>
      <c r="B1106" s="70">
        <v>46143</v>
      </c>
      <c r="C1106" s="69">
        <v>13</v>
      </c>
      <c r="D1106" s="69">
        <v>73</v>
      </c>
      <c r="E1106" s="69">
        <v>15</v>
      </c>
      <c r="F1106" s="67">
        <v>3</v>
      </c>
      <c r="G1106" s="71">
        <v>12.1</v>
      </c>
    </row>
    <row r="1107" spans="1:7">
      <c r="A1107" s="67" t="s">
        <v>190</v>
      </c>
      <c r="B1107" s="70">
        <v>46143</v>
      </c>
      <c r="C1107" s="69">
        <v>23</v>
      </c>
      <c r="D1107" s="69">
        <v>175</v>
      </c>
      <c r="E1107" s="69">
        <v>8</v>
      </c>
      <c r="F1107" s="67">
        <v>6</v>
      </c>
      <c r="G1107" s="71">
        <v>6</v>
      </c>
    </row>
    <row r="1108" spans="1:7">
      <c r="A1108" s="67" t="s">
        <v>192</v>
      </c>
      <c r="B1108" s="70">
        <v>46143</v>
      </c>
      <c r="C1108" s="69">
        <v>116</v>
      </c>
      <c r="D1108" s="69">
        <v>1605</v>
      </c>
      <c r="E1108" s="69">
        <v>51</v>
      </c>
      <c r="F1108" s="67">
        <v>4</v>
      </c>
      <c r="G1108" s="71">
        <v>38.6</v>
      </c>
    </row>
    <row r="1109" spans="1:7">
      <c r="A1109" s="67" t="s">
        <v>194</v>
      </c>
      <c r="B1109" s="70">
        <v>46143</v>
      </c>
      <c r="C1109" s="69">
        <v>34</v>
      </c>
      <c r="D1109" s="69">
        <v>464</v>
      </c>
      <c r="E1109" s="69">
        <v>64</v>
      </c>
      <c r="F1109" s="67">
        <v>3</v>
      </c>
      <c r="G1109" s="71">
        <v>6.5</v>
      </c>
    </row>
    <row r="1110" spans="1:7">
      <c r="A1110" s="67" t="s">
        <v>198</v>
      </c>
      <c r="B1110" s="70">
        <v>46143</v>
      </c>
      <c r="C1110" s="69">
        <v>447</v>
      </c>
      <c r="D1110" s="69">
        <v>4110</v>
      </c>
      <c r="E1110" s="69">
        <v>750</v>
      </c>
      <c r="F1110" s="67">
        <v>9</v>
      </c>
      <c r="G1110" s="71">
        <v>26.9</v>
      </c>
    </row>
    <row r="1111" spans="1:7">
      <c r="A1111" s="67" t="s">
        <v>202</v>
      </c>
      <c r="B1111" s="70">
        <v>46143</v>
      </c>
      <c r="C1111" s="69">
        <v>138</v>
      </c>
      <c r="D1111" s="69">
        <v>1458</v>
      </c>
      <c r="E1111" s="69">
        <v>112</v>
      </c>
      <c r="F1111" s="67">
        <v>7</v>
      </c>
      <c r="G1111" s="71">
        <v>8.699999999999999</v>
      </c>
    </row>
    <row r="1112" spans="1:7">
      <c r="A1112" s="67" t="s">
        <v>204</v>
      </c>
      <c r="B1112" s="70">
        <v>46143</v>
      </c>
      <c r="C1112" s="69">
        <v>14</v>
      </c>
      <c r="D1112" s="69">
        <v>189</v>
      </c>
      <c r="E1112" s="69">
        <v>5</v>
      </c>
      <c r="F1112" s="67">
        <v>6</v>
      </c>
      <c r="G1112" s="71">
        <v>12.4</v>
      </c>
    </row>
    <row r="1113" spans="1:7">
      <c r="A1113" s="67" t="s">
        <v>206</v>
      </c>
      <c r="B1113" s="70">
        <v>46143</v>
      </c>
      <c r="C1113" s="69">
        <v>636</v>
      </c>
      <c r="D1113" s="69">
        <v>5482</v>
      </c>
      <c r="E1113" s="69">
        <v>1064</v>
      </c>
      <c r="F1113" s="67">
        <v>6</v>
      </c>
      <c r="G1113" s="71">
        <v>6.5</v>
      </c>
    </row>
    <row r="1114" spans="1:7">
      <c r="A1114" s="67" t="s">
        <v>208</v>
      </c>
      <c r="B1114" s="70">
        <v>46143</v>
      </c>
      <c r="C1114" s="69">
        <v>13</v>
      </c>
      <c r="D1114" s="69">
        <v>195</v>
      </c>
      <c r="E1114" s="69">
        <v>18</v>
      </c>
      <c r="F1114" s="67">
        <v>8</v>
      </c>
      <c r="G1114" s="71">
        <v>39.7</v>
      </c>
    </row>
    <row r="1115" spans="1:7">
      <c r="A1115" s="67" t="s">
        <v>210</v>
      </c>
      <c r="B1115" s="70">
        <v>46143</v>
      </c>
      <c r="C1115" s="69">
        <v>111</v>
      </c>
      <c r="D1115" s="69">
        <v>1886</v>
      </c>
      <c r="E1115" s="69">
        <v>172</v>
      </c>
      <c r="F1115" s="67">
        <v>3</v>
      </c>
      <c r="G1115" s="71">
        <v>13.8</v>
      </c>
    </row>
    <row r="1116" spans="1:7">
      <c r="A1116" s="67" t="s">
        <v>212</v>
      </c>
      <c r="B1116" s="70">
        <v>46143</v>
      </c>
      <c r="C1116" s="69">
        <v>26</v>
      </c>
      <c r="D1116" s="69">
        <v>343</v>
      </c>
      <c r="E1116" s="69">
        <v>30</v>
      </c>
      <c r="F1116" s="67">
        <v>8</v>
      </c>
      <c r="G1116" s="71">
        <v>37.4</v>
      </c>
    </row>
    <row r="1117" spans="1:7">
      <c r="A1117" s="67" t="s">
        <v>214</v>
      </c>
      <c r="B1117" s="70">
        <v>46143</v>
      </c>
      <c r="C1117" s="69">
        <v>51</v>
      </c>
      <c r="D1117" s="69">
        <v>371</v>
      </c>
      <c r="E1117" s="69">
        <v>101</v>
      </c>
      <c r="F1117" s="67">
        <v>5</v>
      </c>
      <c r="G1117" s="71">
        <v>29.1</v>
      </c>
    </row>
    <row r="1118" spans="1:7">
      <c r="A1118" s="67" t="s">
        <v>216</v>
      </c>
      <c r="B1118" s="70">
        <v>46143</v>
      </c>
      <c r="C1118" s="69">
        <v>258</v>
      </c>
      <c r="D1118" s="69">
        <v>1516</v>
      </c>
      <c r="E1118" s="69">
        <v>87</v>
      </c>
      <c r="F1118" s="67">
        <v>8</v>
      </c>
      <c r="G1118" s="71">
        <v>36.9</v>
      </c>
    </row>
    <row r="1119" spans="1:7">
      <c r="A1119" s="67" t="s">
        <v>218</v>
      </c>
      <c r="B1119" s="70">
        <v>46143</v>
      </c>
      <c r="C1119" s="69">
        <v>11</v>
      </c>
      <c r="D1119" s="69">
        <v>161</v>
      </c>
      <c r="E1119" s="69">
        <v>15</v>
      </c>
      <c r="F1119" s="67">
        <v>7</v>
      </c>
      <c r="G1119" s="71">
        <v>29.7</v>
      </c>
    </row>
    <row r="1120" spans="1:7">
      <c r="A1120" s="67" t="s">
        <v>220</v>
      </c>
      <c r="B1120" s="70">
        <v>46143</v>
      </c>
      <c r="C1120" s="69">
        <v>69</v>
      </c>
      <c r="D1120" s="69">
        <v>1026</v>
      </c>
      <c r="E1120" s="69">
        <v>40</v>
      </c>
      <c r="F1120" s="67">
        <v>7</v>
      </c>
      <c r="G1120" s="71">
        <v>13.3</v>
      </c>
    </row>
    <row r="1121" spans="1:7">
      <c r="A1121" s="67" t="s">
        <v>222</v>
      </c>
      <c r="B1121" s="70">
        <v>46143</v>
      </c>
      <c r="C1121" s="69">
        <v>28</v>
      </c>
      <c r="D1121" s="69">
        <v>169</v>
      </c>
      <c r="E1121" s="69">
        <v>17</v>
      </c>
      <c r="F1121" s="67">
        <v>5</v>
      </c>
      <c r="G1121" s="71">
        <v>22.5</v>
      </c>
    </row>
    <row r="1122" spans="1:7">
      <c r="A1122" s="67" t="s">
        <v>224</v>
      </c>
      <c r="B1122" s="70">
        <v>46143</v>
      </c>
      <c r="C1122" s="69">
        <v>9</v>
      </c>
      <c r="D1122" s="69">
        <v>120</v>
      </c>
      <c r="E1122" s="69">
        <v>7</v>
      </c>
      <c r="F1122" s="67">
        <v>7</v>
      </c>
      <c r="G1122" s="71">
        <v>30.4</v>
      </c>
    </row>
    <row r="1123" spans="1:7">
      <c r="A1123" s="67" t="s">
        <v>226</v>
      </c>
      <c r="B1123" s="70">
        <v>46143</v>
      </c>
      <c r="C1123" s="69">
        <v>11</v>
      </c>
      <c r="D1123" s="69">
        <v>180</v>
      </c>
      <c r="E1123" s="69">
        <v>7</v>
      </c>
      <c r="F1123" s="67">
        <v>4</v>
      </c>
      <c r="G1123" s="71">
        <v>16.1</v>
      </c>
    </row>
    <row r="1124" spans="1:7">
      <c r="A1124" s="67" t="s">
        <v>228</v>
      </c>
      <c r="B1124" s="70">
        <v>46143</v>
      </c>
      <c r="C1124" s="69">
        <v>12</v>
      </c>
      <c r="D1124" s="69">
        <v>184</v>
      </c>
      <c r="E1124" s="69">
        <v>15</v>
      </c>
      <c r="F1124" s="67">
        <v>6</v>
      </c>
      <c r="G1124" s="71">
        <v>33.4</v>
      </c>
    </row>
    <row r="1125" spans="1:7">
      <c r="A1125" s="67" t="s">
        <v>230</v>
      </c>
      <c r="B1125" s="70">
        <v>46143</v>
      </c>
      <c r="C1125" s="69">
        <v>201</v>
      </c>
      <c r="D1125" s="69">
        <v>2920</v>
      </c>
      <c r="E1125" s="69">
        <v>212</v>
      </c>
      <c r="F1125" s="67">
        <v>8</v>
      </c>
      <c r="G1125" s="71">
        <v>12.2</v>
      </c>
    </row>
    <row r="1126" spans="1:7">
      <c r="A1126" s="67" t="s">
        <v>232</v>
      </c>
      <c r="B1126" s="70">
        <v>46143</v>
      </c>
      <c r="C1126" s="69">
        <v>168</v>
      </c>
      <c r="D1126" s="69">
        <v>2999</v>
      </c>
      <c r="E1126" s="69">
        <v>347</v>
      </c>
      <c r="F1126" s="67">
        <v>9</v>
      </c>
      <c r="G1126" s="71">
        <v>29.4</v>
      </c>
    </row>
    <row r="1127" spans="1:7">
      <c r="A1127" s="67" t="s">
        <v>234</v>
      </c>
      <c r="B1127" s="70">
        <v>46143</v>
      </c>
      <c r="C1127" s="69">
        <v>25</v>
      </c>
      <c r="D1127" s="69">
        <v>294</v>
      </c>
      <c r="E1127" s="69">
        <v>18</v>
      </c>
      <c r="F1127" s="67">
        <v>8</v>
      </c>
      <c r="G1127" s="71">
        <v>27</v>
      </c>
    </row>
    <row r="1128" spans="1:7">
      <c r="A1128" s="67" t="s">
        <v>236</v>
      </c>
      <c r="B1128" s="70">
        <v>46143</v>
      </c>
      <c r="C1128" s="69">
        <v>75</v>
      </c>
      <c r="D1128" s="69">
        <v>1305</v>
      </c>
      <c r="E1128" s="69">
        <v>31</v>
      </c>
      <c r="F1128" s="67">
        <v>3</v>
      </c>
      <c r="G1128" s="71">
        <v>39.7</v>
      </c>
    </row>
    <row r="1129" spans="1:7">
      <c r="A1129" s="67" t="s">
        <v>238</v>
      </c>
      <c r="B1129" s="70">
        <v>46143</v>
      </c>
      <c r="C1129" s="69">
        <v>25</v>
      </c>
      <c r="D1129" s="69">
        <v>181</v>
      </c>
      <c r="E1129" s="69">
        <v>38</v>
      </c>
      <c r="F1129" s="67">
        <v>8</v>
      </c>
      <c r="G1129" s="71">
        <v>32.8</v>
      </c>
    </row>
    <row r="1130" spans="1:7">
      <c r="A1130" s="67" t="s">
        <v>240</v>
      </c>
      <c r="B1130" s="70">
        <v>46143</v>
      </c>
      <c r="C1130" s="69">
        <v>23</v>
      </c>
      <c r="D1130" s="69">
        <v>242</v>
      </c>
      <c r="E1130" s="69">
        <v>31</v>
      </c>
      <c r="F1130" s="67">
        <v>7</v>
      </c>
      <c r="G1130" s="71">
        <v>10.7</v>
      </c>
    </row>
    <row r="1131" spans="1:7">
      <c r="A1131" s="67" t="s">
        <v>242</v>
      </c>
      <c r="B1131" s="70">
        <v>46143</v>
      </c>
      <c r="C1131" s="69">
        <v>684</v>
      </c>
      <c r="D1131" s="69">
        <v>8807</v>
      </c>
      <c r="E1131" s="69">
        <v>661</v>
      </c>
      <c r="F1131" s="67">
        <v>9</v>
      </c>
      <c r="G1131" s="71">
        <v>25.2</v>
      </c>
    </row>
    <row r="1132" spans="1:7">
      <c r="A1132" s="67" t="s">
        <v>244</v>
      </c>
      <c r="B1132" s="70">
        <v>46143</v>
      </c>
      <c r="C1132" s="69">
        <v>34</v>
      </c>
      <c r="D1132" s="69">
        <v>551</v>
      </c>
      <c r="E1132" s="69">
        <v>46</v>
      </c>
      <c r="F1132" s="67">
        <v>6</v>
      </c>
      <c r="G1132" s="71">
        <v>38.3</v>
      </c>
    </row>
    <row r="1133" spans="1:7">
      <c r="A1133" s="67" t="s">
        <v>246</v>
      </c>
      <c r="B1133" s="70">
        <v>46143</v>
      </c>
      <c r="C1133" s="69">
        <v>50</v>
      </c>
      <c r="D1133" s="69">
        <v>556</v>
      </c>
      <c r="E1133" s="69">
        <v>61</v>
      </c>
      <c r="F1133" s="67">
        <v>9</v>
      </c>
      <c r="G1133" s="71">
        <v>26.3</v>
      </c>
    </row>
    <row r="1134" spans="1:7">
      <c r="A1134" s="67" t="s">
        <v>248</v>
      </c>
      <c r="B1134" s="70">
        <v>46143</v>
      </c>
      <c r="C1134" s="69">
        <v>29</v>
      </c>
      <c r="D1134" s="69">
        <v>505</v>
      </c>
      <c r="E1134" s="69">
        <v>39</v>
      </c>
      <c r="F1134" s="67">
        <v>7</v>
      </c>
      <c r="G1134" s="71">
        <v>31.7</v>
      </c>
    </row>
    <row r="1135" spans="1:7">
      <c r="A1135" s="67" t="s">
        <v>250</v>
      </c>
      <c r="B1135" s="70">
        <v>46143</v>
      </c>
      <c r="C1135" s="69">
        <v>150</v>
      </c>
      <c r="D1135" s="69">
        <v>2518</v>
      </c>
      <c r="E1135" s="69">
        <v>144</v>
      </c>
      <c r="F1135" s="67">
        <v>5</v>
      </c>
      <c r="G1135" s="71">
        <v>23.8</v>
      </c>
    </row>
    <row r="1136" spans="1:7">
      <c r="A1136" s="67" t="s">
        <v>252</v>
      </c>
      <c r="B1136" s="70">
        <v>46143</v>
      </c>
      <c r="C1136" s="69">
        <v>14</v>
      </c>
      <c r="D1136" s="69">
        <v>139</v>
      </c>
      <c r="E1136" s="69">
        <v>14</v>
      </c>
      <c r="F1136" s="67">
        <v>6</v>
      </c>
      <c r="G1136" s="71">
        <v>14.9</v>
      </c>
    </row>
    <row r="1137" spans="1:7">
      <c r="A1137" s="67" t="s">
        <v>254</v>
      </c>
      <c r="B1137" s="70">
        <v>46143</v>
      </c>
      <c r="C1137" s="69">
        <v>97</v>
      </c>
      <c r="D1137" s="69">
        <v>905</v>
      </c>
      <c r="E1137" s="69">
        <v>182</v>
      </c>
      <c r="F1137" s="67">
        <v>5</v>
      </c>
      <c r="G1137" s="71">
        <v>11.9</v>
      </c>
    </row>
    <row r="1138" spans="1:7">
      <c r="A1138" s="67" t="s">
        <v>256</v>
      </c>
      <c r="B1138" s="70">
        <v>46143</v>
      </c>
      <c r="C1138" s="69">
        <v>188</v>
      </c>
      <c r="D1138" s="69">
        <v>3046</v>
      </c>
      <c r="E1138" s="69">
        <v>358</v>
      </c>
      <c r="F1138" s="67">
        <v>7</v>
      </c>
      <c r="G1138" s="71">
        <v>18.1</v>
      </c>
    </row>
    <row r="1139" spans="1:7">
      <c r="A1139" s="67" t="s">
        <v>258</v>
      </c>
      <c r="B1139" s="70">
        <v>46143</v>
      </c>
      <c r="C1139" s="69">
        <v>420</v>
      </c>
      <c r="D1139" s="69">
        <v>4255</v>
      </c>
      <c r="E1139" s="69">
        <v>812</v>
      </c>
      <c r="F1139" s="67">
        <v>6</v>
      </c>
      <c r="G1139" s="71">
        <v>18.4</v>
      </c>
    </row>
    <row r="1140" spans="1:7">
      <c r="A1140" s="67" t="s">
        <v>260</v>
      </c>
      <c r="B1140" s="70">
        <v>46143</v>
      </c>
      <c r="C1140" s="69">
        <v>785</v>
      </c>
      <c r="D1140" s="69">
        <v>4652</v>
      </c>
      <c r="E1140" s="69">
        <v>1764</v>
      </c>
      <c r="F1140" s="67">
        <v>8</v>
      </c>
      <c r="G1140" s="71">
        <v>39.7</v>
      </c>
    </row>
    <row r="1141" spans="1:7">
      <c r="A1141" s="67" t="s">
        <v>262</v>
      </c>
      <c r="B1141" s="70">
        <v>46143</v>
      </c>
      <c r="C1141" s="69">
        <v>64</v>
      </c>
      <c r="D1141" s="69">
        <v>455</v>
      </c>
      <c r="E1141" s="69">
        <v>127</v>
      </c>
      <c r="F1141" s="67">
        <v>10</v>
      </c>
      <c r="G1141" s="71">
        <v>38.5</v>
      </c>
    </row>
    <row r="1142" spans="1:7">
      <c r="A1142" s="67" t="s">
        <v>264</v>
      </c>
      <c r="B1142" s="70">
        <v>46143</v>
      </c>
      <c r="C1142" s="69">
        <v>742</v>
      </c>
      <c r="D1142" s="69">
        <v>7072</v>
      </c>
      <c r="E1142" s="69">
        <v>1380</v>
      </c>
      <c r="F1142" s="67">
        <v>5</v>
      </c>
      <c r="G1142" s="71">
        <v>27.2</v>
      </c>
    </row>
    <row r="1143" spans="1:7">
      <c r="A1143" s="67" t="s">
        <v>266</v>
      </c>
      <c r="B1143" s="70">
        <v>46143</v>
      </c>
      <c r="C1143" s="69">
        <v>73</v>
      </c>
      <c r="D1143" s="69">
        <v>731</v>
      </c>
      <c r="E1143" s="69">
        <v>90</v>
      </c>
      <c r="F1143" s="67">
        <v>5</v>
      </c>
      <c r="G1143" s="71">
        <v>13.6</v>
      </c>
    </row>
    <row r="1144" spans="1:7">
      <c r="A1144" s="67" t="s">
        <v>268</v>
      </c>
      <c r="B1144" s="70">
        <v>46143</v>
      </c>
      <c r="C1144" s="69">
        <v>13</v>
      </c>
      <c r="D1144" s="69">
        <v>126</v>
      </c>
      <c r="E1144" s="69">
        <v>24</v>
      </c>
      <c r="F1144" s="67">
        <v>3</v>
      </c>
      <c r="G1144" s="71">
        <v>6</v>
      </c>
    </row>
    <row r="1145" spans="1:7">
      <c r="A1145" s="67" t="s">
        <v>270</v>
      </c>
      <c r="B1145" s="70">
        <v>46143</v>
      </c>
      <c r="C1145" s="69">
        <v>42</v>
      </c>
      <c r="D1145" s="69">
        <v>541</v>
      </c>
      <c r="E1145" s="69">
        <v>100</v>
      </c>
      <c r="F1145" s="67">
        <v>7</v>
      </c>
      <c r="G1145" s="71">
        <v>10.2</v>
      </c>
    </row>
    <row r="1146" spans="1:7">
      <c r="A1146" s="67" t="s">
        <v>272</v>
      </c>
      <c r="B1146" s="70">
        <v>46143</v>
      </c>
      <c r="C1146" s="69">
        <v>28</v>
      </c>
      <c r="D1146" s="69">
        <v>381</v>
      </c>
      <c r="E1146" s="69">
        <v>18</v>
      </c>
      <c r="F1146" s="67">
        <v>9</v>
      </c>
      <c r="G1146" s="71">
        <v>9.1</v>
      </c>
    </row>
    <row r="1147" spans="1:7">
      <c r="A1147" s="67" t="s">
        <v>274</v>
      </c>
      <c r="B1147" s="70">
        <v>46143</v>
      </c>
      <c r="C1147" s="69">
        <v>383</v>
      </c>
      <c r="D1147" s="69">
        <v>3829</v>
      </c>
      <c r="E1147" s="69">
        <v>710</v>
      </c>
      <c r="F1147" s="67">
        <v>5</v>
      </c>
      <c r="G1147" s="71">
        <v>39.1</v>
      </c>
    </row>
    <row r="1148" spans="1:7">
      <c r="A1148" s="67" t="s">
        <v>276</v>
      </c>
      <c r="B1148" s="70">
        <v>46143</v>
      </c>
      <c r="C1148" s="69">
        <v>159</v>
      </c>
      <c r="D1148" s="69">
        <v>2606</v>
      </c>
      <c r="E1148" s="69">
        <v>106</v>
      </c>
      <c r="F1148" s="67">
        <v>6</v>
      </c>
      <c r="G1148" s="71">
        <v>19.9</v>
      </c>
    </row>
    <row r="1149" spans="1:7">
      <c r="A1149" s="67" t="s">
        <v>278</v>
      </c>
      <c r="B1149" s="70">
        <v>46143</v>
      </c>
      <c r="C1149" s="69">
        <v>28</v>
      </c>
      <c r="D1149" s="69">
        <v>334</v>
      </c>
      <c r="E1149" s="69">
        <v>63</v>
      </c>
      <c r="F1149" s="67">
        <v>5</v>
      </c>
      <c r="G1149" s="71">
        <v>25.5</v>
      </c>
    </row>
    <row r="1150" spans="1:7">
      <c r="A1150" s="67" t="s">
        <v>280</v>
      </c>
      <c r="B1150" s="70">
        <v>46143</v>
      </c>
      <c r="C1150" s="69">
        <v>16</v>
      </c>
      <c r="D1150" s="69">
        <v>272</v>
      </c>
      <c r="E1150" s="69">
        <v>35</v>
      </c>
      <c r="F1150" s="67">
        <v>5</v>
      </c>
      <c r="G1150" s="71">
        <v>8.800000000000001</v>
      </c>
    </row>
    <row r="1151" spans="1:7">
      <c r="A1151" s="67" t="s">
        <v>282</v>
      </c>
      <c r="B1151" s="70">
        <v>46143</v>
      </c>
      <c r="C1151" s="69">
        <v>35</v>
      </c>
      <c r="D1151" s="69">
        <v>545</v>
      </c>
      <c r="E1151" s="69">
        <v>31</v>
      </c>
      <c r="F1151" s="67">
        <v>8</v>
      </c>
      <c r="G1151" s="71">
        <v>12.3</v>
      </c>
    </row>
    <row r="1152" spans="1:7">
      <c r="A1152" s="67" t="s">
        <v>284</v>
      </c>
      <c r="B1152" s="70">
        <v>46143</v>
      </c>
      <c r="C1152" s="69">
        <v>145</v>
      </c>
      <c r="D1152" s="69">
        <v>737</v>
      </c>
      <c r="E1152" s="69">
        <v>97</v>
      </c>
      <c r="F1152" s="67">
        <v>5</v>
      </c>
      <c r="G1152" s="71">
        <v>22.2</v>
      </c>
    </row>
    <row r="1153" spans="1:7">
      <c r="A1153" s="67" t="s">
        <v>286</v>
      </c>
      <c r="B1153" s="70">
        <v>46143</v>
      </c>
      <c r="C1153" s="69">
        <v>20</v>
      </c>
      <c r="D1153" s="69">
        <v>209</v>
      </c>
      <c r="E1153" s="69">
        <v>24</v>
      </c>
      <c r="F1153" s="67">
        <v>7</v>
      </c>
      <c r="G1153" s="71">
        <v>15.1</v>
      </c>
    </row>
    <row r="1154" spans="1:7">
      <c r="A1154" s="67" t="s">
        <v>288</v>
      </c>
      <c r="B1154" s="70">
        <v>46143</v>
      </c>
      <c r="C1154" s="69">
        <v>193</v>
      </c>
      <c r="D1154" s="69">
        <v>1433</v>
      </c>
      <c r="E1154" s="69">
        <v>115</v>
      </c>
      <c r="F1154" s="67">
        <v>7</v>
      </c>
      <c r="G1154" s="71">
        <v>22</v>
      </c>
    </row>
    <row r="1155" spans="1:7">
      <c r="A1155" s="67" t="s">
        <v>290</v>
      </c>
      <c r="B1155" s="70">
        <v>46143</v>
      </c>
      <c r="C1155" s="69">
        <v>220</v>
      </c>
      <c r="D1155" s="69">
        <v>2722</v>
      </c>
      <c r="E1155" s="69">
        <v>169</v>
      </c>
      <c r="F1155" s="67">
        <v>7</v>
      </c>
      <c r="G1155" s="71">
        <v>12</v>
      </c>
    </row>
    <row r="1156" spans="1:7">
      <c r="A1156" s="67" t="s">
        <v>292</v>
      </c>
      <c r="B1156" s="70">
        <v>46143</v>
      </c>
      <c r="C1156" s="69">
        <v>70</v>
      </c>
      <c r="D1156" s="69">
        <v>525</v>
      </c>
      <c r="E1156" s="69">
        <v>172</v>
      </c>
      <c r="F1156" s="67">
        <v>1</v>
      </c>
      <c r="G1156" s="71">
        <v>35.5</v>
      </c>
    </row>
    <row r="1157" spans="1:7">
      <c r="A1157" s="67" t="s">
        <v>294</v>
      </c>
      <c r="B1157" s="70">
        <v>46143</v>
      </c>
      <c r="C1157" s="69">
        <v>28</v>
      </c>
      <c r="D1157" s="69">
        <v>180</v>
      </c>
      <c r="E1157" s="69">
        <v>48</v>
      </c>
      <c r="F1157" s="67">
        <v>7</v>
      </c>
      <c r="G1157" s="71">
        <v>7.8</v>
      </c>
    </row>
    <row r="1158" spans="1:7">
      <c r="A1158" s="67" t="s">
        <v>296</v>
      </c>
      <c r="B1158" s="70">
        <v>46143</v>
      </c>
      <c r="C1158" s="69">
        <v>263</v>
      </c>
      <c r="D1158" s="69">
        <v>1535</v>
      </c>
      <c r="E1158" s="69">
        <v>96</v>
      </c>
      <c r="F1158" s="67">
        <v>7</v>
      </c>
      <c r="G1158" s="71">
        <v>13.2</v>
      </c>
    </row>
    <row r="1159" spans="1:7">
      <c r="A1159" s="67" t="s">
        <v>298</v>
      </c>
      <c r="B1159" s="70">
        <v>46143</v>
      </c>
      <c r="C1159" s="69">
        <v>196</v>
      </c>
      <c r="D1159" s="69">
        <v>1004</v>
      </c>
      <c r="E1159" s="69">
        <v>174</v>
      </c>
      <c r="F1159" s="67">
        <v>6</v>
      </c>
      <c r="G1159" s="71">
        <v>38.4</v>
      </c>
    </row>
    <row r="1160" spans="1:7">
      <c r="A1160" s="67" t="s">
        <v>300</v>
      </c>
      <c r="B1160" s="70">
        <v>46143</v>
      </c>
      <c r="C1160" s="69">
        <v>52</v>
      </c>
      <c r="D1160" s="69">
        <v>288</v>
      </c>
      <c r="E1160" s="69">
        <v>40</v>
      </c>
      <c r="F1160" s="67">
        <v>2</v>
      </c>
      <c r="G1160" s="71">
        <v>32.7</v>
      </c>
    </row>
    <row r="1161" spans="1:7">
      <c r="A1161" s="67" t="s">
        <v>302</v>
      </c>
      <c r="B1161" s="70">
        <v>46143</v>
      </c>
      <c r="C1161" s="69">
        <v>20</v>
      </c>
      <c r="D1161" s="69">
        <v>350</v>
      </c>
      <c r="E1161" s="69">
        <v>18</v>
      </c>
      <c r="F1161" s="67">
        <v>7</v>
      </c>
      <c r="G1161" s="71">
        <v>22</v>
      </c>
    </row>
    <row r="1162" spans="1:7">
      <c r="A1162" s="67" t="s">
        <v>306</v>
      </c>
      <c r="B1162" s="70">
        <v>46143</v>
      </c>
      <c r="C1162" s="69">
        <v>86</v>
      </c>
      <c r="D1162" s="69">
        <v>806</v>
      </c>
      <c r="E1162" s="69">
        <v>155</v>
      </c>
      <c r="F1162" s="67">
        <v>5</v>
      </c>
      <c r="G1162" s="71">
        <v>17</v>
      </c>
    </row>
    <row r="1163" spans="1:7">
      <c r="A1163" s="67" t="s">
        <v>308</v>
      </c>
      <c r="B1163" s="70">
        <v>46143</v>
      </c>
      <c r="C1163" s="69">
        <v>122</v>
      </c>
      <c r="D1163" s="69">
        <v>1183</v>
      </c>
      <c r="E1163" s="69">
        <v>144</v>
      </c>
      <c r="F1163" s="67">
        <v>5</v>
      </c>
      <c r="G1163" s="71">
        <v>26.4</v>
      </c>
    </row>
    <row r="1164" spans="1:7">
      <c r="A1164" s="67" t="s">
        <v>310</v>
      </c>
      <c r="B1164" s="70">
        <v>46143</v>
      </c>
      <c r="C1164" s="69">
        <v>173</v>
      </c>
      <c r="D1164" s="69">
        <v>2678</v>
      </c>
      <c r="E1164" s="69">
        <v>53</v>
      </c>
      <c r="F1164" s="67">
        <v>6</v>
      </c>
      <c r="G1164" s="71">
        <v>35.5</v>
      </c>
    </row>
    <row r="1165" spans="1:7">
      <c r="A1165" s="67" t="s">
        <v>312</v>
      </c>
      <c r="B1165" s="70">
        <v>46143</v>
      </c>
      <c r="C1165" s="69">
        <v>150</v>
      </c>
      <c r="D1165" s="69">
        <v>2554</v>
      </c>
      <c r="E1165" s="69">
        <v>53</v>
      </c>
      <c r="F1165" s="67">
        <v>7</v>
      </c>
      <c r="G1165" s="71">
        <v>9.300000000000001</v>
      </c>
    </row>
    <row r="1166" spans="1:7">
      <c r="A1166" s="67" t="s">
        <v>314</v>
      </c>
      <c r="B1166" s="70">
        <v>46143</v>
      </c>
      <c r="C1166" s="69">
        <v>8</v>
      </c>
      <c r="D1166" s="69">
        <v>118</v>
      </c>
      <c r="E1166" s="69">
        <v>7</v>
      </c>
      <c r="F1166" s="67">
        <v>4</v>
      </c>
      <c r="G1166" s="71">
        <v>20.8</v>
      </c>
    </row>
    <row r="1167" spans="1:7">
      <c r="A1167" s="67" t="s">
        <v>316</v>
      </c>
      <c r="B1167" s="70">
        <v>46143</v>
      </c>
      <c r="C1167" s="69">
        <v>13</v>
      </c>
      <c r="D1167" s="69">
        <v>152</v>
      </c>
      <c r="E1167" s="69">
        <v>23</v>
      </c>
      <c r="F1167" s="67">
        <v>2</v>
      </c>
      <c r="G1167" s="71">
        <v>5.1</v>
      </c>
    </row>
    <row r="1168" spans="1:7">
      <c r="A1168" s="67" t="s">
        <v>318</v>
      </c>
      <c r="B1168" s="70">
        <v>46143</v>
      </c>
      <c r="C1168" s="69">
        <v>131</v>
      </c>
      <c r="D1168" s="69">
        <v>1204</v>
      </c>
      <c r="E1168" s="69">
        <v>222</v>
      </c>
      <c r="F1168" s="67">
        <v>5</v>
      </c>
      <c r="G1168" s="71">
        <v>35.6</v>
      </c>
    </row>
    <row r="1169" spans="1:7">
      <c r="A1169" s="67" t="s">
        <v>320</v>
      </c>
      <c r="B1169" s="70">
        <v>46143</v>
      </c>
      <c r="C1169" s="69">
        <v>108</v>
      </c>
      <c r="D1169" s="69">
        <v>1492</v>
      </c>
      <c r="E1169" s="69">
        <v>88</v>
      </c>
      <c r="F1169" s="67">
        <v>3</v>
      </c>
      <c r="G1169" s="71">
        <v>22</v>
      </c>
    </row>
    <row r="1170" spans="1:7">
      <c r="A1170" s="67" t="s">
        <v>322</v>
      </c>
      <c r="B1170" s="70">
        <v>46143</v>
      </c>
      <c r="C1170" s="69">
        <v>54</v>
      </c>
      <c r="D1170" s="69">
        <v>515</v>
      </c>
      <c r="E1170" s="69">
        <v>128</v>
      </c>
      <c r="F1170" s="67">
        <v>4</v>
      </c>
      <c r="G1170" s="71">
        <v>38</v>
      </c>
    </row>
    <row r="1171" spans="1:7">
      <c r="A1171" s="67" t="s">
        <v>324</v>
      </c>
      <c r="B1171" s="70">
        <v>46143</v>
      </c>
      <c r="C1171" s="69">
        <v>730</v>
      </c>
      <c r="D1171" s="69">
        <v>10288</v>
      </c>
      <c r="E1171" s="69">
        <v>380</v>
      </c>
      <c r="F1171" s="67">
        <v>6</v>
      </c>
      <c r="G1171" s="71">
        <v>18.5</v>
      </c>
    </row>
    <row r="1172" spans="1:7">
      <c r="A1172" s="67" t="s">
        <v>326</v>
      </c>
      <c r="B1172" s="70">
        <v>46143</v>
      </c>
      <c r="C1172" s="69">
        <v>32</v>
      </c>
      <c r="D1172" s="69">
        <v>522</v>
      </c>
      <c r="E1172" s="69">
        <v>71</v>
      </c>
      <c r="F1172" s="67">
        <v>6</v>
      </c>
      <c r="G1172" s="71">
        <v>32.5</v>
      </c>
    </row>
    <row r="1173" spans="1:7">
      <c r="A1173" s="67" t="s">
        <v>328</v>
      </c>
      <c r="B1173" s="70">
        <v>46143</v>
      </c>
      <c r="C1173" s="69">
        <v>142</v>
      </c>
      <c r="D1173" s="69">
        <v>1629</v>
      </c>
      <c r="E1173" s="69">
        <v>70</v>
      </c>
      <c r="F1173" s="67">
        <v>6</v>
      </c>
      <c r="G1173" s="71">
        <v>34.1</v>
      </c>
    </row>
    <row r="1174" spans="1:7">
      <c r="A1174" s="67" t="s">
        <v>330</v>
      </c>
      <c r="B1174" s="70">
        <v>46143</v>
      </c>
      <c r="C1174" s="69">
        <v>48</v>
      </c>
      <c r="D1174" s="69">
        <v>531</v>
      </c>
      <c r="E1174" s="69">
        <v>109</v>
      </c>
      <c r="F1174" s="67">
        <v>8</v>
      </c>
      <c r="G1174" s="71">
        <v>38.4</v>
      </c>
    </row>
    <row r="1175" spans="1:7">
      <c r="A1175" s="67" t="s">
        <v>332</v>
      </c>
      <c r="B1175" s="70">
        <v>46143</v>
      </c>
      <c r="C1175" s="69">
        <v>36</v>
      </c>
      <c r="D1175" s="69">
        <v>294</v>
      </c>
      <c r="E1175" s="69">
        <v>24</v>
      </c>
      <c r="F1175" s="67">
        <v>9</v>
      </c>
      <c r="G1175" s="71">
        <v>38</v>
      </c>
    </row>
    <row r="1176" spans="1:7">
      <c r="A1176" s="67" t="s">
        <v>334</v>
      </c>
      <c r="B1176" s="70">
        <v>46143</v>
      </c>
      <c r="C1176" s="69">
        <v>309</v>
      </c>
      <c r="D1176" s="69">
        <v>5535</v>
      </c>
      <c r="E1176" s="69">
        <v>113</v>
      </c>
      <c r="F1176" s="67">
        <v>4</v>
      </c>
      <c r="G1176" s="71">
        <v>37.5</v>
      </c>
    </row>
    <row r="1177" spans="1:7">
      <c r="A1177" s="67" t="s">
        <v>336</v>
      </c>
      <c r="B1177" s="70">
        <v>46143</v>
      </c>
      <c r="C1177" s="69">
        <v>778</v>
      </c>
      <c r="D1177" s="69">
        <v>6726</v>
      </c>
      <c r="E1177" s="69">
        <v>1464</v>
      </c>
      <c r="F1177" s="67">
        <v>6</v>
      </c>
      <c r="G1177" s="71">
        <v>28.3</v>
      </c>
    </row>
    <row r="1178" spans="1:7">
      <c r="A1178" s="67" t="s">
        <v>338</v>
      </c>
      <c r="B1178" s="70">
        <v>46143</v>
      </c>
      <c r="C1178" s="69">
        <v>30</v>
      </c>
      <c r="D1178" s="69">
        <v>410</v>
      </c>
      <c r="E1178" s="69">
        <v>70</v>
      </c>
      <c r="F1178" s="67">
        <v>4</v>
      </c>
      <c r="G1178" s="71">
        <v>27.2</v>
      </c>
    </row>
    <row r="1179" spans="1:7">
      <c r="A1179" s="67" t="s">
        <v>340</v>
      </c>
      <c r="B1179" s="70">
        <v>46143</v>
      </c>
      <c r="C1179" s="69">
        <v>78</v>
      </c>
      <c r="D1179" s="69">
        <v>727</v>
      </c>
      <c r="E1179" s="69">
        <v>62</v>
      </c>
      <c r="F1179" s="67">
        <v>7</v>
      </c>
      <c r="G1179" s="71">
        <v>25.2</v>
      </c>
    </row>
    <row r="1180" spans="1:7">
      <c r="A1180" s="67" t="s">
        <v>342</v>
      </c>
      <c r="B1180" s="70">
        <v>46143</v>
      </c>
      <c r="C1180" s="69">
        <v>10</v>
      </c>
      <c r="D1180" s="69">
        <v>95</v>
      </c>
      <c r="E1180" s="69">
        <v>23</v>
      </c>
      <c r="F1180" s="67">
        <v>7</v>
      </c>
      <c r="G1180" s="71">
        <v>31</v>
      </c>
    </row>
    <row r="1181" spans="1:7">
      <c r="A1181" s="67" t="s">
        <v>344</v>
      </c>
      <c r="B1181" s="70">
        <v>46143</v>
      </c>
      <c r="C1181" s="69">
        <v>13</v>
      </c>
      <c r="D1181" s="69">
        <v>198</v>
      </c>
      <c r="E1181" s="69">
        <v>32</v>
      </c>
      <c r="F1181" s="67">
        <v>4</v>
      </c>
      <c r="G1181" s="71">
        <v>20.3</v>
      </c>
    </row>
    <row r="1182" spans="1:7">
      <c r="A1182" s="67" t="s">
        <v>346</v>
      </c>
      <c r="B1182" s="70">
        <v>46143</v>
      </c>
      <c r="C1182" s="69">
        <v>208</v>
      </c>
      <c r="D1182" s="69">
        <v>1827</v>
      </c>
      <c r="E1182" s="69">
        <v>113</v>
      </c>
      <c r="F1182" s="67">
        <v>4</v>
      </c>
      <c r="G1182" s="71">
        <v>16.9</v>
      </c>
    </row>
    <row r="1183" spans="1:7">
      <c r="A1183" s="67" t="s">
        <v>23</v>
      </c>
      <c r="B1183" s="70">
        <v>46174</v>
      </c>
      <c r="C1183" s="69">
        <v>57</v>
      </c>
      <c r="D1183" s="69">
        <v>983</v>
      </c>
      <c r="E1183" s="69">
        <v>89</v>
      </c>
      <c r="F1183" s="67">
        <v>7</v>
      </c>
      <c r="G1183" s="71">
        <v>9.5</v>
      </c>
    </row>
    <row r="1184" spans="1:7">
      <c r="A1184" s="67" t="s">
        <v>30</v>
      </c>
      <c r="B1184" s="70">
        <v>46174</v>
      </c>
      <c r="C1184" s="69">
        <v>226</v>
      </c>
      <c r="D1184" s="69">
        <v>3295</v>
      </c>
      <c r="E1184" s="69">
        <v>222</v>
      </c>
      <c r="F1184" s="67">
        <v>8</v>
      </c>
      <c r="G1184" s="71">
        <v>25.7</v>
      </c>
    </row>
    <row r="1185" spans="1:7">
      <c r="A1185" s="67" t="s">
        <v>35</v>
      </c>
      <c r="B1185" s="70">
        <v>46174</v>
      </c>
      <c r="C1185" s="69">
        <v>18</v>
      </c>
      <c r="D1185" s="69">
        <v>189</v>
      </c>
      <c r="E1185" s="69">
        <v>36</v>
      </c>
      <c r="F1185" s="67">
        <v>5</v>
      </c>
      <c r="G1185" s="71">
        <v>32.9</v>
      </c>
    </row>
    <row r="1186" spans="1:7">
      <c r="A1186" s="67" t="s">
        <v>41</v>
      </c>
      <c r="B1186" s="70">
        <v>46174</v>
      </c>
      <c r="C1186" s="69">
        <v>74</v>
      </c>
      <c r="D1186" s="69">
        <v>1009</v>
      </c>
      <c r="E1186" s="69">
        <v>118</v>
      </c>
      <c r="F1186" s="67">
        <v>5</v>
      </c>
      <c r="G1186" s="71">
        <v>8.699999999999999</v>
      </c>
    </row>
    <row r="1187" spans="1:7">
      <c r="A1187" s="67" t="s">
        <v>44</v>
      </c>
      <c r="B1187" s="70">
        <v>46174</v>
      </c>
      <c r="C1187" s="69">
        <v>69</v>
      </c>
      <c r="D1187" s="69">
        <v>628</v>
      </c>
      <c r="E1187" s="69">
        <v>145</v>
      </c>
      <c r="F1187" s="67">
        <v>6</v>
      </c>
      <c r="G1187" s="71">
        <v>15.4</v>
      </c>
    </row>
    <row r="1188" spans="1:7">
      <c r="A1188" s="67" t="s">
        <v>47</v>
      </c>
      <c r="B1188" s="70">
        <v>46174</v>
      </c>
      <c r="C1188" s="69">
        <v>15</v>
      </c>
      <c r="D1188" s="69">
        <v>104</v>
      </c>
      <c r="E1188" s="69">
        <v>14</v>
      </c>
      <c r="F1188" s="67">
        <v>6</v>
      </c>
      <c r="G1188" s="71">
        <v>31.1</v>
      </c>
    </row>
    <row r="1189" spans="1:7">
      <c r="A1189" s="67" t="s">
        <v>51</v>
      </c>
      <c r="B1189" s="70">
        <v>46174</v>
      </c>
      <c r="C1189" s="69">
        <v>1027</v>
      </c>
      <c r="D1189" s="69">
        <v>5594</v>
      </c>
      <c r="E1189" s="69">
        <v>1031</v>
      </c>
      <c r="F1189" s="67">
        <v>7</v>
      </c>
      <c r="G1189" s="71">
        <v>22.6</v>
      </c>
    </row>
    <row r="1190" spans="1:7">
      <c r="A1190" s="67" t="s">
        <v>54</v>
      </c>
      <c r="B1190" s="70">
        <v>46174</v>
      </c>
      <c r="C1190" s="69">
        <v>5</v>
      </c>
      <c r="D1190" s="69">
        <v>80</v>
      </c>
      <c r="E1190" s="69">
        <v>8</v>
      </c>
      <c r="F1190" s="67">
        <v>3</v>
      </c>
      <c r="G1190" s="71">
        <v>27.1</v>
      </c>
    </row>
    <row r="1191" spans="1:7">
      <c r="A1191" s="67" t="s">
        <v>57</v>
      </c>
      <c r="B1191" s="70">
        <v>46174</v>
      </c>
      <c r="C1191" s="69">
        <v>841</v>
      </c>
      <c r="D1191" s="69">
        <v>14772</v>
      </c>
      <c r="E1191" s="69">
        <v>361</v>
      </c>
      <c r="F1191" s="67">
        <v>8</v>
      </c>
      <c r="G1191" s="71">
        <v>33.4</v>
      </c>
    </row>
    <row r="1192" spans="1:7">
      <c r="A1192" s="67" t="s">
        <v>59</v>
      </c>
      <c r="B1192" s="70">
        <v>46174</v>
      </c>
      <c r="C1192" s="69">
        <v>97</v>
      </c>
      <c r="D1192" s="69">
        <v>1554</v>
      </c>
      <c r="E1192" s="69">
        <v>229</v>
      </c>
      <c r="F1192" s="67">
        <v>5</v>
      </c>
      <c r="G1192" s="71">
        <v>12.9</v>
      </c>
    </row>
    <row r="1193" spans="1:7">
      <c r="A1193" s="67" t="s">
        <v>63</v>
      </c>
      <c r="B1193" s="70">
        <v>46174</v>
      </c>
      <c r="C1193" s="69">
        <v>26</v>
      </c>
      <c r="D1193" s="69">
        <v>392</v>
      </c>
      <c r="E1193" s="69">
        <v>57</v>
      </c>
      <c r="F1193" s="67">
        <v>3</v>
      </c>
      <c r="G1193" s="71">
        <v>30.5</v>
      </c>
    </row>
    <row r="1194" spans="1:7">
      <c r="A1194" s="67" t="s">
        <v>66</v>
      </c>
      <c r="B1194" s="70">
        <v>46174</v>
      </c>
      <c r="C1194" s="69">
        <v>16</v>
      </c>
      <c r="D1194" s="69">
        <v>270</v>
      </c>
      <c r="E1194" s="69">
        <v>10</v>
      </c>
      <c r="F1194" s="67">
        <v>7</v>
      </c>
      <c r="G1194" s="71">
        <v>5.8</v>
      </c>
    </row>
    <row r="1195" spans="1:7">
      <c r="A1195" s="67" t="s">
        <v>69</v>
      </c>
      <c r="B1195" s="70">
        <v>46174</v>
      </c>
      <c r="C1195" s="69">
        <v>11</v>
      </c>
      <c r="D1195" s="69">
        <v>123</v>
      </c>
      <c r="E1195" s="69">
        <v>12</v>
      </c>
      <c r="F1195" s="67">
        <v>6</v>
      </c>
      <c r="G1195" s="71">
        <v>18.7</v>
      </c>
    </row>
    <row r="1196" spans="1:7">
      <c r="A1196" s="67" t="s">
        <v>71</v>
      </c>
      <c r="B1196" s="70">
        <v>46174</v>
      </c>
      <c r="C1196" s="69">
        <v>61</v>
      </c>
      <c r="D1196" s="69">
        <v>529</v>
      </c>
      <c r="E1196" s="69">
        <v>142</v>
      </c>
      <c r="F1196" s="67">
        <v>7</v>
      </c>
      <c r="G1196" s="71">
        <v>29.5</v>
      </c>
    </row>
    <row r="1197" spans="1:7">
      <c r="A1197" s="67" t="s">
        <v>75</v>
      </c>
      <c r="B1197" s="70">
        <v>46174</v>
      </c>
      <c r="C1197" s="69">
        <v>251</v>
      </c>
      <c r="D1197" s="69">
        <v>2310</v>
      </c>
      <c r="E1197" s="69">
        <v>512</v>
      </c>
      <c r="F1197" s="67">
        <v>9</v>
      </c>
      <c r="G1197" s="71">
        <v>35.3</v>
      </c>
    </row>
    <row r="1198" spans="1:7">
      <c r="A1198" s="67" t="s">
        <v>78</v>
      </c>
      <c r="B1198" s="70">
        <v>46174</v>
      </c>
      <c r="C1198" s="69">
        <v>798</v>
      </c>
      <c r="D1198" s="69">
        <v>7144</v>
      </c>
      <c r="E1198" s="69">
        <v>1389</v>
      </c>
      <c r="F1198" s="67">
        <v>7</v>
      </c>
      <c r="G1198" s="71">
        <v>25.2</v>
      </c>
    </row>
    <row r="1199" spans="1:7">
      <c r="A1199" s="67" t="s">
        <v>81</v>
      </c>
      <c r="B1199" s="70">
        <v>46174</v>
      </c>
      <c r="C1199" s="69">
        <v>8</v>
      </c>
      <c r="D1199" s="69">
        <v>133</v>
      </c>
      <c r="E1199" s="69">
        <v>6</v>
      </c>
      <c r="F1199" s="67">
        <v>8</v>
      </c>
      <c r="G1199" s="71">
        <v>33.2</v>
      </c>
    </row>
    <row r="1200" spans="1:7">
      <c r="A1200" s="67" t="s">
        <v>83</v>
      </c>
      <c r="B1200" s="70">
        <v>46174</v>
      </c>
      <c r="C1200" s="69">
        <v>10</v>
      </c>
      <c r="D1200" s="69">
        <v>97</v>
      </c>
      <c r="E1200" s="69">
        <v>22</v>
      </c>
      <c r="F1200" s="67">
        <v>7</v>
      </c>
      <c r="G1200" s="71">
        <v>8.6</v>
      </c>
    </row>
    <row r="1201" spans="1:7">
      <c r="A1201" s="67" t="s">
        <v>85</v>
      </c>
      <c r="B1201" s="70">
        <v>46174</v>
      </c>
      <c r="C1201" s="69">
        <v>211</v>
      </c>
      <c r="D1201" s="69">
        <v>2088</v>
      </c>
      <c r="E1201" s="69">
        <v>519</v>
      </c>
      <c r="F1201" s="67">
        <v>7</v>
      </c>
      <c r="G1201" s="71">
        <v>28.8</v>
      </c>
    </row>
    <row r="1202" spans="1:7">
      <c r="A1202" s="67" t="s">
        <v>87</v>
      </c>
      <c r="B1202" s="70">
        <v>46174</v>
      </c>
      <c r="C1202" s="69">
        <v>13</v>
      </c>
      <c r="D1202" s="69">
        <v>125</v>
      </c>
      <c r="E1202" s="69">
        <v>17</v>
      </c>
      <c r="F1202" s="67">
        <v>6</v>
      </c>
      <c r="G1202" s="71">
        <v>38.1</v>
      </c>
    </row>
    <row r="1203" spans="1:7">
      <c r="A1203" s="67" t="s">
        <v>90</v>
      </c>
      <c r="B1203" s="70">
        <v>46174</v>
      </c>
      <c r="C1203" s="69">
        <v>65</v>
      </c>
      <c r="D1203" s="69">
        <v>611</v>
      </c>
      <c r="E1203" s="69">
        <v>82</v>
      </c>
      <c r="F1203" s="67">
        <v>5</v>
      </c>
      <c r="G1203" s="71">
        <v>10.2</v>
      </c>
    </row>
    <row r="1204" spans="1:7">
      <c r="A1204" s="67" t="s">
        <v>92</v>
      </c>
      <c r="B1204" s="70">
        <v>46174</v>
      </c>
      <c r="C1204" s="69">
        <v>5</v>
      </c>
      <c r="D1204" s="69">
        <v>33</v>
      </c>
      <c r="E1204" s="69">
        <v>6</v>
      </c>
      <c r="F1204" s="67">
        <v>3</v>
      </c>
      <c r="G1204" s="71">
        <v>15.6</v>
      </c>
    </row>
    <row r="1205" spans="1:7">
      <c r="A1205" s="67" t="s">
        <v>94</v>
      </c>
      <c r="B1205" s="70">
        <v>46174</v>
      </c>
      <c r="C1205" s="69">
        <v>36</v>
      </c>
      <c r="D1205" s="69">
        <v>529</v>
      </c>
      <c r="E1205" s="69">
        <v>72</v>
      </c>
      <c r="F1205" s="67">
        <v>6</v>
      </c>
      <c r="G1205" s="71">
        <v>39.7</v>
      </c>
    </row>
    <row r="1206" spans="1:7">
      <c r="A1206" s="67" t="s">
        <v>96</v>
      </c>
      <c r="B1206" s="70">
        <v>46174</v>
      </c>
      <c r="C1206" s="69">
        <v>691</v>
      </c>
      <c r="D1206" s="69">
        <v>7620</v>
      </c>
      <c r="E1206" s="69">
        <v>1451</v>
      </c>
      <c r="F1206" s="67">
        <v>5</v>
      </c>
      <c r="G1206" s="71">
        <v>18.4</v>
      </c>
    </row>
    <row r="1207" spans="1:7">
      <c r="A1207" s="67" t="s">
        <v>98</v>
      </c>
      <c r="B1207" s="70">
        <v>46174</v>
      </c>
      <c r="C1207" s="69">
        <v>941</v>
      </c>
      <c r="D1207" s="69">
        <v>4847</v>
      </c>
      <c r="E1207" s="69">
        <v>524</v>
      </c>
      <c r="F1207" s="67">
        <v>7</v>
      </c>
      <c r="G1207" s="71">
        <v>9.300000000000001</v>
      </c>
    </row>
    <row r="1208" spans="1:7">
      <c r="A1208" s="67" t="s">
        <v>100</v>
      </c>
      <c r="B1208" s="70">
        <v>46174</v>
      </c>
      <c r="C1208" s="69">
        <v>888</v>
      </c>
      <c r="D1208" s="69">
        <v>7037</v>
      </c>
      <c r="E1208" s="69">
        <v>1413</v>
      </c>
      <c r="F1208" s="67">
        <v>5</v>
      </c>
      <c r="G1208" s="71">
        <v>39.6</v>
      </c>
    </row>
    <row r="1209" spans="1:7">
      <c r="A1209" s="67" t="s">
        <v>104</v>
      </c>
      <c r="B1209" s="70">
        <v>46174</v>
      </c>
      <c r="C1209" s="69">
        <v>11</v>
      </c>
      <c r="D1209" s="69">
        <v>69</v>
      </c>
      <c r="E1209" s="69">
        <v>18</v>
      </c>
      <c r="F1209" s="67">
        <v>4</v>
      </c>
      <c r="G1209" s="71">
        <v>18.4</v>
      </c>
    </row>
    <row r="1210" spans="1:7">
      <c r="A1210" s="67" t="s">
        <v>106</v>
      </c>
      <c r="B1210" s="70">
        <v>46174</v>
      </c>
      <c r="C1210" s="69">
        <v>198</v>
      </c>
      <c r="D1210" s="69">
        <v>1758</v>
      </c>
      <c r="E1210" s="69">
        <v>114</v>
      </c>
      <c r="F1210" s="67">
        <v>6</v>
      </c>
      <c r="G1210" s="71">
        <v>16.4</v>
      </c>
    </row>
    <row r="1211" spans="1:7">
      <c r="A1211" s="67" t="s">
        <v>108</v>
      </c>
      <c r="B1211" s="70">
        <v>46174</v>
      </c>
      <c r="C1211" s="69">
        <v>28</v>
      </c>
      <c r="D1211" s="69">
        <v>336</v>
      </c>
      <c r="E1211" s="69">
        <v>33</v>
      </c>
      <c r="F1211" s="67">
        <v>4</v>
      </c>
      <c r="G1211" s="71">
        <v>29.5</v>
      </c>
    </row>
    <row r="1212" spans="1:7">
      <c r="A1212" s="67" t="s">
        <v>110</v>
      </c>
      <c r="B1212" s="70">
        <v>46174</v>
      </c>
      <c r="C1212" s="69">
        <v>99</v>
      </c>
      <c r="D1212" s="69">
        <v>1503</v>
      </c>
      <c r="E1212" s="69">
        <v>145</v>
      </c>
      <c r="F1212" s="67">
        <v>5</v>
      </c>
      <c r="G1212" s="71">
        <v>7.2</v>
      </c>
    </row>
    <row r="1213" spans="1:7">
      <c r="A1213" s="67" t="s">
        <v>112</v>
      </c>
      <c r="B1213" s="70">
        <v>46174</v>
      </c>
      <c r="C1213" s="69">
        <v>5</v>
      </c>
      <c r="D1213" s="69">
        <v>78</v>
      </c>
      <c r="E1213" s="69">
        <v>9</v>
      </c>
      <c r="F1213" s="67">
        <v>3</v>
      </c>
      <c r="G1213" s="71">
        <v>31.4</v>
      </c>
    </row>
    <row r="1214" spans="1:7">
      <c r="A1214" s="67" t="s">
        <v>114</v>
      </c>
      <c r="B1214" s="70">
        <v>46174</v>
      </c>
      <c r="C1214" s="69">
        <v>148</v>
      </c>
      <c r="D1214" s="69">
        <v>966</v>
      </c>
      <c r="E1214" s="69">
        <v>325</v>
      </c>
      <c r="F1214" s="67">
        <v>9</v>
      </c>
      <c r="G1214" s="71">
        <v>29.3</v>
      </c>
    </row>
    <row r="1215" spans="1:7">
      <c r="A1215" s="67" t="s">
        <v>116</v>
      </c>
      <c r="B1215" s="70">
        <v>46174</v>
      </c>
      <c r="C1215" s="69">
        <v>15</v>
      </c>
      <c r="D1215" s="69">
        <v>136</v>
      </c>
      <c r="E1215" s="69">
        <v>6</v>
      </c>
      <c r="F1215" s="67">
        <v>5</v>
      </c>
      <c r="G1215" s="71">
        <v>25.1</v>
      </c>
    </row>
    <row r="1216" spans="1:7">
      <c r="A1216" s="67" t="s">
        <v>118</v>
      </c>
      <c r="B1216" s="70">
        <v>46174</v>
      </c>
      <c r="C1216" s="69">
        <v>47</v>
      </c>
      <c r="D1216" s="69">
        <v>392</v>
      </c>
      <c r="E1216" s="69">
        <v>92</v>
      </c>
      <c r="F1216" s="67">
        <v>8</v>
      </c>
      <c r="G1216" s="71">
        <v>8</v>
      </c>
    </row>
    <row r="1217" spans="1:7">
      <c r="A1217" s="67" t="s">
        <v>120</v>
      </c>
      <c r="B1217" s="70">
        <v>46174</v>
      </c>
      <c r="C1217" s="69">
        <v>33</v>
      </c>
      <c r="D1217" s="69">
        <v>580</v>
      </c>
      <c r="E1217" s="69">
        <v>22</v>
      </c>
      <c r="F1217" s="67">
        <v>3</v>
      </c>
      <c r="G1217" s="71">
        <v>39.2</v>
      </c>
    </row>
    <row r="1218" spans="1:7">
      <c r="A1218" s="67" t="s">
        <v>122</v>
      </c>
      <c r="B1218" s="70">
        <v>46174</v>
      </c>
      <c r="C1218" s="69">
        <v>342</v>
      </c>
      <c r="D1218" s="69">
        <v>1915</v>
      </c>
      <c r="E1218" s="69">
        <v>814</v>
      </c>
      <c r="F1218" s="67">
        <v>4</v>
      </c>
      <c r="G1218" s="71">
        <v>36.7</v>
      </c>
    </row>
    <row r="1219" spans="1:7">
      <c r="A1219" s="67" t="s">
        <v>124</v>
      </c>
      <c r="B1219" s="70">
        <v>46174</v>
      </c>
      <c r="C1219" s="69">
        <v>152</v>
      </c>
      <c r="D1219" s="69">
        <v>1036</v>
      </c>
      <c r="E1219" s="69">
        <v>210</v>
      </c>
      <c r="F1219" s="67">
        <v>6</v>
      </c>
      <c r="G1219" s="71">
        <v>16</v>
      </c>
    </row>
    <row r="1220" spans="1:7">
      <c r="A1220" s="67" t="s">
        <v>126</v>
      </c>
      <c r="B1220" s="70">
        <v>46174</v>
      </c>
      <c r="C1220" s="69">
        <v>28</v>
      </c>
      <c r="D1220" s="69">
        <v>361</v>
      </c>
      <c r="E1220" s="69">
        <v>40</v>
      </c>
      <c r="F1220" s="67">
        <v>3</v>
      </c>
      <c r="G1220" s="71">
        <v>29.1</v>
      </c>
    </row>
    <row r="1221" spans="1:7">
      <c r="A1221" s="67" t="s">
        <v>128</v>
      </c>
      <c r="B1221" s="70">
        <v>46174</v>
      </c>
      <c r="C1221" s="69">
        <v>165</v>
      </c>
      <c r="D1221" s="69">
        <v>904</v>
      </c>
      <c r="E1221" s="69">
        <v>101</v>
      </c>
      <c r="F1221" s="67">
        <v>6</v>
      </c>
      <c r="G1221" s="71">
        <v>35</v>
      </c>
    </row>
    <row r="1222" spans="1:7">
      <c r="A1222" s="67" t="s">
        <v>130</v>
      </c>
      <c r="B1222" s="70">
        <v>46174</v>
      </c>
      <c r="C1222" s="69">
        <v>100</v>
      </c>
      <c r="D1222" s="69">
        <v>1218</v>
      </c>
      <c r="E1222" s="69">
        <v>160</v>
      </c>
      <c r="F1222" s="67">
        <v>8</v>
      </c>
      <c r="G1222" s="71">
        <v>14.7</v>
      </c>
    </row>
    <row r="1223" spans="1:7">
      <c r="A1223" s="67" t="s">
        <v>132</v>
      </c>
      <c r="B1223" s="70">
        <v>46174</v>
      </c>
      <c r="C1223" s="69">
        <v>51</v>
      </c>
      <c r="D1223" s="69">
        <v>620</v>
      </c>
      <c r="E1223" s="69">
        <v>45</v>
      </c>
      <c r="F1223" s="67">
        <v>4</v>
      </c>
      <c r="G1223" s="71">
        <v>27.7</v>
      </c>
    </row>
    <row r="1224" spans="1:7">
      <c r="A1224" s="67" t="s">
        <v>134</v>
      </c>
      <c r="B1224" s="70">
        <v>46174</v>
      </c>
      <c r="C1224" s="69">
        <v>213</v>
      </c>
      <c r="D1224" s="69">
        <v>3681</v>
      </c>
      <c r="E1224" s="69">
        <v>381</v>
      </c>
      <c r="F1224" s="67">
        <v>8</v>
      </c>
      <c r="G1224" s="71">
        <v>37.9</v>
      </c>
    </row>
    <row r="1225" spans="1:7">
      <c r="A1225" s="67" t="s">
        <v>136</v>
      </c>
      <c r="B1225" s="70">
        <v>46174</v>
      </c>
      <c r="C1225" s="69">
        <v>118</v>
      </c>
      <c r="D1225" s="69">
        <v>1556</v>
      </c>
      <c r="E1225" s="69">
        <v>105</v>
      </c>
      <c r="F1225" s="67">
        <v>5</v>
      </c>
      <c r="G1225" s="71">
        <v>27.2</v>
      </c>
    </row>
    <row r="1226" spans="1:7">
      <c r="A1226" s="67" t="s">
        <v>138</v>
      </c>
      <c r="B1226" s="70">
        <v>46174</v>
      </c>
      <c r="C1226" s="69">
        <v>35</v>
      </c>
      <c r="D1226" s="69">
        <v>431</v>
      </c>
      <c r="E1226" s="69">
        <v>60</v>
      </c>
      <c r="F1226" s="67">
        <v>5</v>
      </c>
      <c r="G1226" s="71">
        <v>22.9</v>
      </c>
    </row>
    <row r="1227" spans="1:7">
      <c r="A1227" s="67" t="s">
        <v>140</v>
      </c>
      <c r="B1227" s="70">
        <v>46174</v>
      </c>
      <c r="C1227" s="69">
        <v>132</v>
      </c>
      <c r="D1227" s="69">
        <v>1203</v>
      </c>
      <c r="E1227" s="69">
        <v>268</v>
      </c>
      <c r="F1227" s="67">
        <v>6</v>
      </c>
      <c r="G1227" s="71">
        <v>18.3</v>
      </c>
    </row>
    <row r="1228" spans="1:7">
      <c r="A1228" s="67" t="s">
        <v>142</v>
      </c>
      <c r="B1228" s="70">
        <v>46174</v>
      </c>
      <c r="C1228" s="69">
        <v>226</v>
      </c>
      <c r="D1228" s="69">
        <v>1924</v>
      </c>
      <c r="E1228" s="69">
        <v>332</v>
      </c>
      <c r="F1228" s="67">
        <v>8</v>
      </c>
      <c r="G1228" s="71">
        <v>28.9</v>
      </c>
    </row>
    <row r="1229" spans="1:7">
      <c r="A1229" s="67" t="s">
        <v>144</v>
      </c>
      <c r="B1229" s="70">
        <v>46174</v>
      </c>
      <c r="C1229" s="69">
        <v>23</v>
      </c>
      <c r="D1229" s="69">
        <v>142</v>
      </c>
      <c r="E1229" s="69">
        <v>53</v>
      </c>
      <c r="F1229" s="67">
        <v>6</v>
      </c>
      <c r="G1229" s="71">
        <v>32.2</v>
      </c>
    </row>
    <row r="1230" spans="1:7">
      <c r="A1230" s="67" t="s">
        <v>146</v>
      </c>
      <c r="B1230" s="70">
        <v>46174</v>
      </c>
      <c r="C1230" s="69">
        <v>1257</v>
      </c>
      <c r="D1230" s="69">
        <v>10757</v>
      </c>
      <c r="E1230" s="69">
        <v>648</v>
      </c>
      <c r="F1230" s="67">
        <v>10</v>
      </c>
      <c r="G1230" s="71">
        <v>39.3</v>
      </c>
    </row>
    <row r="1231" spans="1:7">
      <c r="A1231" s="67" t="s">
        <v>148</v>
      </c>
      <c r="B1231" s="70">
        <v>46174</v>
      </c>
      <c r="C1231" s="69">
        <v>190</v>
      </c>
      <c r="D1231" s="69">
        <v>2883</v>
      </c>
      <c r="E1231" s="69">
        <v>109</v>
      </c>
      <c r="F1231" s="67">
        <v>10</v>
      </c>
      <c r="G1231" s="71">
        <v>23.4</v>
      </c>
    </row>
    <row r="1232" spans="1:7">
      <c r="A1232" s="67" t="s">
        <v>150</v>
      </c>
      <c r="B1232" s="70">
        <v>46174</v>
      </c>
      <c r="C1232" s="69">
        <v>19</v>
      </c>
      <c r="D1232" s="69">
        <v>294</v>
      </c>
      <c r="E1232" s="69">
        <v>10</v>
      </c>
      <c r="F1232" s="67">
        <v>2</v>
      </c>
      <c r="G1232" s="71">
        <v>17.2</v>
      </c>
    </row>
    <row r="1233" spans="1:7">
      <c r="A1233" s="67" t="s">
        <v>152</v>
      </c>
      <c r="B1233" s="70">
        <v>46174</v>
      </c>
      <c r="C1233" s="69">
        <v>17</v>
      </c>
      <c r="D1233" s="69">
        <v>145</v>
      </c>
      <c r="E1233" s="69">
        <v>9</v>
      </c>
      <c r="F1233" s="67">
        <v>4</v>
      </c>
      <c r="G1233" s="71">
        <v>6.7</v>
      </c>
    </row>
    <row r="1234" spans="1:7">
      <c r="A1234" s="67" t="s">
        <v>154</v>
      </c>
      <c r="B1234" s="70">
        <v>46174</v>
      </c>
      <c r="C1234" s="69">
        <v>23</v>
      </c>
      <c r="D1234" s="69">
        <v>169</v>
      </c>
      <c r="E1234" s="69">
        <v>48</v>
      </c>
      <c r="F1234" s="67">
        <v>3</v>
      </c>
      <c r="G1234" s="71">
        <v>28.7</v>
      </c>
    </row>
    <row r="1235" spans="1:7">
      <c r="A1235" s="67" t="s">
        <v>156</v>
      </c>
      <c r="B1235" s="70">
        <v>46174</v>
      </c>
      <c r="C1235" s="69">
        <v>25</v>
      </c>
      <c r="D1235" s="69">
        <v>412</v>
      </c>
      <c r="E1235" s="69">
        <v>30</v>
      </c>
      <c r="F1235" s="67">
        <v>6</v>
      </c>
      <c r="G1235" s="71">
        <v>25.7</v>
      </c>
    </row>
    <row r="1236" spans="1:7">
      <c r="A1236" s="67" t="s">
        <v>158</v>
      </c>
      <c r="B1236" s="70">
        <v>46174</v>
      </c>
      <c r="C1236" s="69">
        <v>64</v>
      </c>
      <c r="D1236" s="69">
        <v>913</v>
      </c>
      <c r="E1236" s="69">
        <v>112</v>
      </c>
      <c r="F1236" s="67">
        <v>5</v>
      </c>
      <c r="G1236" s="71">
        <v>10</v>
      </c>
    </row>
    <row r="1237" spans="1:7">
      <c r="A1237" s="67" t="s">
        <v>160</v>
      </c>
      <c r="B1237" s="70">
        <v>46174</v>
      </c>
      <c r="C1237" s="69">
        <v>209</v>
      </c>
      <c r="D1237" s="69">
        <v>3540</v>
      </c>
      <c r="E1237" s="69">
        <v>357</v>
      </c>
      <c r="F1237" s="67">
        <v>6</v>
      </c>
      <c r="G1237" s="71">
        <v>18</v>
      </c>
    </row>
    <row r="1238" spans="1:7">
      <c r="A1238" s="67" t="s">
        <v>162</v>
      </c>
      <c r="B1238" s="70">
        <v>46174</v>
      </c>
      <c r="C1238" s="69">
        <v>50</v>
      </c>
      <c r="D1238" s="69">
        <v>522</v>
      </c>
      <c r="E1238" s="69">
        <v>65</v>
      </c>
      <c r="F1238" s="67">
        <v>7</v>
      </c>
      <c r="G1238" s="71">
        <v>20.4</v>
      </c>
    </row>
    <row r="1239" spans="1:7">
      <c r="A1239" s="67" t="s">
        <v>164</v>
      </c>
      <c r="B1239" s="70">
        <v>46174</v>
      </c>
      <c r="C1239" s="69">
        <v>87</v>
      </c>
      <c r="D1239" s="69">
        <v>759</v>
      </c>
      <c r="E1239" s="69">
        <v>208</v>
      </c>
      <c r="F1239" s="67">
        <v>7</v>
      </c>
      <c r="G1239" s="71">
        <v>23.2</v>
      </c>
    </row>
    <row r="1240" spans="1:7">
      <c r="A1240" s="67" t="s">
        <v>166</v>
      </c>
      <c r="B1240" s="70">
        <v>46174</v>
      </c>
      <c r="C1240" s="69">
        <v>111</v>
      </c>
      <c r="D1240" s="69">
        <v>885</v>
      </c>
      <c r="E1240" s="69">
        <v>189</v>
      </c>
      <c r="F1240" s="67">
        <v>4</v>
      </c>
      <c r="G1240" s="71">
        <v>8</v>
      </c>
    </row>
    <row r="1241" spans="1:7">
      <c r="A1241" s="67" t="s">
        <v>168</v>
      </c>
      <c r="B1241" s="70">
        <v>46174</v>
      </c>
      <c r="C1241" s="69">
        <v>158</v>
      </c>
      <c r="D1241" s="69">
        <v>2526</v>
      </c>
      <c r="E1241" s="69">
        <v>268</v>
      </c>
      <c r="F1241" s="67">
        <v>8</v>
      </c>
      <c r="G1241" s="71">
        <v>7.7</v>
      </c>
    </row>
    <row r="1242" spans="1:7">
      <c r="A1242" s="67" t="s">
        <v>170</v>
      </c>
      <c r="B1242" s="70">
        <v>46174</v>
      </c>
      <c r="C1242" s="69">
        <v>25</v>
      </c>
      <c r="D1242" s="69">
        <v>312</v>
      </c>
      <c r="E1242" s="69">
        <v>12</v>
      </c>
      <c r="F1242" s="67">
        <v>7</v>
      </c>
      <c r="G1242" s="71">
        <v>15</v>
      </c>
    </row>
    <row r="1243" spans="1:7">
      <c r="A1243" s="67" t="s">
        <v>172</v>
      </c>
      <c r="B1243" s="70">
        <v>46174</v>
      </c>
      <c r="C1243" s="69">
        <v>30</v>
      </c>
      <c r="D1243" s="69">
        <v>154</v>
      </c>
      <c r="E1243" s="69">
        <v>72</v>
      </c>
      <c r="F1243" s="67">
        <v>6</v>
      </c>
      <c r="G1243" s="71">
        <v>28.7</v>
      </c>
    </row>
    <row r="1244" spans="1:7">
      <c r="A1244" s="67" t="s">
        <v>174</v>
      </c>
      <c r="B1244" s="70">
        <v>46174</v>
      </c>
      <c r="C1244" s="69">
        <v>140</v>
      </c>
      <c r="D1244" s="69">
        <v>1606</v>
      </c>
      <c r="E1244" s="69">
        <v>253</v>
      </c>
      <c r="F1244" s="67">
        <v>6</v>
      </c>
      <c r="G1244" s="71">
        <v>28.7</v>
      </c>
    </row>
    <row r="1245" spans="1:7">
      <c r="A1245" s="67" t="s">
        <v>176</v>
      </c>
      <c r="B1245" s="70">
        <v>46174</v>
      </c>
      <c r="C1245" s="69">
        <v>22</v>
      </c>
      <c r="D1245" s="69">
        <v>114</v>
      </c>
      <c r="E1245" s="69">
        <v>16</v>
      </c>
      <c r="F1245" s="67">
        <v>5</v>
      </c>
      <c r="G1245" s="71">
        <v>34.1</v>
      </c>
    </row>
    <row r="1246" spans="1:7">
      <c r="A1246" s="67" t="s">
        <v>178</v>
      </c>
      <c r="B1246" s="70">
        <v>46174</v>
      </c>
      <c r="C1246" s="69">
        <v>13</v>
      </c>
      <c r="D1246" s="69">
        <v>155</v>
      </c>
      <c r="E1246" s="69">
        <v>14</v>
      </c>
      <c r="F1246" s="67">
        <v>6</v>
      </c>
      <c r="G1246" s="71">
        <v>39.8</v>
      </c>
    </row>
    <row r="1247" spans="1:7">
      <c r="A1247" s="67" t="s">
        <v>180</v>
      </c>
      <c r="B1247" s="70">
        <v>46174</v>
      </c>
      <c r="C1247" s="69">
        <v>960</v>
      </c>
      <c r="D1247" s="69">
        <v>17270</v>
      </c>
      <c r="E1247" s="69">
        <v>2284</v>
      </c>
      <c r="F1247" s="67">
        <v>6</v>
      </c>
      <c r="G1247" s="71">
        <v>28.9</v>
      </c>
    </row>
    <row r="1248" spans="1:7">
      <c r="A1248" s="67" t="s">
        <v>182</v>
      </c>
      <c r="B1248" s="70">
        <v>46174</v>
      </c>
      <c r="C1248" s="69">
        <v>16</v>
      </c>
      <c r="D1248" s="69">
        <v>115</v>
      </c>
      <c r="E1248" s="69">
        <v>38</v>
      </c>
      <c r="F1248" s="67">
        <v>5</v>
      </c>
      <c r="G1248" s="71">
        <v>31.7</v>
      </c>
    </row>
    <row r="1249" spans="1:7">
      <c r="A1249" s="67" t="s">
        <v>184</v>
      </c>
      <c r="B1249" s="70">
        <v>46174</v>
      </c>
      <c r="C1249" s="69">
        <v>130</v>
      </c>
      <c r="D1249" s="69">
        <v>1270</v>
      </c>
      <c r="E1249" s="69">
        <v>77</v>
      </c>
      <c r="F1249" s="67">
        <v>6</v>
      </c>
      <c r="G1249" s="71">
        <v>17.4</v>
      </c>
    </row>
    <row r="1250" spans="1:7">
      <c r="A1250" s="67" t="s">
        <v>186</v>
      </c>
      <c r="B1250" s="70">
        <v>46174</v>
      </c>
      <c r="C1250" s="69">
        <v>116</v>
      </c>
      <c r="D1250" s="69">
        <v>837</v>
      </c>
      <c r="E1250" s="69">
        <v>282</v>
      </c>
      <c r="F1250" s="67">
        <v>7</v>
      </c>
      <c r="G1250" s="71">
        <v>16.8</v>
      </c>
    </row>
    <row r="1251" spans="1:7">
      <c r="A1251" s="67" t="s">
        <v>188</v>
      </c>
      <c r="B1251" s="70">
        <v>46174</v>
      </c>
      <c r="C1251" s="69">
        <v>12</v>
      </c>
      <c r="D1251" s="69">
        <v>193</v>
      </c>
      <c r="E1251" s="69">
        <v>26</v>
      </c>
      <c r="F1251" s="67">
        <v>1</v>
      </c>
      <c r="G1251" s="71">
        <v>15.2</v>
      </c>
    </row>
    <row r="1252" spans="1:7">
      <c r="A1252" s="67" t="s">
        <v>190</v>
      </c>
      <c r="B1252" s="70">
        <v>46174</v>
      </c>
      <c r="C1252" s="69">
        <v>19</v>
      </c>
      <c r="D1252" s="69">
        <v>96</v>
      </c>
      <c r="E1252" s="69">
        <v>32</v>
      </c>
      <c r="F1252" s="67">
        <v>4</v>
      </c>
      <c r="G1252" s="71">
        <v>18.8</v>
      </c>
    </row>
    <row r="1253" spans="1:7">
      <c r="A1253" s="67" t="s">
        <v>192</v>
      </c>
      <c r="B1253" s="70">
        <v>46174</v>
      </c>
      <c r="C1253" s="69">
        <v>111</v>
      </c>
      <c r="D1253" s="69">
        <v>1939</v>
      </c>
      <c r="E1253" s="69">
        <v>159</v>
      </c>
      <c r="F1253" s="67">
        <v>3</v>
      </c>
      <c r="G1253" s="71">
        <v>36.3</v>
      </c>
    </row>
    <row r="1254" spans="1:7">
      <c r="A1254" s="67" t="s">
        <v>194</v>
      </c>
      <c r="B1254" s="70">
        <v>46174</v>
      </c>
      <c r="C1254" s="69">
        <v>32</v>
      </c>
      <c r="D1254" s="69">
        <v>513</v>
      </c>
      <c r="E1254" s="69">
        <v>14</v>
      </c>
      <c r="F1254" s="67">
        <v>1</v>
      </c>
      <c r="G1254" s="71">
        <v>5.2</v>
      </c>
    </row>
    <row r="1255" spans="1:7">
      <c r="A1255" s="67" t="s">
        <v>198</v>
      </c>
      <c r="B1255" s="70">
        <v>46174</v>
      </c>
      <c r="C1255" s="69">
        <v>467</v>
      </c>
      <c r="D1255" s="69">
        <v>2986</v>
      </c>
      <c r="E1255" s="69">
        <v>499</v>
      </c>
      <c r="F1255" s="67">
        <v>9</v>
      </c>
      <c r="G1255" s="71">
        <v>30.3</v>
      </c>
    </row>
    <row r="1256" spans="1:7">
      <c r="A1256" s="67" t="s">
        <v>202</v>
      </c>
      <c r="B1256" s="70">
        <v>46174</v>
      </c>
      <c r="C1256" s="69">
        <v>129</v>
      </c>
      <c r="D1256" s="69">
        <v>1367</v>
      </c>
      <c r="E1256" s="69">
        <v>95</v>
      </c>
      <c r="F1256" s="67">
        <v>7</v>
      </c>
      <c r="G1256" s="71">
        <v>23.5</v>
      </c>
    </row>
    <row r="1257" spans="1:7">
      <c r="A1257" s="67" t="s">
        <v>204</v>
      </c>
      <c r="B1257" s="70">
        <v>46174</v>
      </c>
      <c r="C1257" s="69">
        <v>14</v>
      </c>
      <c r="D1257" s="69">
        <v>236</v>
      </c>
      <c r="E1257" s="69">
        <v>4</v>
      </c>
      <c r="F1257" s="67">
        <v>6</v>
      </c>
      <c r="G1257" s="71">
        <v>31.9</v>
      </c>
    </row>
    <row r="1258" spans="1:7">
      <c r="A1258" s="67" t="s">
        <v>206</v>
      </c>
      <c r="B1258" s="70">
        <v>46174</v>
      </c>
      <c r="C1258" s="69">
        <v>634</v>
      </c>
      <c r="D1258" s="69">
        <v>6255</v>
      </c>
      <c r="E1258" s="69">
        <v>699</v>
      </c>
      <c r="F1258" s="67">
        <v>6</v>
      </c>
      <c r="G1258" s="71">
        <v>36.2</v>
      </c>
    </row>
    <row r="1259" spans="1:7">
      <c r="A1259" s="67" t="s">
        <v>208</v>
      </c>
      <c r="B1259" s="70">
        <v>46174</v>
      </c>
      <c r="C1259" s="69">
        <v>12</v>
      </c>
      <c r="D1259" s="69">
        <v>214</v>
      </c>
      <c r="E1259" s="69">
        <v>21</v>
      </c>
      <c r="F1259" s="67">
        <v>8</v>
      </c>
      <c r="G1259" s="71">
        <v>20.4</v>
      </c>
    </row>
    <row r="1260" spans="1:7">
      <c r="A1260" s="67" t="s">
        <v>210</v>
      </c>
      <c r="B1260" s="70">
        <v>46174</v>
      </c>
      <c r="C1260" s="69">
        <v>124</v>
      </c>
      <c r="D1260" s="69">
        <v>629</v>
      </c>
      <c r="E1260" s="69">
        <v>278</v>
      </c>
      <c r="F1260" s="67">
        <v>5</v>
      </c>
      <c r="G1260" s="71">
        <v>29.8</v>
      </c>
    </row>
    <row r="1261" spans="1:7">
      <c r="A1261" s="67" t="s">
        <v>212</v>
      </c>
      <c r="B1261" s="70">
        <v>46174</v>
      </c>
      <c r="C1261" s="69">
        <v>26</v>
      </c>
      <c r="D1261" s="69">
        <v>175</v>
      </c>
      <c r="E1261" s="69">
        <v>32</v>
      </c>
      <c r="F1261" s="67">
        <v>8</v>
      </c>
      <c r="G1261" s="71">
        <v>16.6</v>
      </c>
    </row>
    <row r="1262" spans="1:7">
      <c r="A1262" s="67" t="s">
        <v>214</v>
      </c>
      <c r="B1262" s="70">
        <v>46174</v>
      </c>
      <c r="C1262" s="69">
        <v>57</v>
      </c>
      <c r="D1262" s="69">
        <v>988</v>
      </c>
      <c r="E1262" s="69">
        <v>137</v>
      </c>
      <c r="F1262" s="67">
        <v>6</v>
      </c>
      <c r="G1262" s="71">
        <v>39.4</v>
      </c>
    </row>
    <row r="1263" spans="1:7">
      <c r="A1263" s="67" t="s">
        <v>216</v>
      </c>
      <c r="B1263" s="70">
        <v>46174</v>
      </c>
      <c r="C1263" s="69">
        <v>254</v>
      </c>
      <c r="D1263" s="69">
        <v>2906</v>
      </c>
      <c r="E1263" s="69">
        <v>457</v>
      </c>
      <c r="F1263" s="67">
        <v>8</v>
      </c>
      <c r="G1263" s="71">
        <v>9.5</v>
      </c>
    </row>
    <row r="1264" spans="1:7">
      <c r="A1264" s="67" t="s">
        <v>218</v>
      </c>
      <c r="B1264" s="70">
        <v>46174</v>
      </c>
      <c r="C1264" s="69">
        <v>11</v>
      </c>
      <c r="D1264" s="69">
        <v>112</v>
      </c>
      <c r="E1264" s="69">
        <v>21</v>
      </c>
      <c r="F1264" s="67">
        <v>5</v>
      </c>
      <c r="G1264" s="71">
        <v>31</v>
      </c>
    </row>
    <row r="1265" spans="1:7">
      <c r="A1265" s="67" t="s">
        <v>220</v>
      </c>
      <c r="B1265" s="70">
        <v>46174</v>
      </c>
      <c r="C1265" s="69">
        <v>71</v>
      </c>
      <c r="D1265" s="69">
        <v>1239</v>
      </c>
      <c r="E1265" s="69">
        <v>145</v>
      </c>
      <c r="F1265" s="67">
        <v>6</v>
      </c>
      <c r="G1265" s="71">
        <v>9.4</v>
      </c>
    </row>
    <row r="1266" spans="1:7">
      <c r="A1266" s="67" t="s">
        <v>222</v>
      </c>
      <c r="B1266" s="70">
        <v>46174</v>
      </c>
      <c r="C1266" s="69">
        <v>30</v>
      </c>
      <c r="D1266" s="69">
        <v>417</v>
      </c>
      <c r="E1266" s="69">
        <v>12</v>
      </c>
      <c r="F1266" s="67">
        <v>5</v>
      </c>
      <c r="G1266" s="71">
        <v>34</v>
      </c>
    </row>
    <row r="1267" spans="1:7">
      <c r="A1267" s="67" t="s">
        <v>224</v>
      </c>
      <c r="B1267" s="70">
        <v>46174</v>
      </c>
      <c r="C1267" s="69">
        <v>8</v>
      </c>
      <c r="D1267" s="69">
        <v>41</v>
      </c>
      <c r="E1267" s="69">
        <v>11</v>
      </c>
      <c r="F1267" s="67">
        <v>7</v>
      </c>
      <c r="G1267" s="71">
        <v>14.9</v>
      </c>
    </row>
    <row r="1268" spans="1:7">
      <c r="A1268" s="67" t="s">
        <v>228</v>
      </c>
      <c r="B1268" s="70">
        <v>46174</v>
      </c>
      <c r="C1268" s="69">
        <v>12</v>
      </c>
      <c r="D1268" s="69">
        <v>156</v>
      </c>
      <c r="E1268" s="69">
        <v>23</v>
      </c>
      <c r="F1268" s="67">
        <v>6</v>
      </c>
      <c r="G1268" s="71">
        <v>11.5</v>
      </c>
    </row>
    <row r="1269" spans="1:7">
      <c r="A1269" s="67" t="s">
        <v>230</v>
      </c>
      <c r="B1269" s="70">
        <v>46174</v>
      </c>
      <c r="C1269" s="69">
        <v>202</v>
      </c>
      <c r="D1269" s="69">
        <v>1702</v>
      </c>
      <c r="E1269" s="69">
        <v>372</v>
      </c>
      <c r="F1269" s="67">
        <v>9</v>
      </c>
      <c r="G1269" s="71">
        <v>28.3</v>
      </c>
    </row>
    <row r="1270" spans="1:7">
      <c r="A1270" s="67" t="s">
        <v>232</v>
      </c>
      <c r="B1270" s="70">
        <v>46174</v>
      </c>
      <c r="C1270" s="69">
        <v>147</v>
      </c>
      <c r="D1270" s="69">
        <v>2231</v>
      </c>
      <c r="E1270" s="69">
        <v>77</v>
      </c>
      <c r="F1270" s="67">
        <v>9</v>
      </c>
      <c r="G1270" s="71">
        <v>30.6</v>
      </c>
    </row>
    <row r="1271" spans="1:7">
      <c r="A1271" s="67" t="s">
        <v>234</v>
      </c>
      <c r="B1271" s="70">
        <v>46174</v>
      </c>
      <c r="C1271" s="69">
        <v>25</v>
      </c>
      <c r="D1271" s="69">
        <v>403</v>
      </c>
      <c r="E1271" s="69">
        <v>42</v>
      </c>
      <c r="F1271" s="67">
        <v>6</v>
      </c>
      <c r="G1271" s="71">
        <v>10.2</v>
      </c>
    </row>
    <row r="1272" spans="1:7">
      <c r="A1272" s="67" t="s">
        <v>236</v>
      </c>
      <c r="B1272" s="70">
        <v>46174</v>
      </c>
      <c r="C1272" s="69">
        <v>67</v>
      </c>
      <c r="D1272" s="69">
        <v>574</v>
      </c>
      <c r="E1272" s="69">
        <v>48</v>
      </c>
      <c r="F1272" s="67">
        <v>4</v>
      </c>
      <c r="G1272" s="71">
        <v>10.1</v>
      </c>
    </row>
    <row r="1273" spans="1:7">
      <c r="A1273" s="67" t="s">
        <v>238</v>
      </c>
      <c r="B1273" s="70">
        <v>46174</v>
      </c>
      <c r="C1273" s="69">
        <v>26</v>
      </c>
      <c r="D1273" s="69">
        <v>422</v>
      </c>
      <c r="E1273" s="69">
        <v>30</v>
      </c>
      <c r="F1273" s="67">
        <v>8</v>
      </c>
      <c r="G1273" s="71">
        <v>23.4</v>
      </c>
    </row>
    <row r="1274" spans="1:7">
      <c r="A1274" s="67" t="s">
        <v>240</v>
      </c>
      <c r="B1274" s="70">
        <v>46174</v>
      </c>
      <c r="C1274" s="69">
        <v>22</v>
      </c>
      <c r="D1274" s="69">
        <v>173</v>
      </c>
      <c r="E1274" s="69">
        <v>27</v>
      </c>
      <c r="F1274" s="67">
        <v>4</v>
      </c>
      <c r="G1274" s="71">
        <v>7.1</v>
      </c>
    </row>
    <row r="1275" spans="1:7">
      <c r="A1275" s="67" t="s">
        <v>242</v>
      </c>
      <c r="B1275" s="70">
        <v>46174</v>
      </c>
      <c r="C1275" s="69">
        <v>663</v>
      </c>
      <c r="D1275" s="69">
        <v>4264</v>
      </c>
      <c r="E1275" s="69">
        <v>729</v>
      </c>
      <c r="F1275" s="67">
        <v>8</v>
      </c>
      <c r="G1275" s="71">
        <v>38</v>
      </c>
    </row>
    <row r="1276" spans="1:7">
      <c r="A1276" s="67" t="s">
        <v>244</v>
      </c>
      <c r="B1276" s="70">
        <v>46174</v>
      </c>
      <c r="C1276" s="69">
        <v>32</v>
      </c>
      <c r="D1276" s="69">
        <v>532</v>
      </c>
      <c r="E1276" s="69">
        <v>22</v>
      </c>
      <c r="F1276" s="67">
        <v>6</v>
      </c>
      <c r="G1276" s="71">
        <v>5</v>
      </c>
    </row>
    <row r="1277" spans="1:7">
      <c r="A1277" s="67" t="s">
        <v>246</v>
      </c>
      <c r="B1277" s="70">
        <v>46174</v>
      </c>
      <c r="C1277" s="69">
        <v>51</v>
      </c>
      <c r="D1277" s="69">
        <v>444</v>
      </c>
      <c r="E1277" s="69">
        <v>47</v>
      </c>
      <c r="F1277" s="67">
        <v>8</v>
      </c>
      <c r="G1277" s="71">
        <v>26.2</v>
      </c>
    </row>
    <row r="1278" spans="1:7">
      <c r="A1278" s="67" t="s">
        <v>248</v>
      </c>
      <c r="B1278" s="70">
        <v>46174</v>
      </c>
      <c r="C1278" s="69">
        <v>28</v>
      </c>
      <c r="D1278" s="69">
        <v>319</v>
      </c>
      <c r="E1278" s="69">
        <v>29</v>
      </c>
      <c r="F1278" s="67">
        <v>7</v>
      </c>
      <c r="G1278" s="71">
        <v>8.9</v>
      </c>
    </row>
    <row r="1279" spans="1:7">
      <c r="A1279" s="67" t="s">
        <v>250</v>
      </c>
      <c r="B1279" s="70">
        <v>46174</v>
      </c>
      <c r="C1279" s="69">
        <v>149</v>
      </c>
      <c r="D1279" s="69">
        <v>2237</v>
      </c>
      <c r="E1279" s="69">
        <v>87</v>
      </c>
      <c r="F1279" s="67">
        <v>4</v>
      </c>
      <c r="G1279" s="71">
        <v>17.6</v>
      </c>
    </row>
    <row r="1280" spans="1:7">
      <c r="A1280" s="67" t="s">
        <v>252</v>
      </c>
      <c r="B1280" s="70">
        <v>46174</v>
      </c>
      <c r="C1280" s="69">
        <v>15</v>
      </c>
      <c r="D1280" s="69">
        <v>190</v>
      </c>
      <c r="E1280" s="69">
        <v>24</v>
      </c>
      <c r="F1280" s="67">
        <v>5</v>
      </c>
      <c r="G1280" s="71">
        <v>13.3</v>
      </c>
    </row>
    <row r="1281" spans="1:7">
      <c r="A1281" s="67" t="s">
        <v>254</v>
      </c>
      <c r="B1281" s="70">
        <v>46174</v>
      </c>
      <c r="C1281" s="69">
        <v>103</v>
      </c>
      <c r="D1281" s="69">
        <v>632</v>
      </c>
      <c r="E1281" s="69">
        <v>55</v>
      </c>
      <c r="F1281" s="67">
        <v>6</v>
      </c>
      <c r="G1281" s="71">
        <v>27</v>
      </c>
    </row>
    <row r="1282" spans="1:7">
      <c r="A1282" s="67" t="s">
        <v>256</v>
      </c>
      <c r="B1282" s="70">
        <v>46174</v>
      </c>
      <c r="C1282" s="69">
        <v>183</v>
      </c>
      <c r="D1282" s="69">
        <v>3219</v>
      </c>
      <c r="E1282" s="69">
        <v>411</v>
      </c>
      <c r="F1282" s="67">
        <v>7</v>
      </c>
      <c r="G1282" s="71">
        <v>33.6</v>
      </c>
    </row>
    <row r="1283" spans="1:7">
      <c r="A1283" s="67" t="s">
        <v>258</v>
      </c>
      <c r="B1283" s="70">
        <v>46174</v>
      </c>
      <c r="C1283" s="69">
        <v>467</v>
      </c>
      <c r="D1283" s="69">
        <v>2934</v>
      </c>
      <c r="E1283" s="69">
        <v>1108</v>
      </c>
      <c r="F1283" s="67">
        <v>6</v>
      </c>
      <c r="G1283" s="71">
        <v>26.7</v>
      </c>
    </row>
    <row r="1284" spans="1:7">
      <c r="A1284" s="67" t="s">
        <v>260</v>
      </c>
      <c r="B1284" s="70">
        <v>46174</v>
      </c>
      <c r="C1284" s="69">
        <v>820</v>
      </c>
      <c r="D1284" s="69">
        <v>12212</v>
      </c>
      <c r="E1284" s="69">
        <v>1209</v>
      </c>
      <c r="F1284" s="67">
        <v>7</v>
      </c>
      <c r="G1284" s="71">
        <v>10.4</v>
      </c>
    </row>
    <row r="1285" spans="1:7">
      <c r="A1285" s="67" t="s">
        <v>262</v>
      </c>
      <c r="B1285" s="70">
        <v>46174</v>
      </c>
      <c r="C1285" s="69">
        <v>62</v>
      </c>
      <c r="D1285" s="69">
        <v>884</v>
      </c>
      <c r="E1285" s="69">
        <v>140</v>
      </c>
      <c r="F1285" s="67">
        <v>9</v>
      </c>
      <c r="G1285" s="71">
        <v>31.6</v>
      </c>
    </row>
    <row r="1286" spans="1:7">
      <c r="A1286" s="67" t="s">
        <v>264</v>
      </c>
      <c r="B1286" s="70">
        <v>46174</v>
      </c>
      <c r="C1286" s="69">
        <v>758</v>
      </c>
      <c r="D1286" s="69">
        <v>7213</v>
      </c>
      <c r="E1286" s="69">
        <v>838</v>
      </c>
      <c r="F1286" s="67">
        <v>5</v>
      </c>
      <c r="G1286" s="71">
        <v>27</v>
      </c>
    </row>
    <row r="1287" spans="1:7">
      <c r="A1287" s="67" t="s">
        <v>266</v>
      </c>
      <c r="B1287" s="70">
        <v>46174</v>
      </c>
      <c r="C1287" s="69">
        <v>77</v>
      </c>
      <c r="D1287" s="69">
        <v>868</v>
      </c>
      <c r="E1287" s="69">
        <v>112</v>
      </c>
      <c r="F1287" s="67">
        <v>5</v>
      </c>
      <c r="G1287" s="71">
        <v>38.3</v>
      </c>
    </row>
    <row r="1288" spans="1:7">
      <c r="A1288" s="67" t="s">
        <v>268</v>
      </c>
      <c r="B1288" s="70">
        <v>46174</v>
      </c>
      <c r="C1288" s="69">
        <v>18</v>
      </c>
      <c r="D1288" s="69">
        <v>154</v>
      </c>
      <c r="E1288" s="69">
        <v>44</v>
      </c>
      <c r="F1288" s="67">
        <v>2</v>
      </c>
      <c r="G1288" s="71">
        <v>15.1</v>
      </c>
    </row>
    <row r="1289" spans="1:7">
      <c r="A1289" s="67" t="s">
        <v>270</v>
      </c>
      <c r="B1289" s="70">
        <v>46174</v>
      </c>
      <c r="C1289" s="69">
        <v>44</v>
      </c>
      <c r="D1289" s="69">
        <v>776</v>
      </c>
      <c r="E1289" s="69">
        <v>32</v>
      </c>
      <c r="F1289" s="67">
        <v>7</v>
      </c>
      <c r="G1289" s="71">
        <v>33.5</v>
      </c>
    </row>
    <row r="1290" spans="1:7">
      <c r="A1290" s="67" t="s">
        <v>272</v>
      </c>
      <c r="B1290" s="70">
        <v>46174</v>
      </c>
      <c r="C1290" s="69">
        <v>27</v>
      </c>
      <c r="D1290" s="69">
        <v>315</v>
      </c>
      <c r="E1290" s="69">
        <v>13</v>
      </c>
      <c r="F1290" s="67">
        <v>8</v>
      </c>
      <c r="G1290" s="71">
        <v>20.3</v>
      </c>
    </row>
    <row r="1291" spans="1:7">
      <c r="A1291" s="67" t="s">
        <v>274</v>
      </c>
      <c r="B1291" s="70">
        <v>46174</v>
      </c>
      <c r="C1291" s="69">
        <v>282</v>
      </c>
      <c r="D1291" s="69">
        <v>2841</v>
      </c>
      <c r="E1291" s="69">
        <v>461</v>
      </c>
      <c r="F1291" s="67">
        <v>4</v>
      </c>
      <c r="G1291" s="71">
        <v>12.2</v>
      </c>
    </row>
    <row r="1292" spans="1:7">
      <c r="A1292" s="67" t="s">
        <v>276</v>
      </c>
      <c r="B1292" s="70">
        <v>46174</v>
      </c>
      <c r="C1292" s="69">
        <v>157</v>
      </c>
      <c r="D1292" s="69">
        <v>1994</v>
      </c>
      <c r="E1292" s="69">
        <v>50</v>
      </c>
      <c r="F1292" s="67">
        <v>6</v>
      </c>
      <c r="G1292" s="71">
        <v>37.5</v>
      </c>
    </row>
    <row r="1293" spans="1:7">
      <c r="A1293" s="67" t="s">
        <v>278</v>
      </c>
      <c r="B1293" s="70">
        <v>46174</v>
      </c>
      <c r="C1293" s="69">
        <v>27</v>
      </c>
      <c r="D1293" s="69">
        <v>388</v>
      </c>
      <c r="E1293" s="69">
        <v>23</v>
      </c>
      <c r="F1293" s="67">
        <v>5</v>
      </c>
      <c r="G1293" s="71">
        <v>34.8</v>
      </c>
    </row>
    <row r="1294" spans="1:7">
      <c r="A1294" s="67" t="s">
        <v>280</v>
      </c>
      <c r="B1294" s="70">
        <v>46174</v>
      </c>
      <c r="C1294" s="69">
        <v>16</v>
      </c>
      <c r="D1294" s="69">
        <v>105</v>
      </c>
      <c r="E1294" s="69">
        <v>13</v>
      </c>
      <c r="F1294" s="67">
        <v>7</v>
      </c>
      <c r="G1294" s="71">
        <v>23.7</v>
      </c>
    </row>
    <row r="1295" spans="1:7">
      <c r="A1295" s="67" t="s">
        <v>282</v>
      </c>
      <c r="B1295" s="70">
        <v>46174</v>
      </c>
      <c r="C1295" s="69">
        <v>37</v>
      </c>
      <c r="D1295" s="69">
        <v>638</v>
      </c>
      <c r="E1295" s="69">
        <v>34</v>
      </c>
      <c r="F1295" s="67">
        <v>10</v>
      </c>
      <c r="G1295" s="71">
        <v>9.699999999999999</v>
      </c>
    </row>
    <row r="1296" spans="1:7">
      <c r="A1296" s="67" t="s">
        <v>284</v>
      </c>
      <c r="B1296" s="70">
        <v>46174</v>
      </c>
      <c r="C1296" s="69">
        <v>147</v>
      </c>
      <c r="D1296" s="69">
        <v>2608</v>
      </c>
      <c r="E1296" s="69">
        <v>364</v>
      </c>
      <c r="F1296" s="67">
        <v>6</v>
      </c>
      <c r="G1296" s="71">
        <v>12.3</v>
      </c>
    </row>
    <row r="1297" spans="1:7">
      <c r="A1297" s="67" t="s">
        <v>286</v>
      </c>
      <c r="B1297" s="70">
        <v>46174</v>
      </c>
      <c r="C1297" s="69">
        <v>20</v>
      </c>
      <c r="D1297" s="69">
        <v>264</v>
      </c>
      <c r="E1297" s="69">
        <v>49</v>
      </c>
      <c r="F1297" s="67">
        <v>7</v>
      </c>
      <c r="G1297" s="71">
        <v>16.4</v>
      </c>
    </row>
    <row r="1298" spans="1:7">
      <c r="A1298" s="67" t="s">
        <v>288</v>
      </c>
      <c r="B1298" s="70">
        <v>46174</v>
      </c>
      <c r="C1298" s="69">
        <v>222</v>
      </c>
      <c r="D1298" s="69">
        <v>1872</v>
      </c>
      <c r="E1298" s="69">
        <v>132</v>
      </c>
      <c r="F1298" s="67">
        <v>6</v>
      </c>
      <c r="G1298" s="71">
        <v>36.4</v>
      </c>
    </row>
    <row r="1299" spans="1:7">
      <c r="A1299" s="67" t="s">
        <v>290</v>
      </c>
      <c r="B1299" s="70">
        <v>46174</v>
      </c>
      <c r="C1299" s="69">
        <v>215</v>
      </c>
      <c r="D1299" s="69">
        <v>2825</v>
      </c>
      <c r="E1299" s="69">
        <v>69</v>
      </c>
      <c r="F1299" s="67">
        <v>10</v>
      </c>
      <c r="G1299" s="71">
        <v>17.4</v>
      </c>
    </row>
    <row r="1300" spans="1:7">
      <c r="A1300" s="67" t="s">
        <v>292</v>
      </c>
      <c r="B1300" s="70">
        <v>46174</v>
      </c>
      <c r="C1300" s="69">
        <v>66</v>
      </c>
      <c r="D1300" s="69">
        <v>550</v>
      </c>
      <c r="E1300" s="69">
        <v>22</v>
      </c>
      <c r="F1300" s="67">
        <v>2</v>
      </c>
      <c r="G1300" s="71">
        <v>28</v>
      </c>
    </row>
    <row r="1301" spans="1:7">
      <c r="A1301" s="67" t="s">
        <v>294</v>
      </c>
      <c r="B1301" s="70">
        <v>46174</v>
      </c>
      <c r="C1301" s="69">
        <v>35</v>
      </c>
      <c r="D1301" s="69">
        <v>440</v>
      </c>
      <c r="E1301" s="69">
        <v>66</v>
      </c>
      <c r="F1301" s="67">
        <v>5</v>
      </c>
      <c r="G1301" s="71">
        <v>29.1</v>
      </c>
    </row>
    <row r="1302" spans="1:7">
      <c r="A1302" s="67" t="s">
        <v>296</v>
      </c>
      <c r="B1302" s="70">
        <v>46174</v>
      </c>
      <c r="C1302" s="69">
        <v>266</v>
      </c>
      <c r="D1302" s="69">
        <v>3496</v>
      </c>
      <c r="E1302" s="69">
        <v>433</v>
      </c>
      <c r="F1302" s="67">
        <v>6</v>
      </c>
      <c r="G1302" s="71">
        <v>12.2</v>
      </c>
    </row>
    <row r="1303" spans="1:7">
      <c r="A1303" s="67" t="s">
        <v>298</v>
      </c>
      <c r="B1303" s="70">
        <v>46174</v>
      </c>
      <c r="C1303" s="69">
        <v>210</v>
      </c>
      <c r="D1303" s="69">
        <v>1607</v>
      </c>
      <c r="E1303" s="69">
        <v>354</v>
      </c>
      <c r="F1303" s="67">
        <v>7</v>
      </c>
      <c r="G1303" s="71">
        <v>35</v>
      </c>
    </row>
    <row r="1304" spans="1:7">
      <c r="A1304" s="67" t="s">
        <v>300</v>
      </c>
      <c r="B1304" s="70">
        <v>46174</v>
      </c>
      <c r="C1304" s="69">
        <v>47</v>
      </c>
      <c r="D1304" s="69">
        <v>681</v>
      </c>
      <c r="E1304" s="69">
        <v>59</v>
      </c>
      <c r="F1304" s="67">
        <v>4</v>
      </c>
      <c r="G1304" s="71">
        <v>10.2</v>
      </c>
    </row>
    <row r="1305" spans="1:7">
      <c r="A1305" s="67" t="s">
        <v>302</v>
      </c>
      <c r="B1305" s="70">
        <v>46174</v>
      </c>
      <c r="C1305" s="69">
        <v>19</v>
      </c>
      <c r="D1305" s="69">
        <v>208</v>
      </c>
      <c r="E1305" s="69">
        <v>40</v>
      </c>
      <c r="F1305" s="67">
        <v>6</v>
      </c>
      <c r="G1305" s="71">
        <v>11.2</v>
      </c>
    </row>
    <row r="1306" spans="1:7">
      <c r="A1306" s="67" t="s">
        <v>306</v>
      </c>
      <c r="B1306" s="70">
        <v>46174</v>
      </c>
      <c r="C1306" s="69">
        <v>75</v>
      </c>
      <c r="D1306" s="69">
        <v>551</v>
      </c>
      <c r="E1306" s="69">
        <v>69</v>
      </c>
      <c r="F1306" s="67">
        <v>5</v>
      </c>
      <c r="G1306" s="71">
        <v>15.9</v>
      </c>
    </row>
    <row r="1307" spans="1:7">
      <c r="A1307" s="67" t="s">
        <v>308</v>
      </c>
      <c r="B1307" s="70">
        <v>46174</v>
      </c>
      <c r="C1307" s="69">
        <v>138</v>
      </c>
      <c r="D1307" s="69">
        <v>1923</v>
      </c>
      <c r="E1307" s="69">
        <v>98</v>
      </c>
      <c r="F1307" s="67">
        <v>3</v>
      </c>
      <c r="G1307" s="71">
        <v>10</v>
      </c>
    </row>
    <row r="1308" spans="1:7">
      <c r="A1308" s="67" t="s">
        <v>310</v>
      </c>
      <c r="B1308" s="70">
        <v>46174</v>
      </c>
      <c r="C1308" s="69">
        <v>142</v>
      </c>
      <c r="D1308" s="69">
        <v>1901</v>
      </c>
      <c r="E1308" s="69">
        <v>168</v>
      </c>
      <c r="F1308" s="67">
        <v>7</v>
      </c>
      <c r="G1308" s="71">
        <v>30.4</v>
      </c>
    </row>
    <row r="1309" spans="1:7">
      <c r="A1309" s="67" t="s">
        <v>312</v>
      </c>
      <c r="B1309" s="70">
        <v>46174</v>
      </c>
      <c r="C1309" s="69">
        <v>181</v>
      </c>
      <c r="D1309" s="69">
        <v>933</v>
      </c>
      <c r="E1309" s="69">
        <v>94</v>
      </c>
      <c r="F1309" s="67">
        <v>7</v>
      </c>
      <c r="G1309" s="71">
        <v>18.4</v>
      </c>
    </row>
    <row r="1310" spans="1:7">
      <c r="A1310" s="67" t="s">
        <v>314</v>
      </c>
      <c r="B1310" s="70">
        <v>46174</v>
      </c>
      <c r="C1310" s="69">
        <v>10</v>
      </c>
      <c r="D1310" s="69">
        <v>158</v>
      </c>
      <c r="E1310" s="69">
        <v>24</v>
      </c>
      <c r="F1310" s="67">
        <v>4</v>
      </c>
      <c r="G1310" s="71">
        <v>9.6</v>
      </c>
    </row>
    <row r="1311" spans="1:7">
      <c r="A1311" s="67" t="s">
        <v>316</v>
      </c>
      <c r="B1311" s="70">
        <v>46174</v>
      </c>
      <c r="C1311" s="69">
        <v>13</v>
      </c>
      <c r="D1311" s="69">
        <v>224</v>
      </c>
      <c r="E1311" s="69">
        <v>21</v>
      </c>
      <c r="F1311" s="67">
        <v>3</v>
      </c>
      <c r="G1311" s="71">
        <v>32.7</v>
      </c>
    </row>
    <row r="1312" spans="1:7">
      <c r="A1312" s="67" t="s">
        <v>318</v>
      </c>
      <c r="B1312" s="70">
        <v>46174</v>
      </c>
      <c r="C1312" s="69">
        <v>161</v>
      </c>
      <c r="D1312" s="69">
        <v>1940</v>
      </c>
      <c r="E1312" s="69">
        <v>338</v>
      </c>
      <c r="F1312" s="67">
        <v>6</v>
      </c>
      <c r="G1312" s="71">
        <v>34.8</v>
      </c>
    </row>
    <row r="1313" spans="1:7">
      <c r="A1313" s="67" t="s">
        <v>320</v>
      </c>
      <c r="B1313" s="70">
        <v>46174</v>
      </c>
      <c r="C1313" s="69">
        <v>88</v>
      </c>
      <c r="D1313" s="69">
        <v>1309</v>
      </c>
      <c r="E1313" s="69">
        <v>199</v>
      </c>
      <c r="F1313" s="67">
        <v>4</v>
      </c>
      <c r="G1313" s="71">
        <v>33.5</v>
      </c>
    </row>
    <row r="1314" spans="1:7">
      <c r="A1314" s="67" t="s">
        <v>322</v>
      </c>
      <c r="B1314" s="70">
        <v>46174</v>
      </c>
      <c r="C1314" s="69">
        <v>55</v>
      </c>
      <c r="D1314" s="69">
        <v>449</v>
      </c>
      <c r="E1314" s="69">
        <v>82</v>
      </c>
      <c r="F1314" s="67">
        <v>6</v>
      </c>
      <c r="G1314" s="71">
        <v>14.4</v>
      </c>
    </row>
    <row r="1315" spans="1:7">
      <c r="A1315" s="67" t="s">
        <v>324</v>
      </c>
      <c r="B1315" s="70">
        <v>46174</v>
      </c>
      <c r="C1315" s="69">
        <v>795</v>
      </c>
      <c r="D1315" s="69">
        <v>4435</v>
      </c>
      <c r="E1315" s="69">
        <v>1191</v>
      </c>
      <c r="F1315" s="67">
        <v>6</v>
      </c>
      <c r="G1315" s="71">
        <v>8.6</v>
      </c>
    </row>
    <row r="1316" spans="1:7">
      <c r="A1316" s="67" t="s">
        <v>326</v>
      </c>
      <c r="B1316" s="70">
        <v>46174</v>
      </c>
      <c r="C1316" s="69">
        <v>37</v>
      </c>
      <c r="D1316" s="69">
        <v>186</v>
      </c>
      <c r="E1316" s="69">
        <v>29</v>
      </c>
      <c r="F1316" s="67">
        <v>7</v>
      </c>
      <c r="G1316" s="71">
        <v>12.9</v>
      </c>
    </row>
    <row r="1317" spans="1:7">
      <c r="A1317" s="67" t="s">
        <v>328</v>
      </c>
      <c r="B1317" s="70">
        <v>46174</v>
      </c>
      <c r="C1317" s="69">
        <v>139</v>
      </c>
      <c r="D1317" s="69">
        <v>1213</v>
      </c>
      <c r="E1317" s="69">
        <v>324</v>
      </c>
      <c r="F1317" s="67">
        <v>7</v>
      </c>
      <c r="G1317" s="71">
        <v>29</v>
      </c>
    </row>
    <row r="1318" spans="1:7">
      <c r="A1318" s="67" t="s">
        <v>330</v>
      </c>
      <c r="B1318" s="70">
        <v>46174</v>
      </c>
      <c r="C1318" s="69">
        <v>41</v>
      </c>
      <c r="D1318" s="69">
        <v>686</v>
      </c>
      <c r="E1318" s="69">
        <v>57</v>
      </c>
      <c r="F1318" s="67">
        <v>7</v>
      </c>
      <c r="G1318" s="71">
        <v>39.7</v>
      </c>
    </row>
    <row r="1319" spans="1:7">
      <c r="A1319" s="67" t="s">
        <v>332</v>
      </c>
      <c r="B1319" s="70">
        <v>46174</v>
      </c>
      <c r="C1319" s="69">
        <v>39</v>
      </c>
      <c r="D1319" s="69">
        <v>338</v>
      </c>
      <c r="E1319" s="69">
        <v>18</v>
      </c>
      <c r="F1319" s="67">
        <v>10</v>
      </c>
      <c r="G1319" s="71">
        <v>16.7</v>
      </c>
    </row>
    <row r="1320" spans="1:7">
      <c r="A1320" s="67" t="s">
        <v>334</v>
      </c>
      <c r="B1320" s="70">
        <v>46174</v>
      </c>
      <c r="C1320" s="69">
        <v>259</v>
      </c>
      <c r="D1320" s="69">
        <v>1581</v>
      </c>
      <c r="E1320" s="69">
        <v>102</v>
      </c>
      <c r="F1320" s="67">
        <v>6</v>
      </c>
      <c r="G1320" s="71">
        <v>10.3</v>
      </c>
    </row>
    <row r="1321" spans="1:7">
      <c r="A1321" s="67" t="s">
        <v>336</v>
      </c>
      <c r="B1321" s="70">
        <v>46174</v>
      </c>
      <c r="C1321" s="69">
        <v>765</v>
      </c>
      <c r="D1321" s="69">
        <v>5629</v>
      </c>
      <c r="E1321" s="69">
        <v>945</v>
      </c>
      <c r="F1321" s="67">
        <v>6</v>
      </c>
      <c r="G1321" s="71">
        <v>36.3</v>
      </c>
    </row>
    <row r="1322" spans="1:7">
      <c r="A1322" s="67" t="s">
        <v>338</v>
      </c>
      <c r="B1322" s="70">
        <v>46174</v>
      </c>
      <c r="C1322" s="69">
        <v>27</v>
      </c>
      <c r="D1322" s="69">
        <v>236</v>
      </c>
      <c r="E1322" s="69">
        <v>60</v>
      </c>
      <c r="F1322" s="67">
        <v>4</v>
      </c>
      <c r="G1322" s="71">
        <v>14.5</v>
      </c>
    </row>
    <row r="1323" spans="1:7">
      <c r="A1323" s="67" t="s">
        <v>340</v>
      </c>
      <c r="B1323" s="70">
        <v>46174</v>
      </c>
      <c r="C1323" s="69">
        <v>82</v>
      </c>
      <c r="D1323" s="69">
        <v>693</v>
      </c>
      <c r="E1323" s="69">
        <v>188</v>
      </c>
      <c r="F1323" s="67">
        <v>7</v>
      </c>
      <c r="G1323" s="71">
        <v>33</v>
      </c>
    </row>
    <row r="1324" spans="1:7">
      <c r="A1324" s="67" t="s">
        <v>342</v>
      </c>
      <c r="B1324" s="70">
        <v>46174</v>
      </c>
      <c r="C1324" s="69">
        <v>10</v>
      </c>
      <c r="D1324" s="69">
        <v>177</v>
      </c>
      <c r="E1324" s="69">
        <v>20</v>
      </c>
      <c r="F1324" s="67">
        <v>5</v>
      </c>
      <c r="G1324" s="71">
        <v>10.1</v>
      </c>
    </row>
    <row r="1325" spans="1:7">
      <c r="A1325" s="67" t="s">
        <v>344</v>
      </c>
      <c r="B1325" s="70">
        <v>46174</v>
      </c>
      <c r="C1325" s="69">
        <v>14</v>
      </c>
      <c r="D1325" s="69">
        <v>215</v>
      </c>
      <c r="E1325" s="69">
        <v>34</v>
      </c>
      <c r="F1325" s="67">
        <v>6</v>
      </c>
      <c r="G1325" s="71">
        <v>33.5</v>
      </c>
    </row>
    <row r="1326" spans="1:7">
      <c r="A1326" s="67" t="s">
        <v>346</v>
      </c>
      <c r="B1326" s="70">
        <v>46174</v>
      </c>
      <c r="C1326" s="69">
        <v>211</v>
      </c>
      <c r="D1326" s="69">
        <v>3048</v>
      </c>
      <c r="E1326" s="69">
        <v>130</v>
      </c>
      <c r="F1326" s="67">
        <v>4</v>
      </c>
      <c r="G1326" s="71">
        <v>16.3</v>
      </c>
    </row>
    <row r="1327" spans="1:7">
      <c r="A1327" s="67" t="s">
        <v>23</v>
      </c>
      <c r="B1327" s="70">
        <v>46204</v>
      </c>
      <c r="C1327" s="69">
        <v>64</v>
      </c>
      <c r="D1327" s="69">
        <v>613</v>
      </c>
      <c r="E1327" s="69">
        <v>89</v>
      </c>
      <c r="F1327" s="67">
        <v>8</v>
      </c>
      <c r="G1327" s="71">
        <v>21.8</v>
      </c>
    </row>
    <row r="1328" spans="1:7">
      <c r="A1328" s="67" t="s">
        <v>30</v>
      </c>
      <c r="B1328" s="70">
        <v>46204</v>
      </c>
      <c r="C1328" s="69">
        <v>250</v>
      </c>
      <c r="D1328" s="69">
        <v>3319</v>
      </c>
      <c r="E1328" s="69">
        <v>151</v>
      </c>
      <c r="F1328" s="67">
        <v>8</v>
      </c>
      <c r="G1328" s="71">
        <v>38</v>
      </c>
    </row>
    <row r="1329" spans="1:7">
      <c r="A1329" s="67" t="s">
        <v>35</v>
      </c>
      <c r="B1329" s="70">
        <v>46204</v>
      </c>
      <c r="C1329" s="69">
        <v>18</v>
      </c>
      <c r="D1329" s="69">
        <v>219</v>
      </c>
      <c r="E1329" s="69">
        <v>27</v>
      </c>
      <c r="F1329" s="67">
        <v>4</v>
      </c>
      <c r="G1329" s="71">
        <v>22.2</v>
      </c>
    </row>
    <row r="1330" spans="1:7">
      <c r="A1330" s="67" t="s">
        <v>41</v>
      </c>
      <c r="B1330" s="70">
        <v>46204</v>
      </c>
      <c r="C1330" s="69">
        <v>66</v>
      </c>
      <c r="D1330" s="69">
        <v>402</v>
      </c>
      <c r="E1330" s="69">
        <v>124</v>
      </c>
      <c r="F1330" s="67">
        <v>5</v>
      </c>
      <c r="G1330" s="71">
        <v>23.4</v>
      </c>
    </row>
    <row r="1331" spans="1:7">
      <c r="A1331" s="67" t="s">
        <v>44</v>
      </c>
      <c r="B1331" s="70">
        <v>46204</v>
      </c>
      <c r="C1331" s="69">
        <v>62</v>
      </c>
      <c r="D1331" s="69">
        <v>487</v>
      </c>
      <c r="E1331" s="69">
        <v>31</v>
      </c>
      <c r="F1331" s="67">
        <v>5</v>
      </c>
      <c r="G1331" s="71">
        <v>17.7</v>
      </c>
    </row>
    <row r="1332" spans="1:7">
      <c r="A1332" s="67" t="s">
        <v>47</v>
      </c>
      <c r="B1332" s="70">
        <v>46204</v>
      </c>
      <c r="C1332" s="69">
        <v>15</v>
      </c>
      <c r="D1332" s="69">
        <v>146</v>
      </c>
      <c r="E1332" s="69">
        <v>20</v>
      </c>
      <c r="F1332" s="67">
        <v>6</v>
      </c>
      <c r="G1332" s="71">
        <v>9.699999999999999</v>
      </c>
    </row>
    <row r="1333" spans="1:7">
      <c r="A1333" s="67" t="s">
        <v>51</v>
      </c>
      <c r="B1333" s="70">
        <v>46204</v>
      </c>
      <c r="C1333" s="69">
        <v>1061</v>
      </c>
      <c r="D1333" s="69">
        <v>10282</v>
      </c>
      <c r="E1333" s="69">
        <v>2301</v>
      </c>
      <c r="F1333" s="67">
        <v>9</v>
      </c>
      <c r="G1333" s="71">
        <v>32.3</v>
      </c>
    </row>
    <row r="1334" spans="1:7">
      <c r="A1334" s="67" t="s">
        <v>54</v>
      </c>
      <c r="B1334" s="70">
        <v>46204</v>
      </c>
      <c r="C1334" s="69">
        <v>5</v>
      </c>
      <c r="D1334" s="69">
        <v>79</v>
      </c>
      <c r="E1334" s="69">
        <v>8</v>
      </c>
      <c r="F1334" s="67">
        <v>5</v>
      </c>
      <c r="G1334" s="71">
        <v>37.6</v>
      </c>
    </row>
    <row r="1335" spans="1:7">
      <c r="A1335" s="67" t="s">
        <v>57</v>
      </c>
      <c r="B1335" s="70">
        <v>46204</v>
      </c>
      <c r="C1335" s="69">
        <v>818</v>
      </c>
      <c r="D1335" s="69">
        <v>6478</v>
      </c>
      <c r="E1335" s="69">
        <v>1590</v>
      </c>
      <c r="F1335" s="67">
        <v>8</v>
      </c>
      <c r="G1335" s="71">
        <v>9.1</v>
      </c>
    </row>
    <row r="1336" spans="1:7">
      <c r="A1336" s="67" t="s">
        <v>59</v>
      </c>
      <c r="B1336" s="70">
        <v>46204</v>
      </c>
      <c r="C1336" s="69">
        <v>85</v>
      </c>
      <c r="D1336" s="69">
        <v>1235</v>
      </c>
      <c r="E1336" s="69">
        <v>156</v>
      </c>
      <c r="F1336" s="67">
        <v>4</v>
      </c>
      <c r="G1336" s="71">
        <v>19.9</v>
      </c>
    </row>
    <row r="1337" spans="1:7">
      <c r="A1337" s="67" t="s">
        <v>63</v>
      </c>
      <c r="B1337" s="70">
        <v>46204</v>
      </c>
      <c r="C1337" s="69">
        <v>28</v>
      </c>
      <c r="D1337" s="69">
        <v>352</v>
      </c>
      <c r="E1337" s="69">
        <v>38</v>
      </c>
      <c r="F1337" s="67">
        <v>5</v>
      </c>
      <c r="G1337" s="71">
        <v>25.8</v>
      </c>
    </row>
    <row r="1338" spans="1:7">
      <c r="A1338" s="67" t="s">
        <v>66</v>
      </c>
      <c r="B1338" s="70">
        <v>46204</v>
      </c>
      <c r="C1338" s="69">
        <v>18</v>
      </c>
      <c r="D1338" s="69">
        <v>123</v>
      </c>
      <c r="E1338" s="69">
        <v>15</v>
      </c>
      <c r="F1338" s="67">
        <v>6</v>
      </c>
      <c r="G1338" s="71">
        <v>5.4</v>
      </c>
    </row>
    <row r="1339" spans="1:7">
      <c r="A1339" s="67" t="s">
        <v>69</v>
      </c>
      <c r="B1339" s="70">
        <v>46204</v>
      </c>
      <c r="C1339" s="69">
        <v>12</v>
      </c>
      <c r="D1339" s="69">
        <v>179</v>
      </c>
      <c r="E1339" s="69">
        <v>16</v>
      </c>
      <c r="F1339" s="67">
        <v>5</v>
      </c>
      <c r="G1339" s="71">
        <v>9.9</v>
      </c>
    </row>
    <row r="1340" spans="1:7">
      <c r="A1340" s="67" t="s">
        <v>71</v>
      </c>
      <c r="B1340" s="70">
        <v>46204</v>
      </c>
      <c r="C1340" s="69">
        <v>48</v>
      </c>
      <c r="D1340" s="69">
        <v>533</v>
      </c>
      <c r="E1340" s="69">
        <v>91</v>
      </c>
      <c r="F1340" s="67">
        <v>7</v>
      </c>
      <c r="G1340" s="71">
        <v>20.5</v>
      </c>
    </row>
    <row r="1341" spans="1:7">
      <c r="A1341" s="67" t="s">
        <v>75</v>
      </c>
      <c r="B1341" s="70">
        <v>46204</v>
      </c>
      <c r="C1341" s="69">
        <v>254</v>
      </c>
      <c r="D1341" s="69">
        <v>1637</v>
      </c>
      <c r="E1341" s="69">
        <v>110</v>
      </c>
      <c r="F1341" s="67">
        <v>9</v>
      </c>
      <c r="G1341" s="71">
        <v>27.5</v>
      </c>
    </row>
    <row r="1342" spans="1:7">
      <c r="A1342" s="67" t="s">
        <v>78</v>
      </c>
      <c r="B1342" s="70">
        <v>46204</v>
      </c>
      <c r="C1342" s="69">
        <v>675</v>
      </c>
      <c r="D1342" s="69">
        <v>4782</v>
      </c>
      <c r="E1342" s="69">
        <v>791</v>
      </c>
      <c r="F1342" s="67">
        <v>6</v>
      </c>
      <c r="G1342" s="71">
        <v>19.8</v>
      </c>
    </row>
    <row r="1343" spans="1:7">
      <c r="A1343" s="67" t="s">
        <v>81</v>
      </c>
      <c r="B1343" s="70">
        <v>46204</v>
      </c>
      <c r="C1343" s="69">
        <v>8</v>
      </c>
      <c r="D1343" s="69">
        <v>114</v>
      </c>
      <c r="E1343" s="69">
        <v>7</v>
      </c>
      <c r="F1343" s="67">
        <v>7</v>
      </c>
      <c r="G1343" s="71">
        <v>25</v>
      </c>
    </row>
    <row r="1344" spans="1:7">
      <c r="A1344" s="67" t="s">
        <v>83</v>
      </c>
      <c r="B1344" s="70">
        <v>46204</v>
      </c>
      <c r="C1344" s="69">
        <v>10</v>
      </c>
      <c r="D1344" s="69">
        <v>171</v>
      </c>
      <c r="E1344" s="69">
        <v>9</v>
      </c>
      <c r="F1344" s="67">
        <v>6</v>
      </c>
      <c r="G1344" s="71">
        <v>8.199999999999999</v>
      </c>
    </row>
    <row r="1345" spans="1:7">
      <c r="A1345" s="67" t="s">
        <v>85</v>
      </c>
      <c r="B1345" s="70">
        <v>46204</v>
      </c>
      <c r="C1345" s="69">
        <v>196</v>
      </c>
      <c r="D1345" s="69">
        <v>2874</v>
      </c>
      <c r="E1345" s="69">
        <v>231</v>
      </c>
      <c r="F1345" s="67">
        <v>10</v>
      </c>
      <c r="G1345" s="71">
        <v>7</v>
      </c>
    </row>
    <row r="1346" spans="1:7">
      <c r="A1346" s="67" t="s">
        <v>87</v>
      </c>
      <c r="B1346" s="70">
        <v>46204</v>
      </c>
      <c r="C1346" s="69">
        <v>12</v>
      </c>
      <c r="D1346" s="69">
        <v>212</v>
      </c>
      <c r="E1346" s="69">
        <v>20</v>
      </c>
      <c r="F1346" s="67">
        <v>7</v>
      </c>
      <c r="G1346" s="71">
        <v>7.7</v>
      </c>
    </row>
    <row r="1347" spans="1:7">
      <c r="A1347" s="67" t="s">
        <v>90</v>
      </c>
      <c r="B1347" s="70">
        <v>46204</v>
      </c>
      <c r="C1347" s="69">
        <v>59</v>
      </c>
      <c r="D1347" s="69">
        <v>796</v>
      </c>
      <c r="E1347" s="69">
        <v>70</v>
      </c>
      <c r="F1347" s="67">
        <v>4</v>
      </c>
      <c r="G1347" s="71">
        <v>18.3</v>
      </c>
    </row>
    <row r="1348" spans="1:7">
      <c r="A1348" s="67" t="s">
        <v>92</v>
      </c>
      <c r="B1348" s="70">
        <v>46204</v>
      </c>
      <c r="C1348" s="69">
        <v>5</v>
      </c>
      <c r="D1348" s="69">
        <v>53</v>
      </c>
      <c r="E1348" s="69">
        <v>4</v>
      </c>
      <c r="F1348" s="67">
        <v>4</v>
      </c>
      <c r="G1348" s="71">
        <v>8.699999999999999</v>
      </c>
    </row>
    <row r="1349" spans="1:7">
      <c r="A1349" s="67" t="s">
        <v>94</v>
      </c>
      <c r="B1349" s="70">
        <v>46204</v>
      </c>
      <c r="C1349" s="69">
        <v>35</v>
      </c>
      <c r="D1349" s="69">
        <v>328</v>
      </c>
      <c r="E1349" s="69">
        <v>29</v>
      </c>
      <c r="F1349" s="67">
        <v>8</v>
      </c>
      <c r="G1349" s="71">
        <v>10.7</v>
      </c>
    </row>
    <row r="1350" spans="1:7">
      <c r="A1350" s="67" t="s">
        <v>96</v>
      </c>
      <c r="B1350" s="70">
        <v>46204</v>
      </c>
      <c r="C1350" s="69">
        <v>735</v>
      </c>
      <c r="D1350" s="69">
        <v>3780</v>
      </c>
      <c r="E1350" s="69">
        <v>1691</v>
      </c>
      <c r="F1350" s="67">
        <v>5</v>
      </c>
      <c r="G1350" s="71">
        <v>11.6</v>
      </c>
    </row>
    <row r="1351" spans="1:7">
      <c r="A1351" s="67" t="s">
        <v>98</v>
      </c>
      <c r="B1351" s="70">
        <v>46204</v>
      </c>
      <c r="C1351" s="69">
        <v>1005</v>
      </c>
      <c r="D1351" s="69">
        <v>8165</v>
      </c>
      <c r="E1351" s="69">
        <v>490</v>
      </c>
      <c r="F1351" s="67">
        <v>9</v>
      </c>
      <c r="G1351" s="71">
        <v>25</v>
      </c>
    </row>
    <row r="1352" spans="1:7">
      <c r="A1352" s="67" t="s">
        <v>100</v>
      </c>
      <c r="B1352" s="70">
        <v>46204</v>
      </c>
      <c r="C1352" s="69">
        <v>1122</v>
      </c>
      <c r="D1352" s="69">
        <v>12667</v>
      </c>
      <c r="E1352" s="69">
        <v>455</v>
      </c>
      <c r="F1352" s="67">
        <v>7</v>
      </c>
      <c r="G1352" s="71">
        <v>8.300000000000001</v>
      </c>
    </row>
    <row r="1353" spans="1:7">
      <c r="A1353" s="67" t="s">
        <v>104</v>
      </c>
      <c r="B1353" s="70">
        <v>46204</v>
      </c>
      <c r="C1353" s="69">
        <v>10</v>
      </c>
      <c r="D1353" s="69">
        <v>148</v>
      </c>
      <c r="E1353" s="69">
        <v>24</v>
      </c>
      <c r="F1353" s="67">
        <v>6</v>
      </c>
      <c r="G1353" s="71">
        <v>22.5</v>
      </c>
    </row>
    <row r="1354" spans="1:7">
      <c r="A1354" s="67" t="s">
        <v>106</v>
      </c>
      <c r="B1354" s="70">
        <v>46204</v>
      </c>
      <c r="C1354" s="69">
        <v>175</v>
      </c>
      <c r="D1354" s="69">
        <v>1685</v>
      </c>
      <c r="E1354" s="69">
        <v>102</v>
      </c>
      <c r="F1354" s="67">
        <v>7</v>
      </c>
      <c r="G1354" s="71">
        <v>28.6</v>
      </c>
    </row>
    <row r="1355" spans="1:7">
      <c r="A1355" s="67" t="s">
        <v>108</v>
      </c>
      <c r="B1355" s="70">
        <v>46204</v>
      </c>
      <c r="C1355" s="69">
        <v>28</v>
      </c>
      <c r="D1355" s="69">
        <v>323</v>
      </c>
      <c r="E1355" s="69">
        <v>39</v>
      </c>
      <c r="F1355" s="67">
        <v>7</v>
      </c>
      <c r="G1355" s="71">
        <v>32.1</v>
      </c>
    </row>
    <row r="1356" spans="1:7">
      <c r="A1356" s="67" t="s">
        <v>110</v>
      </c>
      <c r="B1356" s="70">
        <v>46204</v>
      </c>
      <c r="C1356" s="69">
        <v>129</v>
      </c>
      <c r="D1356" s="69">
        <v>1445</v>
      </c>
      <c r="E1356" s="69">
        <v>285</v>
      </c>
      <c r="F1356" s="67">
        <v>5</v>
      </c>
      <c r="G1356" s="71">
        <v>6.3</v>
      </c>
    </row>
    <row r="1357" spans="1:7">
      <c r="A1357" s="67" t="s">
        <v>112</v>
      </c>
      <c r="B1357" s="70">
        <v>46204</v>
      </c>
      <c r="C1357" s="69">
        <v>5</v>
      </c>
      <c r="D1357" s="69">
        <v>30</v>
      </c>
      <c r="E1357" s="69">
        <v>8</v>
      </c>
      <c r="F1357" s="67">
        <v>5</v>
      </c>
      <c r="G1357" s="71">
        <v>38.3</v>
      </c>
    </row>
    <row r="1358" spans="1:7">
      <c r="A1358" s="67" t="s">
        <v>114</v>
      </c>
      <c r="B1358" s="70">
        <v>46204</v>
      </c>
      <c r="C1358" s="69">
        <v>147</v>
      </c>
      <c r="D1358" s="69">
        <v>2037</v>
      </c>
      <c r="E1358" s="69">
        <v>90</v>
      </c>
      <c r="F1358" s="67">
        <v>9</v>
      </c>
      <c r="G1358" s="71">
        <v>30.1</v>
      </c>
    </row>
    <row r="1359" spans="1:7">
      <c r="A1359" s="67" t="s">
        <v>116</v>
      </c>
      <c r="B1359" s="70">
        <v>46204</v>
      </c>
      <c r="C1359" s="69">
        <v>15</v>
      </c>
      <c r="D1359" s="69">
        <v>268</v>
      </c>
      <c r="E1359" s="69">
        <v>25</v>
      </c>
      <c r="F1359" s="67">
        <v>5</v>
      </c>
      <c r="G1359" s="71">
        <v>23.3</v>
      </c>
    </row>
    <row r="1360" spans="1:7">
      <c r="A1360" s="67" t="s">
        <v>118</v>
      </c>
      <c r="B1360" s="70">
        <v>46204</v>
      </c>
      <c r="C1360" s="69">
        <v>48</v>
      </c>
      <c r="D1360" s="69">
        <v>322</v>
      </c>
      <c r="E1360" s="69">
        <v>45</v>
      </c>
      <c r="F1360" s="67">
        <v>8</v>
      </c>
      <c r="G1360" s="71">
        <v>26.8</v>
      </c>
    </row>
    <row r="1361" spans="1:7">
      <c r="A1361" s="67" t="s">
        <v>120</v>
      </c>
      <c r="B1361" s="70">
        <v>46204</v>
      </c>
      <c r="C1361" s="69">
        <v>28</v>
      </c>
      <c r="D1361" s="69">
        <v>399</v>
      </c>
      <c r="E1361" s="69">
        <v>50</v>
      </c>
      <c r="F1361" s="67">
        <v>3</v>
      </c>
      <c r="G1361" s="71">
        <v>13.4</v>
      </c>
    </row>
    <row r="1362" spans="1:7">
      <c r="A1362" s="67" t="s">
        <v>122</v>
      </c>
      <c r="B1362" s="70">
        <v>46204</v>
      </c>
      <c r="C1362" s="69">
        <v>380</v>
      </c>
      <c r="D1362" s="69">
        <v>6633</v>
      </c>
      <c r="E1362" s="69">
        <v>588</v>
      </c>
      <c r="F1362" s="67">
        <v>4</v>
      </c>
      <c r="G1362" s="71">
        <v>39.8</v>
      </c>
    </row>
    <row r="1363" spans="1:7">
      <c r="A1363" s="67" t="s">
        <v>124</v>
      </c>
      <c r="B1363" s="70">
        <v>46204</v>
      </c>
      <c r="C1363" s="69">
        <v>157</v>
      </c>
      <c r="D1363" s="69">
        <v>2349</v>
      </c>
      <c r="E1363" s="69">
        <v>154</v>
      </c>
      <c r="F1363" s="67">
        <v>5</v>
      </c>
      <c r="G1363" s="71">
        <v>35.4</v>
      </c>
    </row>
    <row r="1364" spans="1:7">
      <c r="A1364" s="67" t="s">
        <v>126</v>
      </c>
      <c r="B1364" s="70">
        <v>46204</v>
      </c>
      <c r="C1364" s="69">
        <v>21</v>
      </c>
      <c r="D1364" s="69">
        <v>241</v>
      </c>
      <c r="E1364" s="69">
        <v>27</v>
      </c>
      <c r="F1364" s="67">
        <v>2</v>
      </c>
      <c r="G1364" s="71">
        <v>10.9</v>
      </c>
    </row>
    <row r="1365" spans="1:7">
      <c r="A1365" s="67" t="s">
        <v>128</v>
      </c>
      <c r="B1365" s="70">
        <v>46204</v>
      </c>
      <c r="C1365" s="69">
        <v>165</v>
      </c>
      <c r="D1365" s="69">
        <v>2062</v>
      </c>
      <c r="E1365" s="69">
        <v>178</v>
      </c>
      <c r="F1365" s="67">
        <v>7</v>
      </c>
      <c r="G1365" s="71">
        <v>7.5</v>
      </c>
    </row>
    <row r="1366" spans="1:7">
      <c r="A1366" s="67" t="s">
        <v>130</v>
      </c>
      <c r="B1366" s="70">
        <v>46204</v>
      </c>
      <c r="C1366" s="69">
        <v>99</v>
      </c>
      <c r="D1366" s="69">
        <v>1764</v>
      </c>
      <c r="E1366" s="69">
        <v>243</v>
      </c>
      <c r="F1366" s="67">
        <v>7</v>
      </c>
      <c r="G1366" s="71">
        <v>31.7</v>
      </c>
    </row>
    <row r="1367" spans="1:7">
      <c r="A1367" s="67" t="s">
        <v>132</v>
      </c>
      <c r="B1367" s="70">
        <v>46204</v>
      </c>
      <c r="C1367" s="69">
        <v>44</v>
      </c>
      <c r="D1367" s="69">
        <v>758</v>
      </c>
      <c r="E1367" s="69">
        <v>107</v>
      </c>
      <c r="F1367" s="67">
        <v>6</v>
      </c>
      <c r="G1367" s="71">
        <v>22.1</v>
      </c>
    </row>
    <row r="1368" spans="1:7">
      <c r="A1368" s="67" t="s">
        <v>134</v>
      </c>
      <c r="B1368" s="70">
        <v>46204</v>
      </c>
      <c r="C1368" s="69">
        <v>202</v>
      </c>
      <c r="D1368" s="69">
        <v>2084</v>
      </c>
      <c r="E1368" s="69">
        <v>336</v>
      </c>
      <c r="F1368" s="67">
        <v>8</v>
      </c>
      <c r="G1368" s="71">
        <v>28.8</v>
      </c>
    </row>
    <row r="1369" spans="1:7">
      <c r="A1369" s="67" t="s">
        <v>136</v>
      </c>
      <c r="B1369" s="70">
        <v>46204</v>
      </c>
      <c r="C1369" s="69">
        <v>92</v>
      </c>
      <c r="D1369" s="69">
        <v>1207</v>
      </c>
      <c r="E1369" s="69">
        <v>91</v>
      </c>
      <c r="F1369" s="67">
        <v>5</v>
      </c>
      <c r="G1369" s="71">
        <v>7.9</v>
      </c>
    </row>
    <row r="1370" spans="1:7">
      <c r="A1370" s="67" t="s">
        <v>138</v>
      </c>
      <c r="B1370" s="70">
        <v>46204</v>
      </c>
      <c r="C1370" s="69">
        <v>35</v>
      </c>
      <c r="D1370" s="69">
        <v>574</v>
      </c>
      <c r="E1370" s="69">
        <v>87</v>
      </c>
      <c r="F1370" s="67">
        <v>6</v>
      </c>
      <c r="G1370" s="71">
        <v>6.5</v>
      </c>
    </row>
    <row r="1371" spans="1:7">
      <c r="A1371" s="67" t="s">
        <v>140</v>
      </c>
      <c r="B1371" s="70">
        <v>46204</v>
      </c>
      <c r="C1371" s="69">
        <v>124</v>
      </c>
      <c r="D1371" s="69">
        <v>1894</v>
      </c>
      <c r="E1371" s="69">
        <v>228</v>
      </c>
      <c r="F1371" s="67">
        <v>5</v>
      </c>
      <c r="G1371" s="71">
        <v>24.6</v>
      </c>
    </row>
    <row r="1372" spans="1:7">
      <c r="A1372" s="67" t="s">
        <v>142</v>
      </c>
      <c r="B1372" s="70">
        <v>46204</v>
      </c>
      <c r="C1372" s="69">
        <v>218</v>
      </c>
      <c r="D1372" s="69">
        <v>2155</v>
      </c>
      <c r="E1372" s="69">
        <v>339</v>
      </c>
      <c r="F1372" s="67">
        <v>8</v>
      </c>
      <c r="G1372" s="71">
        <v>34.9</v>
      </c>
    </row>
    <row r="1373" spans="1:7">
      <c r="A1373" s="67" t="s">
        <v>144</v>
      </c>
      <c r="B1373" s="70">
        <v>46204</v>
      </c>
      <c r="C1373" s="69">
        <v>26</v>
      </c>
      <c r="D1373" s="69">
        <v>356</v>
      </c>
      <c r="E1373" s="69">
        <v>28</v>
      </c>
      <c r="F1373" s="67">
        <v>7</v>
      </c>
      <c r="G1373" s="71">
        <v>21.4</v>
      </c>
    </row>
    <row r="1374" spans="1:7">
      <c r="A1374" s="67" t="s">
        <v>146</v>
      </c>
      <c r="B1374" s="70">
        <v>46204</v>
      </c>
      <c r="C1374" s="69">
        <v>1120</v>
      </c>
      <c r="D1374" s="69">
        <v>7189</v>
      </c>
      <c r="E1374" s="69">
        <v>780</v>
      </c>
      <c r="F1374" s="67">
        <v>8</v>
      </c>
      <c r="G1374" s="71">
        <v>8.800000000000001</v>
      </c>
    </row>
    <row r="1375" spans="1:7">
      <c r="A1375" s="67" t="s">
        <v>148</v>
      </c>
      <c r="B1375" s="70">
        <v>46204</v>
      </c>
      <c r="C1375" s="69">
        <v>198</v>
      </c>
      <c r="D1375" s="69">
        <v>2105</v>
      </c>
      <c r="E1375" s="69">
        <v>234</v>
      </c>
      <c r="F1375" s="67">
        <v>8</v>
      </c>
      <c r="G1375" s="71">
        <v>7.3</v>
      </c>
    </row>
    <row r="1376" spans="1:7">
      <c r="A1376" s="67" t="s">
        <v>150</v>
      </c>
      <c r="B1376" s="70">
        <v>46204</v>
      </c>
      <c r="C1376" s="69">
        <v>13</v>
      </c>
      <c r="D1376" s="69">
        <v>101</v>
      </c>
      <c r="E1376" s="69">
        <v>25</v>
      </c>
      <c r="F1376" s="67">
        <v>4</v>
      </c>
      <c r="G1376" s="71">
        <v>9</v>
      </c>
    </row>
    <row r="1377" spans="1:7">
      <c r="A1377" s="67" t="s">
        <v>152</v>
      </c>
      <c r="B1377" s="70">
        <v>46204</v>
      </c>
      <c r="C1377" s="69">
        <v>15</v>
      </c>
      <c r="D1377" s="69">
        <v>260</v>
      </c>
      <c r="E1377" s="69">
        <v>9</v>
      </c>
      <c r="F1377" s="67">
        <v>5</v>
      </c>
      <c r="G1377" s="71">
        <v>12.5</v>
      </c>
    </row>
    <row r="1378" spans="1:7">
      <c r="A1378" s="67" t="s">
        <v>154</v>
      </c>
      <c r="B1378" s="70">
        <v>46204</v>
      </c>
      <c r="C1378" s="69">
        <v>8</v>
      </c>
      <c r="D1378" s="69">
        <v>121</v>
      </c>
      <c r="E1378" s="69">
        <v>3</v>
      </c>
      <c r="F1378" s="67">
        <v>1</v>
      </c>
      <c r="G1378" s="71">
        <v>33.3</v>
      </c>
    </row>
    <row r="1379" spans="1:7">
      <c r="A1379" s="67" t="s">
        <v>156</v>
      </c>
      <c r="B1379" s="70">
        <v>46204</v>
      </c>
      <c r="C1379" s="69">
        <v>26</v>
      </c>
      <c r="D1379" s="69">
        <v>202</v>
      </c>
      <c r="E1379" s="69">
        <v>20</v>
      </c>
      <c r="F1379" s="67">
        <v>5</v>
      </c>
      <c r="G1379" s="71">
        <v>5.8</v>
      </c>
    </row>
    <row r="1380" spans="1:7">
      <c r="A1380" s="67" t="s">
        <v>158</v>
      </c>
      <c r="B1380" s="70">
        <v>46204</v>
      </c>
      <c r="C1380" s="69">
        <v>63</v>
      </c>
      <c r="D1380" s="69">
        <v>521</v>
      </c>
      <c r="E1380" s="69">
        <v>43</v>
      </c>
      <c r="F1380" s="67">
        <v>3</v>
      </c>
      <c r="G1380" s="71">
        <v>10</v>
      </c>
    </row>
    <row r="1381" spans="1:7">
      <c r="A1381" s="67" t="s">
        <v>160</v>
      </c>
      <c r="B1381" s="70">
        <v>46204</v>
      </c>
      <c r="C1381" s="69">
        <v>223</v>
      </c>
      <c r="D1381" s="69">
        <v>3648</v>
      </c>
      <c r="E1381" s="69">
        <v>288</v>
      </c>
      <c r="F1381" s="67">
        <v>7</v>
      </c>
      <c r="G1381" s="71">
        <v>19.7</v>
      </c>
    </row>
    <row r="1382" spans="1:7">
      <c r="A1382" s="67" t="s">
        <v>162</v>
      </c>
      <c r="B1382" s="70">
        <v>46204</v>
      </c>
      <c r="C1382" s="69">
        <v>51</v>
      </c>
      <c r="D1382" s="69">
        <v>377</v>
      </c>
      <c r="E1382" s="69">
        <v>21</v>
      </c>
      <c r="F1382" s="67">
        <v>10</v>
      </c>
      <c r="G1382" s="71">
        <v>36.3</v>
      </c>
    </row>
    <row r="1383" spans="1:7">
      <c r="A1383" s="67" t="s">
        <v>164</v>
      </c>
      <c r="B1383" s="70">
        <v>46204</v>
      </c>
      <c r="C1383" s="69">
        <v>80</v>
      </c>
      <c r="D1383" s="69">
        <v>709</v>
      </c>
      <c r="E1383" s="69">
        <v>59</v>
      </c>
      <c r="F1383" s="67">
        <v>8</v>
      </c>
      <c r="G1383" s="71">
        <v>38</v>
      </c>
    </row>
    <row r="1384" spans="1:7">
      <c r="A1384" s="67" t="s">
        <v>166</v>
      </c>
      <c r="B1384" s="70">
        <v>46204</v>
      </c>
      <c r="C1384" s="69">
        <v>104</v>
      </c>
      <c r="D1384" s="69">
        <v>1580</v>
      </c>
      <c r="E1384" s="69">
        <v>252</v>
      </c>
      <c r="F1384" s="67">
        <v>6</v>
      </c>
      <c r="G1384" s="71">
        <v>20.3</v>
      </c>
    </row>
    <row r="1385" spans="1:7">
      <c r="A1385" s="67" t="s">
        <v>168</v>
      </c>
      <c r="B1385" s="70">
        <v>46204</v>
      </c>
      <c r="C1385" s="69">
        <v>175</v>
      </c>
      <c r="D1385" s="69">
        <v>2747</v>
      </c>
      <c r="E1385" s="69">
        <v>268</v>
      </c>
      <c r="F1385" s="67">
        <v>7</v>
      </c>
      <c r="G1385" s="71">
        <v>36.3</v>
      </c>
    </row>
    <row r="1386" spans="1:7">
      <c r="A1386" s="67" t="s">
        <v>170</v>
      </c>
      <c r="B1386" s="70">
        <v>46204</v>
      </c>
      <c r="C1386" s="69">
        <v>26</v>
      </c>
      <c r="D1386" s="69">
        <v>326</v>
      </c>
      <c r="E1386" s="69">
        <v>16</v>
      </c>
      <c r="F1386" s="67">
        <v>8</v>
      </c>
      <c r="G1386" s="71">
        <v>28.2</v>
      </c>
    </row>
    <row r="1387" spans="1:7">
      <c r="A1387" s="67" t="s">
        <v>172</v>
      </c>
      <c r="B1387" s="70">
        <v>46204</v>
      </c>
      <c r="C1387" s="69">
        <v>29</v>
      </c>
      <c r="D1387" s="69">
        <v>456</v>
      </c>
      <c r="E1387" s="69">
        <v>55</v>
      </c>
      <c r="F1387" s="67">
        <v>6</v>
      </c>
      <c r="G1387" s="71">
        <v>5.5</v>
      </c>
    </row>
    <row r="1388" spans="1:7">
      <c r="A1388" s="67" t="s">
        <v>174</v>
      </c>
      <c r="B1388" s="70">
        <v>46204</v>
      </c>
      <c r="C1388" s="69">
        <v>154</v>
      </c>
      <c r="D1388" s="69">
        <v>1770</v>
      </c>
      <c r="E1388" s="69">
        <v>153</v>
      </c>
      <c r="F1388" s="67">
        <v>5</v>
      </c>
      <c r="G1388" s="71">
        <v>32.7</v>
      </c>
    </row>
    <row r="1389" spans="1:7">
      <c r="A1389" s="67" t="s">
        <v>176</v>
      </c>
      <c r="B1389" s="70">
        <v>46204</v>
      </c>
      <c r="C1389" s="69">
        <v>21</v>
      </c>
      <c r="D1389" s="69">
        <v>302</v>
      </c>
      <c r="E1389" s="69">
        <v>52</v>
      </c>
      <c r="F1389" s="67">
        <v>4</v>
      </c>
      <c r="G1389" s="71">
        <v>38</v>
      </c>
    </row>
    <row r="1390" spans="1:7">
      <c r="A1390" s="67" t="s">
        <v>178</v>
      </c>
      <c r="B1390" s="70">
        <v>46204</v>
      </c>
      <c r="C1390" s="69">
        <v>13</v>
      </c>
      <c r="D1390" s="69">
        <v>173</v>
      </c>
      <c r="E1390" s="69">
        <v>20</v>
      </c>
      <c r="F1390" s="67">
        <v>5</v>
      </c>
      <c r="G1390" s="71">
        <v>6.3</v>
      </c>
    </row>
    <row r="1391" spans="1:7">
      <c r="A1391" s="67" t="s">
        <v>180</v>
      </c>
      <c r="B1391" s="70">
        <v>46204</v>
      </c>
      <c r="C1391" s="69">
        <v>1019</v>
      </c>
      <c r="D1391" s="69">
        <v>14321</v>
      </c>
      <c r="E1391" s="69">
        <v>2042</v>
      </c>
      <c r="F1391" s="67">
        <v>7</v>
      </c>
      <c r="G1391" s="71">
        <v>26</v>
      </c>
    </row>
    <row r="1392" spans="1:7">
      <c r="A1392" s="67" t="s">
        <v>182</v>
      </c>
      <c r="B1392" s="70">
        <v>46204</v>
      </c>
      <c r="C1392" s="69">
        <v>15</v>
      </c>
      <c r="D1392" s="69">
        <v>112</v>
      </c>
      <c r="E1392" s="69">
        <v>27</v>
      </c>
      <c r="F1392" s="67">
        <v>6</v>
      </c>
      <c r="G1392" s="71">
        <v>38.4</v>
      </c>
    </row>
    <row r="1393" spans="1:7">
      <c r="A1393" s="67" t="s">
        <v>184</v>
      </c>
      <c r="B1393" s="70">
        <v>46204</v>
      </c>
      <c r="C1393" s="69">
        <v>124</v>
      </c>
      <c r="D1393" s="69">
        <v>1107</v>
      </c>
      <c r="E1393" s="69">
        <v>121</v>
      </c>
      <c r="F1393" s="67">
        <v>7</v>
      </c>
      <c r="G1393" s="71">
        <v>33.7</v>
      </c>
    </row>
    <row r="1394" spans="1:7">
      <c r="A1394" s="67" t="s">
        <v>186</v>
      </c>
      <c r="B1394" s="70">
        <v>46204</v>
      </c>
      <c r="C1394" s="69">
        <v>113</v>
      </c>
      <c r="D1394" s="69">
        <v>2033</v>
      </c>
      <c r="E1394" s="69">
        <v>137</v>
      </c>
      <c r="F1394" s="67">
        <v>7</v>
      </c>
      <c r="G1394" s="71">
        <v>17.3</v>
      </c>
    </row>
    <row r="1395" spans="1:7">
      <c r="A1395" s="67" t="s">
        <v>188</v>
      </c>
      <c r="B1395" s="70">
        <v>46204</v>
      </c>
      <c r="C1395" s="69">
        <v>14</v>
      </c>
      <c r="D1395" s="69">
        <v>247</v>
      </c>
      <c r="E1395" s="69">
        <v>15</v>
      </c>
      <c r="F1395" s="67">
        <v>2</v>
      </c>
      <c r="G1395" s="71">
        <v>37.4</v>
      </c>
    </row>
    <row r="1396" spans="1:7">
      <c r="A1396" s="67" t="s">
        <v>190</v>
      </c>
      <c r="B1396" s="70">
        <v>46204</v>
      </c>
      <c r="C1396" s="69">
        <v>17</v>
      </c>
      <c r="D1396" s="69">
        <v>207</v>
      </c>
      <c r="E1396" s="69">
        <v>11</v>
      </c>
      <c r="F1396" s="67">
        <v>4</v>
      </c>
      <c r="G1396" s="71">
        <v>20.3</v>
      </c>
    </row>
    <row r="1397" spans="1:7">
      <c r="A1397" s="67" t="s">
        <v>192</v>
      </c>
      <c r="B1397" s="70">
        <v>46204</v>
      </c>
      <c r="C1397" s="69">
        <v>81</v>
      </c>
      <c r="D1397" s="69">
        <v>1121</v>
      </c>
      <c r="E1397" s="69">
        <v>137</v>
      </c>
      <c r="F1397" s="67">
        <v>5</v>
      </c>
      <c r="G1397" s="71">
        <v>29.6</v>
      </c>
    </row>
    <row r="1398" spans="1:7">
      <c r="A1398" s="67" t="s">
        <v>194</v>
      </c>
      <c r="B1398" s="70">
        <v>46204</v>
      </c>
      <c r="C1398" s="69">
        <v>29</v>
      </c>
      <c r="D1398" s="69">
        <v>182</v>
      </c>
      <c r="E1398" s="69">
        <v>14</v>
      </c>
      <c r="F1398" s="67">
        <v>1</v>
      </c>
      <c r="G1398" s="71">
        <v>34.3</v>
      </c>
    </row>
    <row r="1399" spans="1:7">
      <c r="A1399" s="67" t="s">
        <v>198</v>
      </c>
      <c r="B1399" s="70">
        <v>46204</v>
      </c>
      <c r="C1399" s="69">
        <v>485</v>
      </c>
      <c r="D1399" s="69">
        <v>8304</v>
      </c>
      <c r="E1399" s="69">
        <v>256</v>
      </c>
      <c r="F1399" s="67">
        <v>9</v>
      </c>
      <c r="G1399" s="71">
        <v>31.2</v>
      </c>
    </row>
    <row r="1400" spans="1:7">
      <c r="A1400" s="67" t="s">
        <v>202</v>
      </c>
      <c r="B1400" s="70">
        <v>46204</v>
      </c>
      <c r="C1400" s="69">
        <v>122</v>
      </c>
      <c r="D1400" s="69">
        <v>1615</v>
      </c>
      <c r="E1400" s="69">
        <v>172</v>
      </c>
      <c r="F1400" s="67">
        <v>6</v>
      </c>
      <c r="G1400" s="71">
        <v>33.2</v>
      </c>
    </row>
    <row r="1401" spans="1:7">
      <c r="A1401" s="67" t="s">
        <v>204</v>
      </c>
      <c r="B1401" s="70">
        <v>46204</v>
      </c>
      <c r="C1401" s="69">
        <v>13</v>
      </c>
      <c r="D1401" s="69">
        <v>101</v>
      </c>
      <c r="E1401" s="69">
        <v>26</v>
      </c>
      <c r="F1401" s="67">
        <v>5</v>
      </c>
      <c r="G1401" s="71">
        <v>24.3</v>
      </c>
    </row>
    <row r="1402" spans="1:7">
      <c r="A1402" s="67" t="s">
        <v>206</v>
      </c>
      <c r="B1402" s="70">
        <v>46204</v>
      </c>
      <c r="C1402" s="69">
        <v>709</v>
      </c>
      <c r="D1402" s="69">
        <v>12306</v>
      </c>
      <c r="E1402" s="69">
        <v>760</v>
      </c>
      <c r="F1402" s="67">
        <v>6</v>
      </c>
      <c r="G1402" s="71">
        <v>32.8</v>
      </c>
    </row>
    <row r="1403" spans="1:7">
      <c r="A1403" s="67" t="s">
        <v>208</v>
      </c>
      <c r="B1403" s="70">
        <v>46204</v>
      </c>
      <c r="C1403" s="69">
        <v>12</v>
      </c>
      <c r="D1403" s="69">
        <v>161</v>
      </c>
      <c r="E1403" s="69">
        <v>24</v>
      </c>
      <c r="F1403" s="67">
        <v>8</v>
      </c>
      <c r="G1403" s="71">
        <v>18.9</v>
      </c>
    </row>
    <row r="1404" spans="1:7">
      <c r="A1404" s="67" t="s">
        <v>212</v>
      </c>
      <c r="B1404" s="70">
        <v>46204</v>
      </c>
      <c r="C1404" s="69">
        <v>27</v>
      </c>
      <c r="D1404" s="69">
        <v>313</v>
      </c>
      <c r="E1404" s="69">
        <v>24</v>
      </c>
      <c r="F1404" s="67">
        <v>7</v>
      </c>
      <c r="G1404" s="71">
        <v>28.1</v>
      </c>
    </row>
    <row r="1405" spans="1:7">
      <c r="A1405" s="67" t="s">
        <v>214</v>
      </c>
      <c r="B1405" s="70">
        <v>46204</v>
      </c>
      <c r="C1405" s="69">
        <v>51</v>
      </c>
      <c r="D1405" s="69">
        <v>858</v>
      </c>
      <c r="E1405" s="69">
        <v>91</v>
      </c>
      <c r="F1405" s="67">
        <v>7</v>
      </c>
      <c r="G1405" s="71">
        <v>5.1</v>
      </c>
    </row>
    <row r="1406" spans="1:7">
      <c r="A1406" s="67" t="s">
        <v>216</v>
      </c>
      <c r="B1406" s="70">
        <v>46204</v>
      </c>
      <c r="C1406" s="69">
        <v>250</v>
      </c>
      <c r="D1406" s="69">
        <v>1335</v>
      </c>
      <c r="E1406" s="69">
        <v>510</v>
      </c>
      <c r="F1406" s="67">
        <v>8</v>
      </c>
      <c r="G1406" s="71">
        <v>34.4</v>
      </c>
    </row>
    <row r="1407" spans="1:7">
      <c r="A1407" s="67" t="s">
        <v>218</v>
      </c>
      <c r="B1407" s="70">
        <v>46204</v>
      </c>
      <c r="C1407" s="69">
        <v>10</v>
      </c>
      <c r="D1407" s="69">
        <v>91</v>
      </c>
      <c r="E1407" s="69">
        <v>7</v>
      </c>
      <c r="F1407" s="67">
        <v>6</v>
      </c>
      <c r="G1407" s="71">
        <v>25</v>
      </c>
    </row>
    <row r="1408" spans="1:7">
      <c r="A1408" s="67" t="s">
        <v>220</v>
      </c>
      <c r="B1408" s="70">
        <v>46204</v>
      </c>
      <c r="C1408" s="69">
        <v>67</v>
      </c>
      <c r="D1408" s="69">
        <v>676</v>
      </c>
      <c r="E1408" s="69">
        <v>111</v>
      </c>
      <c r="F1408" s="67">
        <v>7</v>
      </c>
      <c r="G1408" s="71">
        <v>18.8</v>
      </c>
    </row>
    <row r="1409" spans="1:7">
      <c r="A1409" s="67" t="s">
        <v>222</v>
      </c>
      <c r="B1409" s="70">
        <v>46204</v>
      </c>
      <c r="C1409" s="69">
        <v>36</v>
      </c>
      <c r="D1409" s="69">
        <v>381</v>
      </c>
      <c r="E1409" s="69">
        <v>85</v>
      </c>
      <c r="F1409" s="67">
        <v>5</v>
      </c>
      <c r="G1409" s="71">
        <v>18.7</v>
      </c>
    </row>
    <row r="1410" spans="1:7">
      <c r="A1410" s="67" t="s">
        <v>224</v>
      </c>
      <c r="B1410" s="70">
        <v>46204</v>
      </c>
      <c r="C1410" s="69">
        <v>9</v>
      </c>
      <c r="D1410" s="69">
        <v>82</v>
      </c>
      <c r="E1410" s="69">
        <v>6</v>
      </c>
      <c r="F1410" s="67">
        <v>6</v>
      </c>
      <c r="G1410" s="71">
        <v>13.1</v>
      </c>
    </row>
    <row r="1411" spans="1:7">
      <c r="A1411" s="67" t="s">
        <v>228</v>
      </c>
      <c r="B1411" s="70">
        <v>46204</v>
      </c>
      <c r="C1411" s="69">
        <v>11</v>
      </c>
      <c r="D1411" s="69">
        <v>72</v>
      </c>
      <c r="E1411" s="69">
        <v>17</v>
      </c>
      <c r="F1411" s="67">
        <v>6</v>
      </c>
      <c r="G1411" s="71">
        <v>18.7</v>
      </c>
    </row>
    <row r="1412" spans="1:7">
      <c r="A1412" s="67" t="s">
        <v>230</v>
      </c>
      <c r="B1412" s="70">
        <v>46204</v>
      </c>
      <c r="C1412" s="69">
        <v>206</v>
      </c>
      <c r="D1412" s="69">
        <v>3272</v>
      </c>
      <c r="E1412" s="69">
        <v>134</v>
      </c>
      <c r="F1412" s="67">
        <v>6</v>
      </c>
      <c r="G1412" s="71">
        <v>16.3</v>
      </c>
    </row>
    <row r="1413" spans="1:7">
      <c r="A1413" s="67" t="s">
        <v>232</v>
      </c>
      <c r="B1413" s="70">
        <v>46204</v>
      </c>
      <c r="C1413" s="69">
        <v>157</v>
      </c>
      <c r="D1413" s="69">
        <v>809</v>
      </c>
      <c r="E1413" s="69">
        <v>313</v>
      </c>
      <c r="F1413" s="67">
        <v>8</v>
      </c>
      <c r="G1413" s="71">
        <v>10.4</v>
      </c>
    </row>
    <row r="1414" spans="1:7">
      <c r="A1414" s="67" t="s">
        <v>234</v>
      </c>
      <c r="B1414" s="70">
        <v>46204</v>
      </c>
      <c r="C1414" s="69">
        <v>25</v>
      </c>
      <c r="D1414" s="69">
        <v>441</v>
      </c>
      <c r="E1414" s="69">
        <v>39</v>
      </c>
      <c r="F1414" s="67">
        <v>6</v>
      </c>
      <c r="G1414" s="71">
        <v>5.9</v>
      </c>
    </row>
    <row r="1415" spans="1:7">
      <c r="A1415" s="67" t="s">
        <v>236</v>
      </c>
      <c r="B1415" s="70">
        <v>46204</v>
      </c>
      <c r="C1415" s="69">
        <v>52</v>
      </c>
      <c r="D1415" s="69">
        <v>689</v>
      </c>
      <c r="E1415" s="69">
        <v>105</v>
      </c>
      <c r="F1415" s="67">
        <v>1</v>
      </c>
      <c r="G1415" s="71">
        <v>11.5</v>
      </c>
    </row>
    <row r="1416" spans="1:7">
      <c r="A1416" s="67" t="s">
        <v>238</v>
      </c>
      <c r="B1416" s="70">
        <v>46204</v>
      </c>
      <c r="C1416" s="69">
        <v>24</v>
      </c>
      <c r="D1416" s="69">
        <v>180</v>
      </c>
      <c r="E1416" s="69">
        <v>52</v>
      </c>
      <c r="F1416" s="67">
        <v>8</v>
      </c>
      <c r="G1416" s="71">
        <v>30.4</v>
      </c>
    </row>
    <row r="1417" spans="1:7">
      <c r="A1417" s="67" t="s">
        <v>240</v>
      </c>
      <c r="B1417" s="70">
        <v>46204</v>
      </c>
      <c r="C1417" s="69">
        <v>23</v>
      </c>
      <c r="D1417" s="69">
        <v>193</v>
      </c>
      <c r="E1417" s="69">
        <v>10</v>
      </c>
      <c r="F1417" s="67">
        <v>6</v>
      </c>
      <c r="G1417" s="71">
        <v>7.9</v>
      </c>
    </row>
    <row r="1418" spans="1:7">
      <c r="A1418" s="67" t="s">
        <v>242</v>
      </c>
      <c r="B1418" s="70">
        <v>46204</v>
      </c>
      <c r="C1418" s="69">
        <v>676</v>
      </c>
      <c r="D1418" s="69">
        <v>12034</v>
      </c>
      <c r="E1418" s="69">
        <v>1492</v>
      </c>
      <c r="F1418" s="67">
        <v>8</v>
      </c>
      <c r="G1418" s="71">
        <v>8.9</v>
      </c>
    </row>
    <row r="1419" spans="1:7">
      <c r="A1419" s="67" t="s">
        <v>244</v>
      </c>
      <c r="B1419" s="70">
        <v>46204</v>
      </c>
      <c r="C1419" s="69">
        <v>33</v>
      </c>
      <c r="D1419" s="69">
        <v>226</v>
      </c>
      <c r="E1419" s="69">
        <v>29</v>
      </c>
      <c r="F1419" s="67">
        <v>6</v>
      </c>
      <c r="G1419" s="71">
        <v>11.3</v>
      </c>
    </row>
    <row r="1420" spans="1:7">
      <c r="A1420" s="67" t="s">
        <v>246</v>
      </c>
      <c r="B1420" s="70">
        <v>46204</v>
      </c>
      <c r="C1420" s="69">
        <v>57</v>
      </c>
      <c r="D1420" s="69">
        <v>961</v>
      </c>
      <c r="E1420" s="69">
        <v>43</v>
      </c>
      <c r="F1420" s="67">
        <v>9</v>
      </c>
      <c r="G1420" s="71">
        <v>8.5</v>
      </c>
    </row>
    <row r="1421" spans="1:7">
      <c r="A1421" s="67" t="s">
        <v>248</v>
      </c>
      <c r="B1421" s="70">
        <v>46204</v>
      </c>
      <c r="C1421" s="69">
        <v>30</v>
      </c>
      <c r="D1421" s="69">
        <v>340</v>
      </c>
      <c r="E1421" s="69">
        <v>50</v>
      </c>
      <c r="F1421" s="67">
        <v>6</v>
      </c>
      <c r="G1421" s="71">
        <v>12.4</v>
      </c>
    </row>
    <row r="1422" spans="1:7">
      <c r="A1422" s="67" t="s">
        <v>250</v>
      </c>
      <c r="B1422" s="70">
        <v>46204</v>
      </c>
      <c r="C1422" s="69">
        <v>140</v>
      </c>
      <c r="D1422" s="69">
        <v>1853</v>
      </c>
      <c r="E1422" s="69">
        <v>181</v>
      </c>
      <c r="F1422" s="67">
        <v>6</v>
      </c>
      <c r="G1422" s="71">
        <v>10.6</v>
      </c>
    </row>
    <row r="1423" spans="1:7">
      <c r="A1423" s="67" t="s">
        <v>252</v>
      </c>
      <c r="B1423" s="70">
        <v>46204</v>
      </c>
      <c r="C1423" s="69">
        <v>14</v>
      </c>
      <c r="D1423" s="69">
        <v>190</v>
      </c>
      <c r="E1423" s="69">
        <v>24</v>
      </c>
      <c r="F1423" s="67">
        <v>8</v>
      </c>
      <c r="G1423" s="71">
        <v>34.9</v>
      </c>
    </row>
    <row r="1424" spans="1:7">
      <c r="A1424" s="67" t="s">
        <v>254</v>
      </c>
      <c r="B1424" s="70">
        <v>46204</v>
      </c>
      <c r="C1424" s="69">
        <v>110</v>
      </c>
      <c r="D1424" s="69">
        <v>1046</v>
      </c>
      <c r="E1424" s="69">
        <v>274</v>
      </c>
      <c r="F1424" s="67">
        <v>6</v>
      </c>
      <c r="G1424" s="71">
        <v>26</v>
      </c>
    </row>
    <row r="1425" spans="1:7">
      <c r="A1425" s="67" t="s">
        <v>256</v>
      </c>
      <c r="B1425" s="70">
        <v>46204</v>
      </c>
      <c r="C1425" s="69">
        <v>196</v>
      </c>
      <c r="D1425" s="69">
        <v>1628</v>
      </c>
      <c r="E1425" s="69">
        <v>111</v>
      </c>
      <c r="F1425" s="67">
        <v>7</v>
      </c>
      <c r="G1425" s="71">
        <v>26.2</v>
      </c>
    </row>
    <row r="1426" spans="1:7">
      <c r="A1426" s="67" t="s">
        <v>258</v>
      </c>
      <c r="B1426" s="70">
        <v>46204</v>
      </c>
      <c r="C1426" s="69">
        <v>423</v>
      </c>
      <c r="D1426" s="69">
        <v>6300</v>
      </c>
      <c r="E1426" s="69">
        <v>328</v>
      </c>
      <c r="F1426" s="67">
        <v>5</v>
      </c>
      <c r="G1426" s="71">
        <v>17.8</v>
      </c>
    </row>
    <row r="1427" spans="1:7">
      <c r="A1427" s="67" t="s">
        <v>260</v>
      </c>
      <c r="B1427" s="70">
        <v>46204</v>
      </c>
      <c r="C1427" s="69">
        <v>848</v>
      </c>
      <c r="D1427" s="69">
        <v>5768</v>
      </c>
      <c r="E1427" s="69">
        <v>410</v>
      </c>
      <c r="F1427" s="67">
        <v>6</v>
      </c>
      <c r="G1427" s="71">
        <v>29.2</v>
      </c>
    </row>
    <row r="1428" spans="1:7">
      <c r="A1428" s="67" t="s">
        <v>262</v>
      </c>
      <c r="B1428" s="70">
        <v>46204</v>
      </c>
      <c r="C1428" s="69">
        <v>63</v>
      </c>
      <c r="D1428" s="69">
        <v>478</v>
      </c>
      <c r="E1428" s="69">
        <v>32</v>
      </c>
      <c r="F1428" s="67">
        <v>9</v>
      </c>
      <c r="G1428" s="71">
        <v>29.8</v>
      </c>
    </row>
    <row r="1429" spans="1:7">
      <c r="A1429" s="67" t="s">
        <v>264</v>
      </c>
      <c r="B1429" s="70">
        <v>46204</v>
      </c>
      <c r="C1429" s="69">
        <v>687</v>
      </c>
      <c r="D1429" s="69">
        <v>10660</v>
      </c>
      <c r="E1429" s="69">
        <v>865</v>
      </c>
      <c r="F1429" s="67">
        <v>5</v>
      </c>
      <c r="G1429" s="71">
        <v>38.1</v>
      </c>
    </row>
    <row r="1430" spans="1:7">
      <c r="A1430" s="67" t="s">
        <v>266</v>
      </c>
      <c r="B1430" s="70">
        <v>46204</v>
      </c>
      <c r="C1430" s="69">
        <v>72</v>
      </c>
      <c r="D1430" s="69">
        <v>545</v>
      </c>
      <c r="E1430" s="69">
        <v>156</v>
      </c>
      <c r="F1430" s="67">
        <v>4</v>
      </c>
      <c r="G1430" s="71">
        <v>30.1</v>
      </c>
    </row>
    <row r="1431" spans="1:7">
      <c r="A1431" s="67" t="s">
        <v>268</v>
      </c>
      <c r="B1431" s="70">
        <v>46204</v>
      </c>
      <c r="C1431" s="69">
        <v>18</v>
      </c>
      <c r="D1431" s="69">
        <v>276</v>
      </c>
      <c r="E1431" s="69">
        <v>29</v>
      </c>
      <c r="F1431" s="67">
        <v>3</v>
      </c>
      <c r="G1431" s="71">
        <v>10.8</v>
      </c>
    </row>
    <row r="1432" spans="1:7">
      <c r="A1432" s="67" t="s">
        <v>270</v>
      </c>
      <c r="B1432" s="70">
        <v>46204</v>
      </c>
      <c r="C1432" s="69">
        <v>45</v>
      </c>
      <c r="D1432" s="69">
        <v>479</v>
      </c>
      <c r="E1432" s="69">
        <v>58</v>
      </c>
      <c r="F1432" s="67">
        <v>8</v>
      </c>
      <c r="G1432" s="71">
        <v>25.9</v>
      </c>
    </row>
    <row r="1433" spans="1:7">
      <c r="A1433" s="67" t="s">
        <v>272</v>
      </c>
      <c r="B1433" s="70">
        <v>46204</v>
      </c>
      <c r="C1433" s="69">
        <v>28</v>
      </c>
      <c r="D1433" s="69">
        <v>179</v>
      </c>
      <c r="E1433" s="69">
        <v>32</v>
      </c>
      <c r="F1433" s="67">
        <v>8</v>
      </c>
      <c r="G1433" s="71">
        <v>12</v>
      </c>
    </row>
    <row r="1434" spans="1:7">
      <c r="A1434" s="67" t="s">
        <v>274</v>
      </c>
      <c r="B1434" s="70">
        <v>46204</v>
      </c>
      <c r="C1434" s="69">
        <v>266</v>
      </c>
      <c r="D1434" s="69">
        <v>4163</v>
      </c>
      <c r="E1434" s="69">
        <v>343</v>
      </c>
      <c r="F1434" s="67">
        <v>6</v>
      </c>
      <c r="G1434" s="71">
        <v>36.1</v>
      </c>
    </row>
    <row r="1435" spans="1:7">
      <c r="A1435" s="67" t="s">
        <v>276</v>
      </c>
      <c r="B1435" s="70">
        <v>46204</v>
      </c>
      <c r="C1435" s="69">
        <v>155</v>
      </c>
      <c r="D1435" s="69">
        <v>1601</v>
      </c>
      <c r="E1435" s="69">
        <v>252</v>
      </c>
      <c r="F1435" s="67">
        <v>5</v>
      </c>
      <c r="G1435" s="71">
        <v>35.7</v>
      </c>
    </row>
    <row r="1436" spans="1:7">
      <c r="A1436" s="67" t="s">
        <v>278</v>
      </c>
      <c r="B1436" s="70">
        <v>46204</v>
      </c>
      <c r="C1436" s="69">
        <v>32</v>
      </c>
      <c r="D1436" s="69">
        <v>326</v>
      </c>
      <c r="E1436" s="69">
        <v>18</v>
      </c>
      <c r="F1436" s="67">
        <v>5</v>
      </c>
      <c r="G1436" s="71">
        <v>33.3</v>
      </c>
    </row>
    <row r="1437" spans="1:7">
      <c r="A1437" s="67" t="s">
        <v>280</v>
      </c>
      <c r="B1437" s="70">
        <v>46204</v>
      </c>
      <c r="C1437" s="69">
        <v>15</v>
      </c>
      <c r="D1437" s="69">
        <v>123</v>
      </c>
      <c r="E1437" s="69">
        <v>12</v>
      </c>
      <c r="F1437" s="67">
        <v>7</v>
      </c>
      <c r="G1437" s="71">
        <v>18</v>
      </c>
    </row>
    <row r="1438" spans="1:7">
      <c r="A1438" s="67" t="s">
        <v>282</v>
      </c>
      <c r="B1438" s="70">
        <v>46204</v>
      </c>
      <c r="C1438" s="69">
        <v>39</v>
      </c>
      <c r="D1438" s="69">
        <v>200</v>
      </c>
      <c r="E1438" s="69">
        <v>71</v>
      </c>
      <c r="F1438" s="67">
        <v>9</v>
      </c>
      <c r="G1438" s="71">
        <v>30.1</v>
      </c>
    </row>
    <row r="1439" spans="1:7">
      <c r="A1439" s="67" t="s">
        <v>284</v>
      </c>
      <c r="B1439" s="70">
        <v>46204</v>
      </c>
      <c r="C1439" s="69">
        <v>146</v>
      </c>
      <c r="D1439" s="69">
        <v>1340</v>
      </c>
      <c r="E1439" s="69">
        <v>119</v>
      </c>
      <c r="F1439" s="67">
        <v>7</v>
      </c>
      <c r="G1439" s="71">
        <v>7.3</v>
      </c>
    </row>
    <row r="1440" spans="1:7">
      <c r="A1440" s="67" t="s">
        <v>286</v>
      </c>
      <c r="B1440" s="70">
        <v>46204</v>
      </c>
      <c r="C1440" s="69">
        <v>20</v>
      </c>
      <c r="D1440" s="69">
        <v>157</v>
      </c>
      <c r="E1440" s="69">
        <v>31</v>
      </c>
      <c r="F1440" s="67">
        <v>7</v>
      </c>
      <c r="G1440" s="71">
        <v>30.1</v>
      </c>
    </row>
    <row r="1441" spans="1:7">
      <c r="A1441" s="67" t="s">
        <v>288</v>
      </c>
      <c r="B1441" s="70">
        <v>46204</v>
      </c>
      <c r="C1441" s="69">
        <v>217</v>
      </c>
      <c r="D1441" s="69">
        <v>2979</v>
      </c>
      <c r="E1441" s="69">
        <v>339</v>
      </c>
      <c r="F1441" s="67">
        <v>6</v>
      </c>
      <c r="G1441" s="71">
        <v>27.6</v>
      </c>
    </row>
    <row r="1442" spans="1:7">
      <c r="A1442" s="67" t="s">
        <v>290</v>
      </c>
      <c r="B1442" s="70">
        <v>46204</v>
      </c>
      <c r="C1442" s="69">
        <v>219</v>
      </c>
      <c r="D1442" s="69">
        <v>3411</v>
      </c>
      <c r="E1442" s="69">
        <v>161</v>
      </c>
      <c r="F1442" s="67">
        <v>7</v>
      </c>
      <c r="G1442" s="71">
        <v>6.7</v>
      </c>
    </row>
    <row r="1443" spans="1:7">
      <c r="A1443" s="67" t="s">
        <v>292</v>
      </c>
      <c r="B1443" s="70">
        <v>46204</v>
      </c>
      <c r="C1443" s="69">
        <v>62</v>
      </c>
      <c r="D1443" s="69">
        <v>531</v>
      </c>
      <c r="E1443" s="69">
        <v>35</v>
      </c>
      <c r="F1443" s="67">
        <v>3</v>
      </c>
      <c r="G1443" s="71">
        <v>20.8</v>
      </c>
    </row>
    <row r="1444" spans="1:7">
      <c r="A1444" s="67" t="s">
        <v>294</v>
      </c>
      <c r="B1444" s="70">
        <v>46204</v>
      </c>
      <c r="C1444" s="69">
        <v>29</v>
      </c>
      <c r="D1444" s="69">
        <v>234</v>
      </c>
      <c r="E1444" s="69">
        <v>10</v>
      </c>
      <c r="F1444" s="67">
        <v>5</v>
      </c>
      <c r="G1444" s="71">
        <v>5.6</v>
      </c>
    </row>
    <row r="1445" spans="1:7">
      <c r="A1445" s="67" t="s">
        <v>296</v>
      </c>
      <c r="B1445" s="70">
        <v>46204</v>
      </c>
      <c r="C1445" s="69">
        <v>257</v>
      </c>
      <c r="D1445" s="69">
        <v>1301</v>
      </c>
      <c r="E1445" s="69">
        <v>338</v>
      </c>
      <c r="F1445" s="67">
        <v>5</v>
      </c>
      <c r="G1445" s="71">
        <v>9.6</v>
      </c>
    </row>
    <row r="1446" spans="1:7">
      <c r="A1446" s="67" t="s">
        <v>298</v>
      </c>
      <c r="B1446" s="70">
        <v>46204</v>
      </c>
      <c r="C1446" s="69">
        <v>228</v>
      </c>
      <c r="D1446" s="69">
        <v>2721</v>
      </c>
      <c r="E1446" s="69">
        <v>333</v>
      </c>
      <c r="F1446" s="67">
        <v>6</v>
      </c>
      <c r="G1446" s="71">
        <v>16.8</v>
      </c>
    </row>
    <row r="1447" spans="1:7">
      <c r="A1447" s="67" t="s">
        <v>300</v>
      </c>
      <c r="B1447" s="70">
        <v>46204</v>
      </c>
      <c r="C1447" s="69">
        <v>58</v>
      </c>
      <c r="D1447" s="69">
        <v>916</v>
      </c>
      <c r="E1447" s="69">
        <v>70</v>
      </c>
      <c r="F1447" s="67">
        <v>3</v>
      </c>
      <c r="G1447" s="71">
        <v>15.5</v>
      </c>
    </row>
    <row r="1448" spans="1:7">
      <c r="A1448" s="67" t="s">
        <v>302</v>
      </c>
      <c r="B1448" s="70">
        <v>46204</v>
      </c>
      <c r="C1448" s="69">
        <v>20</v>
      </c>
      <c r="D1448" s="69">
        <v>121</v>
      </c>
      <c r="E1448" s="69">
        <v>40</v>
      </c>
      <c r="F1448" s="67">
        <v>7</v>
      </c>
      <c r="G1448" s="71">
        <v>22.3</v>
      </c>
    </row>
    <row r="1449" spans="1:7">
      <c r="A1449" s="67" t="s">
        <v>306</v>
      </c>
      <c r="B1449" s="70">
        <v>46204</v>
      </c>
      <c r="C1449" s="69">
        <v>93</v>
      </c>
      <c r="D1449" s="69">
        <v>1655</v>
      </c>
      <c r="E1449" s="69">
        <v>129</v>
      </c>
      <c r="F1449" s="67">
        <v>6</v>
      </c>
      <c r="G1449" s="71">
        <v>27.4</v>
      </c>
    </row>
    <row r="1450" spans="1:7">
      <c r="A1450" s="67" t="s">
        <v>308</v>
      </c>
      <c r="B1450" s="70">
        <v>46204</v>
      </c>
      <c r="C1450" s="69">
        <v>137</v>
      </c>
      <c r="D1450" s="69">
        <v>2355</v>
      </c>
      <c r="E1450" s="69">
        <v>72</v>
      </c>
      <c r="F1450" s="67">
        <v>4</v>
      </c>
      <c r="G1450" s="71">
        <v>12.8</v>
      </c>
    </row>
    <row r="1451" spans="1:7">
      <c r="A1451" s="67" t="s">
        <v>310</v>
      </c>
      <c r="B1451" s="70">
        <v>46204</v>
      </c>
      <c r="C1451" s="69">
        <v>152</v>
      </c>
      <c r="D1451" s="69">
        <v>2723</v>
      </c>
      <c r="E1451" s="69">
        <v>334</v>
      </c>
      <c r="F1451" s="67">
        <v>6</v>
      </c>
      <c r="G1451" s="71">
        <v>30.3</v>
      </c>
    </row>
    <row r="1452" spans="1:7">
      <c r="A1452" s="67" t="s">
        <v>312</v>
      </c>
      <c r="B1452" s="70">
        <v>46204</v>
      </c>
      <c r="C1452" s="69">
        <v>175</v>
      </c>
      <c r="D1452" s="69">
        <v>2522</v>
      </c>
      <c r="E1452" s="69">
        <v>365</v>
      </c>
      <c r="F1452" s="67">
        <v>7</v>
      </c>
      <c r="G1452" s="71">
        <v>33.6</v>
      </c>
    </row>
    <row r="1453" spans="1:7">
      <c r="A1453" s="67" t="s">
        <v>314</v>
      </c>
      <c r="B1453" s="70">
        <v>46204</v>
      </c>
      <c r="C1453" s="69">
        <v>9</v>
      </c>
      <c r="D1453" s="69">
        <v>126</v>
      </c>
      <c r="E1453" s="69">
        <v>4</v>
      </c>
      <c r="F1453" s="67">
        <v>4</v>
      </c>
      <c r="G1453" s="71">
        <v>35.9</v>
      </c>
    </row>
    <row r="1454" spans="1:7">
      <c r="A1454" s="67" t="s">
        <v>316</v>
      </c>
      <c r="B1454" s="70">
        <v>46204</v>
      </c>
      <c r="C1454" s="69">
        <v>12</v>
      </c>
      <c r="D1454" s="69">
        <v>107</v>
      </c>
      <c r="E1454" s="69">
        <v>11</v>
      </c>
      <c r="F1454" s="67">
        <v>4</v>
      </c>
      <c r="G1454" s="71">
        <v>29.1</v>
      </c>
    </row>
    <row r="1455" spans="1:7">
      <c r="A1455" s="67" t="s">
        <v>318</v>
      </c>
      <c r="B1455" s="70">
        <v>46204</v>
      </c>
      <c r="C1455" s="69">
        <v>145</v>
      </c>
      <c r="D1455" s="69">
        <v>2042</v>
      </c>
      <c r="E1455" s="69">
        <v>339</v>
      </c>
      <c r="F1455" s="67">
        <v>5</v>
      </c>
      <c r="G1455" s="71">
        <v>25.4</v>
      </c>
    </row>
    <row r="1456" spans="1:7">
      <c r="A1456" s="67" t="s">
        <v>322</v>
      </c>
      <c r="B1456" s="70">
        <v>46204</v>
      </c>
      <c r="C1456" s="69">
        <v>61</v>
      </c>
      <c r="D1456" s="69">
        <v>422</v>
      </c>
      <c r="E1456" s="69">
        <v>97</v>
      </c>
      <c r="F1456" s="67">
        <v>6</v>
      </c>
      <c r="G1456" s="71">
        <v>34.8</v>
      </c>
    </row>
    <row r="1457" spans="1:7">
      <c r="A1457" s="67" t="s">
        <v>324</v>
      </c>
      <c r="B1457" s="70">
        <v>46204</v>
      </c>
      <c r="C1457" s="69">
        <v>865</v>
      </c>
      <c r="D1457" s="69">
        <v>11839</v>
      </c>
      <c r="E1457" s="69">
        <v>1252</v>
      </c>
      <c r="F1457" s="67">
        <v>6</v>
      </c>
      <c r="G1457" s="71">
        <v>13.4</v>
      </c>
    </row>
    <row r="1458" spans="1:7">
      <c r="A1458" s="67" t="s">
        <v>326</v>
      </c>
      <c r="B1458" s="70">
        <v>46204</v>
      </c>
      <c r="C1458" s="69">
        <v>34</v>
      </c>
      <c r="D1458" s="69">
        <v>294</v>
      </c>
      <c r="E1458" s="69">
        <v>68</v>
      </c>
      <c r="F1458" s="67">
        <v>7</v>
      </c>
      <c r="G1458" s="71">
        <v>21.9</v>
      </c>
    </row>
    <row r="1459" spans="1:7">
      <c r="A1459" s="67" t="s">
        <v>328</v>
      </c>
      <c r="B1459" s="70">
        <v>46204</v>
      </c>
      <c r="C1459" s="69">
        <v>160</v>
      </c>
      <c r="D1459" s="69">
        <v>2280</v>
      </c>
      <c r="E1459" s="69">
        <v>172</v>
      </c>
      <c r="F1459" s="67">
        <v>7</v>
      </c>
      <c r="G1459" s="71">
        <v>34.2</v>
      </c>
    </row>
    <row r="1460" spans="1:7">
      <c r="A1460" s="67" t="s">
        <v>330</v>
      </c>
      <c r="B1460" s="70">
        <v>46204</v>
      </c>
      <c r="C1460" s="69">
        <v>42</v>
      </c>
      <c r="D1460" s="69">
        <v>677</v>
      </c>
      <c r="E1460" s="69">
        <v>77</v>
      </c>
      <c r="F1460" s="67">
        <v>9</v>
      </c>
      <c r="G1460" s="71">
        <v>7.6</v>
      </c>
    </row>
    <row r="1461" spans="1:7">
      <c r="A1461" s="67" t="s">
        <v>332</v>
      </c>
      <c r="B1461" s="70">
        <v>46204</v>
      </c>
      <c r="C1461" s="69">
        <v>38</v>
      </c>
      <c r="D1461" s="69">
        <v>521</v>
      </c>
      <c r="E1461" s="69">
        <v>51</v>
      </c>
      <c r="F1461" s="67">
        <v>8</v>
      </c>
      <c r="G1461" s="71">
        <v>18.5</v>
      </c>
    </row>
    <row r="1462" spans="1:7">
      <c r="A1462" s="67" t="s">
        <v>334</v>
      </c>
      <c r="B1462" s="70">
        <v>46204</v>
      </c>
      <c r="C1462" s="69">
        <v>264</v>
      </c>
      <c r="D1462" s="69">
        <v>4114</v>
      </c>
      <c r="E1462" s="69">
        <v>522</v>
      </c>
      <c r="F1462" s="67">
        <v>4</v>
      </c>
      <c r="G1462" s="71">
        <v>23</v>
      </c>
    </row>
    <row r="1463" spans="1:7">
      <c r="A1463" s="67" t="s">
        <v>336</v>
      </c>
      <c r="B1463" s="70">
        <v>46204</v>
      </c>
      <c r="C1463" s="69">
        <v>764</v>
      </c>
      <c r="D1463" s="69">
        <v>10857</v>
      </c>
      <c r="E1463" s="69">
        <v>1331</v>
      </c>
      <c r="F1463" s="67">
        <v>8</v>
      </c>
      <c r="G1463" s="71">
        <v>34.7</v>
      </c>
    </row>
    <row r="1464" spans="1:7">
      <c r="A1464" s="67" t="s">
        <v>338</v>
      </c>
      <c r="B1464" s="70">
        <v>46204</v>
      </c>
      <c r="C1464" s="69">
        <v>30</v>
      </c>
      <c r="D1464" s="69">
        <v>508</v>
      </c>
      <c r="E1464" s="69">
        <v>34</v>
      </c>
      <c r="F1464" s="67">
        <v>5</v>
      </c>
      <c r="G1464" s="71">
        <v>20.8</v>
      </c>
    </row>
    <row r="1465" spans="1:7">
      <c r="A1465" s="67" t="s">
        <v>340</v>
      </c>
      <c r="B1465" s="70">
        <v>46204</v>
      </c>
      <c r="C1465" s="69">
        <v>85</v>
      </c>
      <c r="D1465" s="69">
        <v>867</v>
      </c>
      <c r="E1465" s="69">
        <v>38</v>
      </c>
      <c r="F1465" s="67">
        <v>7</v>
      </c>
      <c r="G1465" s="71">
        <v>19.8</v>
      </c>
    </row>
    <row r="1466" spans="1:7">
      <c r="A1466" s="67" t="s">
        <v>342</v>
      </c>
      <c r="B1466" s="70">
        <v>46204</v>
      </c>
      <c r="C1466" s="69">
        <v>9</v>
      </c>
      <c r="D1466" s="69">
        <v>113</v>
      </c>
      <c r="E1466" s="69">
        <v>5</v>
      </c>
      <c r="F1466" s="67">
        <v>5</v>
      </c>
      <c r="G1466" s="71">
        <v>21.1</v>
      </c>
    </row>
    <row r="1467" spans="1:7">
      <c r="A1467" s="67" t="s">
        <v>344</v>
      </c>
      <c r="B1467" s="70">
        <v>46204</v>
      </c>
      <c r="C1467" s="69">
        <v>14</v>
      </c>
      <c r="D1467" s="69">
        <v>73</v>
      </c>
      <c r="E1467" s="69">
        <v>18</v>
      </c>
      <c r="F1467" s="67">
        <v>5</v>
      </c>
      <c r="G1467" s="71">
        <v>14.3</v>
      </c>
    </row>
    <row r="1468" spans="1:7">
      <c r="A1468" s="67" t="s">
        <v>346</v>
      </c>
      <c r="B1468" s="70">
        <v>46204</v>
      </c>
      <c r="C1468" s="69">
        <v>150</v>
      </c>
      <c r="D1468" s="69">
        <v>1436</v>
      </c>
      <c r="E1468" s="69">
        <v>84</v>
      </c>
      <c r="F1468" s="67">
        <v>4</v>
      </c>
      <c r="G1468" s="71">
        <v>24.3</v>
      </c>
    </row>
    <row r="1469" spans="1:7">
      <c r="A1469" s="67" t="s">
        <v>23</v>
      </c>
      <c r="B1469" s="70">
        <v>46235</v>
      </c>
      <c r="C1469" s="69">
        <v>60</v>
      </c>
      <c r="D1469" s="69">
        <v>610</v>
      </c>
      <c r="E1469" s="69">
        <v>75</v>
      </c>
      <c r="F1469" s="67">
        <v>8</v>
      </c>
      <c r="G1469" s="71">
        <v>16.7</v>
      </c>
    </row>
    <row r="1470" spans="1:7">
      <c r="A1470" s="67" t="s">
        <v>30</v>
      </c>
      <c r="B1470" s="70">
        <v>46235</v>
      </c>
      <c r="C1470" s="69">
        <v>231</v>
      </c>
      <c r="D1470" s="69">
        <v>1303</v>
      </c>
      <c r="E1470" s="69">
        <v>264</v>
      </c>
      <c r="F1470" s="67">
        <v>8</v>
      </c>
      <c r="G1470" s="71">
        <v>37.5</v>
      </c>
    </row>
    <row r="1471" spans="1:7">
      <c r="A1471" s="67" t="s">
        <v>35</v>
      </c>
      <c r="B1471" s="70">
        <v>46235</v>
      </c>
      <c r="C1471" s="69">
        <v>15</v>
      </c>
      <c r="D1471" s="69">
        <v>109</v>
      </c>
      <c r="E1471" s="69">
        <v>14</v>
      </c>
      <c r="F1471" s="67">
        <v>5</v>
      </c>
      <c r="G1471" s="71">
        <v>26.3</v>
      </c>
    </row>
    <row r="1472" spans="1:7">
      <c r="A1472" s="67" t="s">
        <v>41</v>
      </c>
      <c r="B1472" s="70">
        <v>46235</v>
      </c>
      <c r="C1472" s="69">
        <v>66</v>
      </c>
      <c r="D1472" s="69">
        <v>373</v>
      </c>
      <c r="E1472" s="69">
        <v>56</v>
      </c>
      <c r="F1472" s="67">
        <v>5</v>
      </c>
      <c r="G1472" s="71">
        <v>8.9</v>
      </c>
    </row>
    <row r="1473" spans="1:7">
      <c r="A1473" s="67" t="s">
        <v>44</v>
      </c>
      <c r="B1473" s="70">
        <v>46235</v>
      </c>
      <c r="C1473" s="69">
        <v>66</v>
      </c>
      <c r="D1473" s="69">
        <v>824</v>
      </c>
      <c r="E1473" s="69">
        <v>54</v>
      </c>
      <c r="F1473" s="67">
        <v>7</v>
      </c>
      <c r="G1473" s="71">
        <v>23.6</v>
      </c>
    </row>
    <row r="1474" spans="1:7">
      <c r="A1474" s="67" t="s">
        <v>47</v>
      </c>
      <c r="B1474" s="70">
        <v>46235</v>
      </c>
      <c r="C1474" s="69">
        <v>12</v>
      </c>
      <c r="D1474" s="69">
        <v>169</v>
      </c>
      <c r="E1474" s="69">
        <v>14</v>
      </c>
      <c r="F1474" s="67">
        <v>6</v>
      </c>
      <c r="G1474" s="71">
        <v>18.8</v>
      </c>
    </row>
    <row r="1475" spans="1:7">
      <c r="A1475" s="67" t="s">
        <v>51</v>
      </c>
      <c r="B1475" s="70">
        <v>46235</v>
      </c>
      <c r="C1475" s="69">
        <v>1002</v>
      </c>
      <c r="D1475" s="69">
        <v>14020</v>
      </c>
      <c r="E1475" s="69">
        <v>1392</v>
      </c>
      <c r="F1475" s="67">
        <v>9</v>
      </c>
      <c r="G1475" s="71">
        <v>11</v>
      </c>
    </row>
    <row r="1476" spans="1:7">
      <c r="A1476" s="67" t="s">
        <v>54</v>
      </c>
      <c r="B1476" s="70">
        <v>46235</v>
      </c>
      <c r="C1476" s="69">
        <v>5</v>
      </c>
      <c r="D1476" s="69">
        <v>71</v>
      </c>
      <c r="E1476" s="69">
        <v>5</v>
      </c>
      <c r="F1476" s="67">
        <v>5</v>
      </c>
      <c r="G1476" s="71">
        <v>5.1</v>
      </c>
    </row>
    <row r="1477" spans="1:7">
      <c r="A1477" s="67" t="s">
        <v>57</v>
      </c>
      <c r="B1477" s="70">
        <v>46235</v>
      </c>
      <c r="C1477" s="69">
        <v>890</v>
      </c>
      <c r="D1477" s="69">
        <v>11648</v>
      </c>
      <c r="E1477" s="69">
        <v>1714</v>
      </c>
      <c r="F1477" s="67">
        <v>9</v>
      </c>
      <c r="G1477" s="71">
        <v>34.8</v>
      </c>
    </row>
    <row r="1478" spans="1:7">
      <c r="A1478" s="67" t="s">
        <v>59</v>
      </c>
      <c r="B1478" s="70">
        <v>46235</v>
      </c>
      <c r="C1478" s="69">
        <v>83</v>
      </c>
      <c r="D1478" s="69">
        <v>1150</v>
      </c>
      <c r="E1478" s="69">
        <v>55</v>
      </c>
      <c r="F1478" s="67">
        <v>4</v>
      </c>
      <c r="G1478" s="71">
        <v>16.6</v>
      </c>
    </row>
    <row r="1479" spans="1:7">
      <c r="A1479" s="67" t="s">
        <v>63</v>
      </c>
      <c r="B1479" s="70">
        <v>46235</v>
      </c>
      <c r="C1479" s="69">
        <v>24</v>
      </c>
      <c r="D1479" s="69">
        <v>328</v>
      </c>
      <c r="E1479" s="69">
        <v>30</v>
      </c>
      <c r="F1479" s="67">
        <v>5</v>
      </c>
      <c r="G1479" s="71">
        <v>5.7</v>
      </c>
    </row>
    <row r="1480" spans="1:7">
      <c r="A1480" s="67" t="s">
        <v>66</v>
      </c>
      <c r="B1480" s="70">
        <v>46235</v>
      </c>
      <c r="C1480" s="69">
        <v>20</v>
      </c>
      <c r="D1480" s="69">
        <v>144</v>
      </c>
      <c r="E1480" s="69">
        <v>39</v>
      </c>
      <c r="F1480" s="67">
        <v>5</v>
      </c>
      <c r="G1480" s="71">
        <v>5.3</v>
      </c>
    </row>
    <row r="1481" spans="1:7">
      <c r="A1481" s="67" t="s">
        <v>69</v>
      </c>
      <c r="B1481" s="70">
        <v>46235</v>
      </c>
      <c r="C1481" s="69">
        <v>11</v>
      </c>
      <c r="D1481" s="69">
        <v>55</v>
      </c>
      <c r="E1481" s="69">
        <v>24</v>
      </c>
      <c r="F1481" s="67">
        <v>6</v>
      </c>
      <c r="G1481" s="71">
        <v>21.5</v>
      </c>
    </row>
    <row r="1482" spans="1:7">
      <c r="A1482" s="67" t="s">
        <v>71</v>
      </c>
      <c r="B1482" s="70">
        <v>46235</v>
      </c>
      <c r="C1482" s="69">
        <v>56</v>
      </c>
      <c r="D1482" s="69">
        <v>775</v>
      </c>
      <c r="E1482" s="69">
        <v>53</v>
      </c>
      <c r="F1482" s="67">
        <v>7</v>
      </c>
      <c r="G1482" s="71">
        <v>13</v>
      </c>
    </row>
    <row r="1483" spans="1:7">
      <c r="A1483" s="67" t="s">
        <v>75</v>
      </c>
      <c r="B1483" s="70">
        <v>46235</v>
      </c>
      <c r="C1483" s="69">
        <v>235</v>
      </c>
      <c r="D1483" s="69">
        <v>3543</v>
      </c>
      <c r="E1483" s="69">
        <v>122</v>
      </c>
      <c r="F1483" s="67">
        <v>9</v>
      </c>
      <c r="G1483" s="71">
        <v>33.1</v>
      </c>
    </row>
    <row r="1484" spans="1:7">
      <c r="A1484" s="67" t="s">
        <v>78</v>
      </c>
      <c r="B1484" s="70">
        <v>46235</v>
      </c>
      <c r="C1484" s="69">
        <v>671</v>
      </c>
      <c r="D1484" s="69">
        <v>6415</v>
      </c>
      <c r="E1484" s="69">
        <v>1007</v>
      </c>
      <c r="F1484" s="67">
        <v>7</v>
      </c>
      <c r="G1484" s="71">
        <v>28.2</v>
      </c>
    </row>
    <row r="1485" spans="1:7">
      <c r="A1485" s="67" t="s">
        <v>81</v>
      </c>
      <c r="B1485" s="70">
        <v>46235</v>
      </c>
      <c r="C1485" s="69">
        <v>8</v>
      </c>
      <c r="D1485" s="69">
        <v>126</v>
      </c>
      <c r="E1485" s="69">
        <v>8</v>
      </c>
      <c r="F1485" s="67">
        <v>8</v>
      </c>
      <c r="G1485" s="71">
        <v>16.7</v>
      </c>
    </row>
    <row r="1486" spans="1:7">
      <c r="A1486" s="67" t="s">
        <v>83</v>
      </c>
      <c r="B1486" s="70">
        <v>46235</v>
      </c>
      <c r="C1486" s="69">
        <v>9</v>
      </c>
      <c r="D1486" s="69">
        <v>146</v>
      </c>
      <c r="E1486" s="69">
        <v>19</v>
      </c>
      <c r="F1486" s="67">
        <v>5</v>
      </c>
      <c r="G1486" s="71">
        <v>22</v>
      </c>
    </row>
    <row r="1487" spans="1:7">
      <c r="A1487" s="67" t="s">
        <v>85</v>
      </c>
      <c r="B1487" s="70">
        <v>46235</v>
      </c>
      <c r="C1487" s="69">
        <v>214</v>
      </c>
      <c r="D1487" s="69">
        <v>2850</v>
      </c>
      <c r="E1487" s="69">
        <v>134</v>
      </c>
      <c r="F1487" s="67">
        <v>10</v>
      </c>
      <c r="G1487" s="71">
        <v>19.4</v>
      </c>
    </row>
    <row r="1488" spans="1:7">
      <c r="A1488" s="67" t="s">
        <v>87</v>
      </c>
      <c r="B1488" s="70">
        <v>46235</v>
      </c>
      <c r="C1488" s="69">
        <v>14</v>
      </c>
      <c r="D1488" s="69">
        <v>135</v>
      </c>
      <c r="E1488" s="69">
        <v>5</v>
      </c>
      <c r="F1488" s="67">
        <v>8</v>
      </c>
      <c r="G1488" s="71">
        <v>25.2</v>
      </c>
    </row>
    <row r="1489" spans="1:7">
      <c r="A1489" s="67" t="s">
        <v>90</v>
      </c>
      <c r="B1489" s="70">
        <v>46235</v>
      </c>
      <c r="C1489" s="69">
        <v>60</v>
      </c>
      <c r="D1489" s="69">
        <v>461</v>
      </c>
      <c r="E1489" s="69">
        <v>30</v>
      </c>
      <c r="F1489" s="67">
        <v>4</v>
      </c>
      <c r="G1489" s="71">
        <v>37.2</v>
      </c>
    </row>
    <row r="1490" spans="1:7">
      <c r="A1490" s="67" t="s">
        <v>94</v>
      </c>
      <c r="B1490" s="70">
        <v>46235</v>
      </c>
      <c r="C1490" s="69">
        <v>37</v>
      </c>
      <c r="D1490" s="69">
        <v>317</v>
      </c>
      <c r="E1490" s="69">
        <v>62</v>
      </c>
      <c r="F1490" s="67">
        <v>7</v>
      </c>
      <c r="G1490" s="71">
        <v>24.1</v>
      </c>
    </row>
    <row r="1491" spans="1:7">
      <c r="A1491" s="67" t="s">
        <v>96</v>
      </c>
      <c r="B1491" s="70">
        <v>46235</v>
      </c>
      <c r="C1491" s="69">
        <v>844</v>
      </c>
      <c r="D1491" s="69">
        <v>13832</v>
      </c>
      <c r="E1491" s="69">
        <v>578</v>
      </c>
      <c r="F1491" s="67">
        <v>4</v>
      </c>
      <c r="G1491" s="71">
        <v>36.9</v>
      </c>
    </row>
    <row r="1492" spans="1:7">
      <c r="A1492" s="67" t="s">
        <v>98</v>
      </c>
      <c r="B1492" s="70">
        <v>46235</v>
      </c>
      <c r="C1492" s="69">
        <v>932</v>
      </c>
      <c r="D1492" s="69">
        <v>11798</v>
      </c>
      <c r="E1492" s="69">
        <v>2218</v>
      </c>
      <c r="F1492" s="67">
        <v>8</v>
      </c>
      <c r="G1492" s="71">
        <v>14.7</v>
      </c>
    </row>
    <row r="1493" spans="1:7">
      <c r="A1493" s="67" t="s">
        <v>100</v>
      </c>
      <c r="B1493" s="70">
        <v>46235</v>
      </c>
      <c r="C1493" s="69">
        <v>995</v>
      </c>
      <c r="D1493" s="69">
        <v>14053</v>
      </c>
      <c r="E1493" s="69">
        <v>2125</v>
      </c>
      <c r="F1493" s="67">
        <v>8</v>
      </c>
      <c r="G1493" s="71">
        <v>9.300000000000001</v>
      </c>
    </row>
    <row r="1494" spans="1:7">
      <c r="A1494" s="67" t="s">
        <v>104</v>
      </c>
      <c r="B1494" s="70">
        <v>46235</v>
      </c>
      <c r="C1494" s="69">
        <v>11</v>
      </c>
      <c r="D1494" s="69">
        <v>168</v>
      </c>
      <c r="E1494" s="69">
        <v>12</v>
      </c>
      <c r="F1494" s="67">
        <v>3</v>
      </c>
      <c r="G1494" s="71">
        <v>8.9</v>
      </c>
    </row>
    <row r="1495" spans="1:7">
      <c r="A1495" s="67" t="s">
        <v>106</v>
      </c>
      <c r="B1495" s="70">
        <v>46235</v>
      </c>
      <c r="C1495" s="69">
        <v>207</v>
      </c>
      <c r="D1495" s="69">
        <v>1431</v>
      </c>
      <c r="E1495" s="69">
        <v>372</v>
      </c>
      <c r="F1495" s="67">
        <v>6</v>
      </c>
      <c r="G1495" s="71">
        <v>23.3</v>
      </c>
    </row>
    <row r="1496" spans="1:7">
      <c r="A1496" s="67" t="s">
        <v>108</v>
      </c>
      <c r="B1496" s="70">
        <v>46235</v>
      </c>
      <c r="C1496" s="69">
        <v>30</v>
      </c>
      <c r="D1496" s="69">
        <v>213</v>
      </c>
      <c r="E1496" s="69">
        <v>41</v>
      </c>
      <c r="F1496" s="67">
        <v>7</v>
      </c>
      <c r="G1496" s="71">
        <v>7.3</v>
      </c>
    </row>
    <row r="1497" spans="1:7">
      <c r="A1497" s="67" t="s">
        <v>110</v>
      </c>
      <c r="B1497" s="70">
        <v>46235</v>
      </c>
      <c r="C1497" s="69">
        <v>97</v>
      </c>
      <c r="D1497" s="69">
        <v>759</v>
      </c>
      <c r="E1497" s="69">
        <v>205</v>
      </c>
      <c r="F1497" s="67">
        <v>5</v>
      </c>
      <c r="G1497" s="71">
        <v>9.300000000000001</v>
      </c>
    </row>
    <row r="1498" spans="1:7">
      <c r="A1498" s="67" t="s">
        <v>112</v>
      </c>
      <c r="B1498" s="70">
        <v>46235</v>
      </c>
      <c r="C1498" s="69">
        <v>4</v>
      </c>
      <c r="D1498" s="69">
        <v>38</v>
      </c>
      <c r="E1498" s="69">
        <v>9</v>
      </c>
      <c r="F1498" s="67">
        <v>4</v>
      </c>
      <c r="G1498" s="71">
        <v>6.7</v>
      </c>
    </row>
    <row r="1499" spans="1:7">
      <c r="A1499" s="67" t="s">
        <v>114</v>
      </c>
      <c r="B1499" s="70">
        <v>46235</v>
      </c>
      <c r="C1499" s="69">
        <v>156</v>
      </c>
      <c r="D1499" s="69">
        <v>2373</v>
      </c>
      <c r="E1499" s="69">
        <v>219</v>
      </c>
      <c r="F1499" s="67">
        <v>10</v>
      </c>
      <c r="G1499" s="71">
        <v>38.5</v>
      </c>
    </row>
    <row r="1500" spans="1:7">
      <c r="A1500" s="67" t="s">
        <v>116</v>
      </c>
      <c r="B1500" s="70">
        <v>46235</v>
      </c>
      <c r="C1500" s="69">
        <v>11</v>
      </c>
      <c r="D1500" s="69">
        <v>157</v>
      </c>
      <c r="E1500" s="69">
        <v>7</v>
      </c>
      <c r="F1500" s="67">
        <v>4</v>
      </c>
      <c r="G1500" s="71">
        <v>30.7</v>
      </c>
    </row>
    <row r="1501" spans="1:7">
      <c r="A1501" s="67" t="s">
        <v>118</v>
      </c>
      <c r="B1501" s="70">
        <v>46235</v>
      </c>
      <c r="C1501" s="69">
        <v>44</v>
      </c>
      <c r="D1501" s="69">
        <v>386</v>
      </c>
      <c r="E1501" s="69">
        <v>16</v>
      </c>
      <c r="F1501" s="67">
        <v>9</v>
      </c>
      <c r="G1501" s="71">
        <v>37.7</v>
      </c>
    </row>
    <row r="1502" spans="1:7">
      <c r="A1502" s="67" t="s">
        <v>120</v>
      </c>
      <c r="B1502" s="70">
        <v>46235</v>
      </c>
      <c r="C1502" s="69">
        <v>23</v>
      </c>
      <c r="D1502" s="69">
        <v>230</v>
      </c>
      <c r="E1502" s="69">
        <v>27</v>
      </c>
      <c r="F1502" s="67">
        <v>4</v>
      </c>
      <c r="G1502" s="71">
        <v>36.6</v>
      </c>
    </row>
    <row r="1503" spans="1:7">
      <c r="A1503" s="67" t="s">
        <v>122</v>
      </c>
      <c r="B1503" s="70">
        <v>46235</v>
      </c>
      <c r="C1503" s="69">
        <v>366</v>
      </c>
      <c r="D1503" s="69">
        <v>4671</v>
      </c>
      <c r="E1503" s="69">
        <v>249</v>
      </c>
      <c r="F1503" s="67">
        <v>3</v>
      </c>
      <c r="G1503" s="71">
        <v>20.3</v>
      </c>
    </row>
    <row r="1504" spans="1:7">
      <c r="A1504" s="67" t="s">
        <v>124</v>
      </c>
      <c r="B1504" s="70">
        <v>46235</v>
      </c>
      <c r="C1504" s="69">
        <v>170</v>
      </c>
      <c r="D1504" s="69">
        <v>1158</v>
      </c>
      <c r="E1504" s="69">
        <v>338</v>
      </c>
      <c r="F1504" s="67">
        <v>4</v>
      </c>
      <c r="G1504" s="71">
        <v>13.8</v>
      </c>
    </row>
    <row r="1505" spans="1:7">
      <c r="A1505" s="67" t="s">
        <v>126</v>
      </c>
      <c r="B1505" s="70">
        <v>46235</v>
      </c>
      <c r="C1505" s="69">
        <v>17</v>
      </c>
      <c r="D1505" s="69">
        <v>152</v>
      </c>
      <c r="E1505" s="69">
        <v>16</v>
      </c>
      <c r="F1505" s="67">
        <v>4</v>
      </c>
      <c r="G1505" s="71">
        <v>37.4</v>
      </c>
    </row>
    <row r="1506" spans="1:7">
      <c r="A1506" s="67" t="s">
        <v>128</v>
      </c>
      <c r="B1506" s="70">
        <v>46235</v>
      </c>
      <c r="C1506" s="69">
        <v>159</v>
      </c>
      <c r="D1506" s="69">
        <v>2412</v>
      </c>
      <c r="E1506" s="69">
        <v>339</v>
      </c>
      <c r="F1506" s="67">
        <v>7</v>
      </c>
      <c r="G1506" s="71">
        <v>8.4</v>
      </c>
    </row>
    <row r="1507" spans="1:7">
      <c r="A1507" s="67" t="s">
        <v>130</v>
      </c>
      <c r="B1507" s="70">
        <v>46235</v>
      </c>
      <c r="C1507" s="69">
        <v>95</v>
      </c>
      <c r="D1507" s="69">
        <v>1097</v>
      </c>
      <c r="E1507" s="69">
        <v>172</v>
      </c>
      <c r="F1507" s="67">
        <v>7</v>
      </c>
      <c r="G1507" s="71">
        <v>17.5</v>
      </c>
    </row>
    <row r="1508" spans="1:7">
      <c r="A1508" s="67" t="s">
        <v>132</v>
      </c>
      <c r="B1508" s="70">
        <v>46235</v>
      </c>
      <c r="C1508" s="69">
        <v>51</v>
      </c>
      <c r="D1508" s="69">
        <v>892</v>
      </c>
      <c r="E1508" s="69">
        <v>67</v>
      </c>
      <c r="F1508" s="67">
        <v>6</v>
      </c>
      <c r="G1508" s="71">
        <v>36.9</v>
      </c>
    </row>
    <row r="1509" spans="1:7">
      <c r="A1509" s="67" t="s">
        <v>134</v>
      </c>
      <c r="B1509" s="70">
        <v>46235</v>
      </c>
      <c r="C1509" s="69">
        <v>227</v>
      </c>
      <c r="D1509" s="69">
        <v>1396</v>
      </c>
      <c r="E1509" s="69">
        <v>138</v>
      </c>
      <c r="F1509" s="67">
        <v>7</v>
      </c>
      <c r="G1509" s="71">
        <v>36.7</v>
      </c>
    </row>
    <row r="1510" spans="1:7">
      <c r="A1510" s="67" t="s">
        <v>136</v>
      </c>
      <c r="B1510" s="70">
        <v>46235</v>
      </c>
      <c r="C1510" s="69">
        <v>101</v>
      </c>
      <c r="D1510" s="69">
        <v>995</v>
      </c>
      <c r="E1510" s="69">
        <v>168</v>
      </c>
      <c r="F1510" s="67">
        <v>3</v>
      </c>
      <c r="G1510" s="71">
        <v>36.5</v>
      </c>
    </row>
    <row r="1511" spans="1:7">
      <c r="A1511" s="67" t="s">
        <v>138</v>
      </c>
      <c r="B1511" s="70">
        <v>46235</v>
      </c>
      <c r="C1511" s="69">
        <v>38</v>
      </c>
      <c r="D1511" s="69">
        <v>607</v>
      </c>
      <c r="E1511" s="69">
        <v>22</v>
      </c>
      <c r="F1511" s="67">
        <v>6</v>
      </c>
      <c r="G1511" s="71">
        <v>28.5</v>
      </c>
    </row>
    <row r="1512" spans="1:7">
      <c r="A1512" s="67" t="s">
        <v>140</v>
      </c>
      <c r="B1512" s="70">
        <v>46235</v>
      </c>
      <c r="C1512" s="69">
        <v>103</v>
      </c>
      <c r="D1512" s="69">
        <v>1209</v>
      </c>
      <c r="E1512" s="69">
        <v>221</v>
      </c>
      <c r="F1512" s="67">
        <v>5</v>
      </c>
      <c r="G1512" s="71">
        <v>8</v>
      </c>
    </row>
    <row r="1513" spans="1:7">
      <c r="A1513" s="67" t="s">
        <v>142</v>
      </c>
      <c r="B1513" s="70">
        <v>46235</v>
      </c>
      <c r="C1513" s="69">
        <v>209</v>
      </c>
      <c r="D1513" s="69">
        <v>1336</v>
      </c>
      <c r="E1513" s="69">
        <v>336</v>
      </c>
      <c r="F1513" s="67">
        <v>10</v>
      </c>
      <c r="G1513" s="71">
        <v>33.8</v>
      </c>
    </row>
    <row r="1514" spans="1:7">
      <c r="A1514" s="67" t="s">
        <v>144</v>
      </c>
      <c r="B1514" s="70">
        <v>46235</v>
      </c>
      <c r="C1514" s="69">
        <v>23</v>
      </c>
      <c r="D1514" s="69">
        <v>373</v>
      </c>
      <c r="E1514" s="69">
        <v>13</v>
      </c>
      <c r="F1514" s="67">
        <v>5</v>
      </c>
      <c r="G1514" s="71">
        <v>25.5</v>
      </c>
    </row>
    <row r="1515" spans="1:7">
      <c r="A1515" s="67" t="s">
        <v>146</v>
      </c>
      <c r="B1515" s="70">
        <v>46235</v>
      </c>
      <c r="C1515" s="69">
        <v>1149</v>
      </c>
      <c r="D1515" s="69">
        <v>16224</v>
      </c>
      <c r="E1515" s="69">
        <v>1650</v>
      </c>
      <c r="F1515" s="67">
        <v>8</v>
      </c>
      <c r="G1515" s="71">
        <v>24.7</v>
      </c>
    </row>
    <row r="1516" spans="1:7">
      <c r="A1516" s="67" t="s">
        <v>148</v>
      </c>
      <c r="B1516" s="70">
        <v>46235</v>
      </c>
      <c r="C1516" s="69">
        <v>199</v>
      </c>
      <c r="D1516" s="69">
        <v>3311</v>
      </c>
      <c r="E1516" s="69">
        <v>340</v>
      </c>
      <c r="F1516" s="67">
        <v>8</v>
      </c>
      <c r="G1516" s="71">
        <v>10.4</v>
      </c>
    </row>
    <row r="1517" spans="1:7">
      <c r="A1517" s="67" t="s">
        <v>150</v>
      </c>
      <c r="B1517" s="70">
        <v>46235</v>
      </c>
      <c r="C1517" s="69">
        <v>10</v>
      </c>
      <c r="D1517" s="69">
        <v>172</v>
      </c>
      <c r="E1517" s="69">
        <v>21</v>
      </c>
      <c r="F1517" s="67">
        <v>2</v>
      </c>
      <c r="G1517" s="71">
        <v>26.8</v>
      </c>
    </row>
    <row r="1518" spans="1:7">
      <c r="A1518" s="67" t="s">
        <v>152</v>
      </c>
      <c r="B1518" s="70">
        <v>46235</v>
      </c>
      <c r="C1518" s="69">
        <v>17</v>
      </c>
      <c r="D1518" s="69">
        <v>119</v>
      </c>
      <c r="E1518" s="69">
        <v>38</v>
      </c>
      <c r="F1518" s="67">
        <v>5</v>
      </c>
      <c r="G1518" s="71">
        <v>23.2</v>
      </c>
    </row>
    <row r="1519" spans="1:7">
      <c r="A1519" s="67" t="s">
        <v>154</v>
      </c>
      <c r="B1519" s="70">
        <v>46235</v>
      </c>
      <c r="C1519" s="69">
        <v>13</v>
      </c>
      <c r="D1519" s="69">
        <v>69</v>
      </c>
      <c r="E1519" s="69">
        <v>18</v>
      </c>
      <c r="F1519" s="67">
        <v>2</v>
      </c>
      <c r="G1519" s="71">
        <v>18.7</v>
      </c>
    </row>
    <row r="1520" spans="1:7">
      <c r="A1520" s="67" t="s">
        <v>156</v>
      </c>
      <c r="B1520" s="70">
        <v>46235</v>
      </c>
      <c r="C1520" s="69">
        <v>26</v>
      </c>
      <c r="D1520" s="69">
        <v>293</v>
      </c>
      <c r="E1520" s="69">
        <v>18</v>
      </c>
      <c r="F1520" s="67">
        <v>7</v>
      </c>
      <c r="G1520" s="71">
        <v>13.2</v>
      </c>
    </row>
    <row r="1521" spans="1:7">
      <c r="A1521" s="67" t="s">
        <v>158</v>
      </c>
      <c r="B1521" s="70">
        <v>46235</v>
      </c>
      <c r="C1521" s="69">
        <v>63</v>
      </c>
      <c r="D1521" s="69">
        <v>817</v>
      </c>
      <c r="E1521" s="69">
        <v>80</v>
      </c>
      <c r="F1521" s="67">
        <v>4</v>
      </c>
      <c r="G1521" s="71">
        <v>28</v>
      </c>
    </row>
    <row r="1522" spans="1:7">
      <c r="A1522" s="67" t="s">
        <v>160</v>
      </c>
      <c r="B1522" s="70">
        <v>46235</v>
      </c>
      <c r="C1522" s="69">
        <v>233</v>
      </c>
      <c r="D1522" s="69">
        <v>1231</v>
      </c>
      <c r="E1522" s="69">
        <v>143</v>
      </c>
      <c r="F1522" s="67">
        <v>7</v>
      </c>
      <c r="G1522" s="71">
        <v>31.1</v>
      </c>
    </row>
    <row r="1523" spans="1:7">
      <c r="A1523" s="67" t="s">
        <v>162</v>
      </c>
      <c r="B1523" s="70">
        <v>46235</v>
      </c>
      <c r="C1523" s="69">
        <v>50</v>
      </c>
      <c r="D1523" s="69">
        <v>705</v>
      </c>
      <c r="E1523" s="69">
        <v>37</v>
      </c>
      <c r="F1523" s="67">
        <v>9</v>
      </c>
      <c r="G1523" s="71">
        <v>21.8</v>
      </c>
    </row>
    <row r="1524" spans="1:7">
      <c r="A1524" s="67" t="s">
        <v>164</v>
      </c>
      <c r="B1524" s="70">
        <v>46235</v>
      </c>
      <c r="C1524" s="69">
        <v>93</v>
      </c>
      <c r="D1524" s="69">
        <v>1177</v>
      </c>
      <c r="E1524" s="69">
        <v>103</v>
      </c>
      <c r="F1524" s="67">
        <v>7</v>
      </c>
      <c r="G1524" s="71">
        <v>14.6</v>
      </c>
    </row>
    <row r="1525" spans="1:7">
      <c r="A1525" s="67" t="s">
        <v>166</v>
      </c>
      <c r="B1525" s="70">
        <v>46235</v>
      </c>
      <c r="C1525" s="69">
        <v>101</v>
      </c>
      <c r="D1525" s="69">
        <v>1114</v>
      </c>
      <c r="E1525" s="69">
        <v>211</v>
      </c>
      <c r="F1525" s="67">
        <v>7</v>
      </c>
      <c r="G1525" s="71">
        <v>10.2</v>
      </c>
    </row>
    <row r="1526" spans="1:7">
      <c r="A1526" s="67" t="s">
        <v>168</v>
      </c>
      <c r="B1526" s="70">
        <v>46235</v>
      </c>
      <c r="C1526" s="69">
        <v>168</v>
      </c>
      <c r="D1526" s="69">
        <v>1691</v>
      </c>
      <c r="E1526" s="69">
        <v>265</v>
      </c>
      <c r="F1526" s="67">
        <v>8</v>
      </c>
      <c r="G1526" s="71">
        <v>6.2</v>
      </c>
    </row>
    <row r="1527" spans="1:7">
      <c r="A1527" s="67" t="s">
        <v>170</v>
      </c>
      <c r="B1527" s="70">
        <v>46235</v>
      </c>
      <c r="C1527" s="69">
        <v>24</v>
      </c>
      <c r="D1527" s="69">
        <v>259</v>
      </c>
      <c r="E1527" s="69">
        <v>55</v>
      </c>
      <c r="F1527" s="67">
        <v>6</v>
      </c>
      <c r="G1527" s="71">
        <v>17.4</v>
      </c>
    </row>
    <row r="1528" spans="1:7">
      <c r="A1528" s="67" t="s">
        <v>172</v>
      </c>
      <c r="B1528" s="70">
        <v>46235</v>
      </c>
      <c r="C1528" s="69">
        <v>30</v>
      </c>
      <c r="D1528" s="69">
        <v>329</v>
      </c>
      <c r="E1528" s="69">
        <v>10</v>
      </c>
      <c r="F1528" s="67">
        <v>8</v>
      </c>
      <c r="G1528" s="71">
        <v>10.5</v>
      </c>
    </row>
    <row r="1529" spans="1:7">
      <c r="A1529" s="67" t="s">
        <v>174</v>
      </c>
      <c r="B1529" s="70">
        <v>46235</v>
      </c>
      <c r="C1529" s="69">
        <v>123</v>
      </c>
      <c r="D1529" s="69">
        <v>952</v>
      </c>
      <c r="E1529" s="69">
        <v>281</v>
      </c>
      <c r="F1529" s="67">
        <v>6</v>
      </c>
      <c r="G1529" s="71">
        <v>23.4</v>
      </c>
    </row>
    <row r="1530" spans="1:7">
      <c r="A1530" s="67" t="s">
        <v>176</v>
      </c>
      <c r="B1530" s="70">
        <v>46235</v>
      </c>
      <c r="C1530" s="69">
        <v>20</v>
      </c>
      <c r="D1530" s="69">
        <v>139</v>
      </c>
      <c r="E1530" s="69">
        <v>35</v>
      </c>
      <c r="F1530" s="67">
        <v>5</v>
      </c>
      <c r="G1530" s="71">
        <v>24.7</v>
      </c>
    </row>
    <row r="1531" spans="1:7">
      <c r="A1531" s="67" t="s">
        <v>178</v>
      </c>
      <c r="B1531" s="70">
        <v>46235</v>
      </c>
      <c r="C1531" s="69">
        <v>10</v>
      </c>
      <c r="D1531" s="69">
        <v>68</v>
      </c>
      <c r="E1531" s="69">
        <v>20</v>
      </c>
      <c r="F1531" s="67">
        <v>6</v>
      </c>
      <c r="G1531" s="71">
        <v>28</v>
      </c>
    </row>
    <row r="1532" spans="1:7">
      <c r="A1532" s="67" t="s">
        <v>180</v>
      </c>
      <c r="B1532" s="70">
        <v>46235</v>
      </c>
      <c r="C1532" s="69">
        <v>1035</v>
      </c>
      <c r="D1532" s="69">
        <v>16468</v>
      </c>
      <c r="E1532" s="69">
        <v>1412</v>
      </c>
      <c r="F1532" s="67">
        <v>8</v>
      </c>
      <c r="G1532" s="71">
        <v>38.7</v>
      </c>
    </row>
    <row r="1533" spans="1:7">
      <c r="A1533" s="67" t="s">
        <v>182</v>
      </c>
      <c r="B1533" s="70">
        <v>46235</v>
      </c>
      <c r="C1533" s="69">
        <v>15</v>
      </c>
      <c r="D1533" s="69">
        <v>213</v>
      </c>
      <c r="E1533" s="69">
        <v>21</v>
      </c>
      <c r="F1533" s="67">
        <v>5</v>
      </c>
      <c r="G1533" s="71">
        <v>28.1</v>
      </c>
    </row>
    <row r="1534" spans="1:7">
      <c r="A1534" s="67" t="s">
        <v>184</v>
      </c>
      <c r="B1534" s="70">
        <v>46235</v>
      </c>
      <c r="C1534" s="69">
        <v>130</v>
      </c>
      <c r="D1534" s="69">
        <v>1645</v>
      </c>
      <c r="E1534" s="69">
        <v>205</v>
      </c>
      <c r="F1534" s="67">
        <v>7</v>
      </c>
      <c r="G1534" s="71">
        <v>25.5</v>
      </c>
    </row>
    <row r="1535" spans="1:7">
      <c r="A1535" s="67" t="s">
        <v>186</v>
      </c>
      <c r="B1535" s="70">
        <v>46235</v>
      </c>
      <c r="C1535" s="69">
        <v>107</v>
      </c>
      <c r="D1535" s="69">
        <v>576</v>
      </c>
      <c r="E1535" s="69">
        <v>205</v>
      </c>
      <c r="F1535" s="67">
        <v>6</v>
      </c>
      <c r="G1535" s="71">
        <v>13.1</v>
      </c>
    </row>
    <row r="1536" spans="1:7">
      <c r="A1536" s="67" t="s">
        <v>188</v>
      </c>
      <c r="B1536" s="70">
        <v>46235</v>
      </c>
      <c r="C1536" s="69">
        <v>10</v>
      </c>
      <c r="D1536" s="69">
        <v>138</v>
      </c>
      <c r="E1536" s="69">
        <v>10</v>
      </c>
      <c r="F1536" s="67">
        <v>2</v>
      </c>
      <c r="G1536" s="71">
        <v>13.1</v>
      </c>
    </row>
    <row r="1537" spans="1:7">
      <c r="A1537" s="67" t="s">
        <v>190</v>
      </c>
      <c r="B1537" s="70">
        <v>46235</v>
      </c>
      <c r="C1537" s="69">
        <v>18</v>
      </c>
      <c r="D1537" s="69">
        <v>276</v>
      </c>
      <c r="E1537" s="69">
        <v>10</v>
      </c>
      <c r="F1537" s="67">
        <v>2</v>
      </c>
      <c r="G1537" s="71">
        <v>35.8</v>
      </c>
    </row>
    <row r="1538" spans="1:7">
      <c r="A1538" s="67" t="s">
        <v>192</v>
      </c>
      <c r="B1538" s="70">
        <v>46235</v>
      </c>
      <c r="C1538" s="69">
        <v>76</v>
      </c>
      <c r="D1538" s="69">
        <v>1342</v>
      </c>
      <c r="E1538" s="69">
        <v>177</v>
      </c>
      <c r="F1538" s="67">
        <v>3</v>
      </c>
      <c r="G1538" s="71">
        <v>7.2</v>
      </c>
    </row>
    <row r="1539" spans="1:7">
      <c r="A1539" s="67" t="s">
        <v>194</v>
      </c>
      <c r="B1539" s="70">
        <v>46235</v>
      </c>
      <c r="C1539" s="69">
        <v>13</v>
      </c>
      <c r="D1539" s="69">
        <v>192</v>
      </c>
      <c r="E1539" s="69">
        <v>17</v>
      </c>
      <c r="F1539" s="67">
        <v>2</v>
      </c>
      <c r="G1539" s="71">
        <v>18.1</v>
      </c>
    </row>
    <row r="1540" spans="1:7">
      <c r="A1540" s="67" t="s">
        <v>198</v>
      </c>
      <c r="B1540" s="70">
        <v>46235</v>
      </c>
      <c r="C1540" s="69">
        <v>474</v>
      </c>
      <c r="D1540" s="69">
        <v>3443</v>
      </c>
      <c r="E1540" s="69">
        <v>254</v>
      </c>
      <c r="F1540" s="67">
        <v>8</v>
      </c>
      <c r="G1540" s="71">
        <v>20.7</v>
      </c>
    </row>
    <row r="1541" spans="1:7">
      <c r="A1541" s="67" t="s">
        <v>202</v>
      </c>
      <c r="B1541" s="70">
        <v>46235</v>
      </c>
      <c r="C1541" s="69">
        <v>134</v>
      </c>
      <c r="D1541" s="69">
        <v>1639</v>
      </c>
      <c r="E1541" s="69">
        <v>98</v>
      </c>
      <c r="F1541" s="67">
        <v>8</v>
      </c>
      <c r="G1541" s="71">
        <v>22.2</v>
      </c>
    </row>
    <row r="1542" spans="1:7">
      <c r="A1542" s="67" t="s">
        <v>204</v>
      </c>
      <c r="B1542" s="70">
        <v>46235</v>
      </c>
      <c r="C1542" s="69">
        <v>13</v>
      </c>
      <c r="D1542" s="69">
        <v>190</v>
      </c>
      <c r="E1542" s="69">
        <v>16</v>
      </c>
      <c r="F1542" s="67">
        <v>6</v>
      </c>
      <c r="G1542" s="71">
        <v>23.5</v>
      </c>
    </row>
    <row r="1543" spans="1:7">
      <c r="A1543" s="67" t="s">
        <v>206</v>
      </c>
      <c r="B1543" s="70">
        <v>46235</v>
      </c>
      <c r="C1543" s="69">
        <v>658</v>
      </c>
      <c r="D1543" s="69">
        <v>3497</v>
      </c>
      <c r="E1543" s="69">
        <v>1587</v>
      </c>
      <c r="F1543" s="67">
        <v>5</v>
      </c>
      <c r="G1543" s="71">
        <v>8.4</v>
      </c>
    </row>
    <row r="1544" spans="1:7">
      <c r="A1544" s="67" t="s">
        <v>208</v>
      </c>
      <c r="B1544" s="70">
        <v>46235</v>
      </c>
      <c r="C1544" s="69">
        <v>13</v>
      </c>
      <c r="D1544" s="69">
        <v>66</v>
      </c>
      <c r="E1544" s="69">
        <v>26</v>
      </c>
      <c r="F1544" s="67">
        <v>8</v>
      </c>
      <c r="G1544" s="71">
        <v>24.9</v>
      </c>
    </row>
    <row r="1545" spans="1:7">
      <c r="A1545" s="67" t="s">
        <v>212</v>
      </c>
      <c r="B1545" s="70">
        <v>46235</v>
      </c>
      <c r="C1545" s="69">
        <v>26</v>
      </c>
      <c r="D1545" s="69">
        <v>361</v>
      </c>
      <c r="E1545" s="69">
        <v>63</v>
      </c>
      <c r="F1545" s="67">
        <v>7</v>
      </c>
      <c r="G1545" s="71">
        <v>30.5</v>
      </c>
    </row>
    <row r="1546" spans="1:7">
      <c r="A1546" s="67" t="s">
        <v>214</v>
      </c>
      <c r="B1546" s="70">
        <v>46235</v>
      </c>
      <c r="C1546" s="69">
        <v>53</v>
      </c>
      <c r="D1546" s="69">
        <v>408</v>
      </c>
      <c r="E1546" s="69">
        <v>112</v>
      </c>
      <c r="F1546" s="67">
        <v>5</v>
      </c>
      <c r="G1546" s="71">
        <v>22.5</v>
      </c>
    </row>
    <row r="1547" spans="1:7">
      <c r="A1547" s="67" t="s">
        <v>216</v>
      </c>
      <c r="B1547" s="70">
        <v>46235</v>
      </c>
      <c r="C1547" s="69">
        <v>236</v>
      </c>
      <c r="D1547" s="69">
        <v>3798</v>
      </c>
      <c r="E1547" s="69">
        <v>487</v>
      </c>
      <c r="F1547" s="67">
        <v>9</v>
      </c>
      <c r="G1547" s="71">
        <v>20.4</v>
      </c>
    </row>
    <row r="1548" spans="1:7">
      <c r="A1548" s="67" t="s">
        <v>218</v>
      </c>
      <c r="B1548" s="70">
        <v>46235</v>
      </c>
      <c r="C1548" s="69">
        <v>10</v>
      </c>
      <c r="D1548" s="69">
        <v>124</v>
      </c>
      <c r="E1548" s="69">
        <v>6</v>
      </c>
      <c r="F1548" s="67">
        <v>5</v>
      </c>
      <c r="G1548" s="71">
        <v>23.1</v>
      </c>
    </row>
    <row r="1549" spans="1:7">
      <c r="A1549" s="67" t="s">
        <v>220</v>
      </c>
      <c r="B1549" s="70">
        <v>46235</v>
      </c>
      <c r="C1549" s="69">
        <v>76</v>
      </c>
      <c r="D1549" s="69">
        <v>431</v>
      </c>
      <c r="E1549" s="69">
        <v>113</v>
      </c>
      <c r="F1549" s="67">
        <v>7</v>
      </c>
      <c r="G1549" s="71">
        <v>5.8</v>
      </c>
    </row>
    <row r="1550" spans="1:7">
      <c r="A1550" s="67" t="s">
        <v>222</v>
      </c>
      <c r="B1550" s="70">
        <v>46235</v>
      </c>
      <c r="C1550" s="69">
        <v>32</v>
      </c>
      <c r="D1550" s="69">
        <v>505</v>
      </c>
      <c r="E1550" s="69">
        <v>37</v>
      </c>
      <c r="F1550" s="67">
        <v>4</v>
      </c>
      <c r="G1550" s="71">
        <v>17.5</v>
      </c>
    </row>
    <row r="1551" spans="1:7">
      <c r="A1551" s="67" t="s">
        <v>224</v>
      </c>
      <c r="B1551" s="70">
        <v>46235</v>
      </c>
      <c r="C1551" s="69">
        <v>9</v>
      </c>
      <c r="D1551" s="69">
        <v>79</v>
      </c>
      <c r="E1551" s="69">
        <v>13</v>
      </c>
      <c r="F1551" s="67">
        <v>6</v>
      </c>
      <c r="G1551" s="71">
        <v>13.4</v>
      </c>
    </row>
    <row r="1552" spans="1:7">
      <c r="A1552" s="67" t="s">
        <v>228</v>
      </c>
      <c r="B1552" s="70">
        <v>46235</v>
      </c>
      <c r="C1552" s="69">
        <v>10</v>
      </c>
      <c r="D1552" s="69">
        <v>91</v>
      </c>
      <c r="E1552" s="69">
        <v>17</v>
      </c>
      <c r="F1552" s="67">
        <v>6</v>
      </c>
      <c r="G1552" s="71">
        <v>24.1</v>
      </c>
    </row>
    <row r="1553" spans="1:7">
      <c r="A1553" s="67" t="s">
        <v>230</v>
      </c>
      <c r="B1553" s="70">
        <v>46235</v>
      </c>
      <c r="C1553" s="69">
        <v>216</v>
      </c>
      <c r="D1553" s="69">
        <v>3711</v>
      </c>
      <c r="E1553" s="69">
        <v>533</v>
      </c>
      <c r="F1553" s="67">
        <v>8</v>
      </c>
      <c r="G1553" s="71">
        <v>27.9</v>
      </c>
    </row>
    <row r="1554" spans="1:7">
      <c r="A1554" s="67" t="s">
        <v>232</v>
      </c>
      <c r="B1554" s="70">
        <v>46235</v>
      </c>
      <c r="C1554" s="69">
        <v>164</v>
      </c>
      <c r="D1554" s="69">
        <v>1247</v>
      </c>
      <c r="E1554" s="69">
        <v>370</v>
      </c>
      <c r="F1554" s="67">
        <v>8</v>
      </c>
      <c r="G1554" s="71">
        <v>7.1</v>
      </c>
    </row>
    <row r="1555" spans="1:7">
      <c r="A1555" s="67" t="s">
        <v>234</v>
      </c>
      <c r="B1555" s="70">
        <v>46235</v>
      </c>
      <c r="C1555" s="69">
        <v>28</v>
      </c>
      <c r="D1555" s="69">
        <v>260</v>
      </c>
      <c r="E1555" s="69">
        <v>55</v>
      </c>
      <c r="F1555" s="67">
        <v>8</v>
      </c>
      <c r="G1555" s="71">
        <v>36.9</v>
      </c>
    </row>
    <row r="1556" spans="1:7">
      <c r="A1556" s="67" t="s">
        <v>236</v>
      </c>
      <c r="B1556" s="70">
        <v>46235</v>
      </c>
      <c r="C1556" s="69">
        <v>59</v>
      </c>
      <c r="D1556" s="69">
        <v>913</v>
      </c>
      <c r="E1556" s="69">
        <v>91</v>
      </c>
      <c r="F1556" s="67">
        <v>3</v>
      </c>
      <c r="G1556" s="71">
        <v>26.4</v>
      </c>
    </row>
    <row r="1557" spans="1:7">
      <c r="A1557" s="67" t="s">
        <v>238</v>
      </c>
      <c r="B1557" s="70">
        <v>46235</v>
      </c>
      <c r="C1557" s="69">
        <v>26</v>
      </c>
      <c r="D1557" s="69">
        <v>247</v>
      </c>
      <c r="E1557" s="69">
        <v>12</v>
      </c>
      <c r="F1557" s="67">
        <v>7</v>
      </c>
      <c r="G1557" s="71">
        <v>19.6</v>
      </c>
    </row>
    <row r="1558" spans="1:7">
      <c r="A1558" s="67" t="s">
        <v>240</v>
      </c>
      <c r="B1558" s="70">
        <v>46235</v>
      </c>
      <c r="C1558" s="69">
        <v>23</v>
      </c>
      <c r="D1558" s="69">
        <v>380</v>
      </c>
      <c r="E1558" s="69">
        <v>31</v>
      </c>
      <c r="F1558" s="67">
        <v>5</v>
      </c>
      <c r="G1558" s="71">
        <v>9.5</v>
      </c>
    </row>
    <row r="1559" spans="1:7">
      <c r="A1559" s="67" t="s">
        <v>242</v>
      </c>
      <c r="B1559" s="70">
        <v>46235</v>
      </c>
      <c r="C1559" s="69">
        <v>668</v>
      </c>
      <c r="D1559" s="69">
        <v>7652</v>
      </c>
      <c r="E1559" s="69">
        <v>531</v>
      </c>
      <c r="F1559" s="67">
        <v>8</v>
      </c>
      <c r="G1559" s="71">
        <v>17.3</v>
      </c>
    </row>
    <row r="1560" spans="1:7">
      <c r="A1560" s="67" t="s">
        <v>244</v>
      </c>
      <c r="B1560" s="70">
        <v>46235</v>
      </c>
      <c r="C1560" s="69">
        <v>29</v>
      </c>
      <c r="D1560" s="69">
        <v>475</v>
      </c>
      <c r="E1560" s="69">
        <v>23</v>
      </c>
      <c r="F1560" s="67">
        <v>6</v>
      </c>
      <c r="G1560" s="71">
        <v>37.6</v>
      </c>
    </row>
    <row r="1561" spans="1:7">
      <c r="A1561" s="67" t="s">
        <v>246</v>
      </c>
      <c r="B1561" s="70">
        <v>46235</v>
      </c>
      <c r="C1561" s="69">
        <v>57</v>
      </c>
      <c r="D1561" s="69">
        <v>430</v>
      </c>
      <c r="E1561" s="69">
        <v>93</v>
      </c>
      <c r="F1561" s="67">
        <v>9</v>
      </c>
      <c r="G1561" s="71">
        <v>18.3</v>
      </c>
    </row>
    <row r="1562" spans="1:7">
      <c r="A1562" s="67" t="s">
        <v>248</v>
      </c>
      <c r="B1562" s="70">
        <v>46235</v>
      </c>
      <c r="C1562" s="69">
        <v>30</v>
      </c>
      <c r="D1562" s="69">
        <v>338</v>
      </c>
      <c r="E1562" s="69">
        <v>35</v>
      </c>
      <c r="F1562" s="67">
        <v>6</v>
      </c>
      <c r="G1562" s="71">
        <v>18.2</v>
      </c>
    </row>
    <row r="1563" spans="1:7">
      <c r="A1563" s="67" t="s">
        <v>250</v>
      </c>
      <c r="B1563" s="70">
        <v>46235</v>
      </c>
      <c r="C1563" s="69">
        <v>176</v>
      </c>
      <c r="D1563" s="69">
        <v>2137</v>
      </c>
      <c r="E1563" s="69">
        <v>98</v>
      </c>
      <c r="F1563" s="67">
        <v>6</v>
      </c>
      <c r="G1563" s="71">
        <v>9.1</v>
      </c>
    </row>
    <row r="1564" spans="1:7">
      <c r="A1564" s="67" t="s">
        <v>252</v>
      </c>
      <c r="B1564" s="70">
        <v>46235</v>
      </c>
      <c r="C1564" s="69">
        <v>14</v>
      </c>
      <c r="D1564" s="69">
        <v>134</v>
      </c>
      <c r="E1564" s="69">
        <v>15</v>
      </c>
      <c r="F1564" s="67">
        <v>5</v>
      </c>
      <c r="G1564" s="71">
        <v>37.1</v>
      </c>
    </row>
    <row r="1565" spans="1:7">
      <c r="A1565" s="67" t="s">
        <v>254</v>
      </c>
      <c r="B1565" s="70">
        <v>46235</v>
      </c>
      <c r="C1565" s="69">
        <v>106</v>
      </c>
      <c r="D1565" s="69">
        <v>544</v>
      </c>
      <c r="E1565" s="69">
        <v>128</v>
      </c>
      <c r="F1565" s="67">
        <v>6</v>
      </c>
      <c r="G1565" s="71">
        <v>31.3</v>
      </c>
    </row>
    <row r="1566" spans="1:7">
      <c r="A1566" s="67" t="s">
        <v>256</v>
      </c>
      <c r="B1566" s="70">
        <v>46235</v>
      </c>
      <c r="C1566" s="69">
        <v>186</v>
      </c>
      <c r="D1566" s="69">
        <v>1041</v>
      </c>
      <c r="E1566" s="69">
        <v>384</v>
      </c>
      <c r="F1566" s="67">
        <v>6</v>
      </c>
      <c r="G1566" s="71">
        <v>35.6</v>
      </c>
    </row>
    <row r="1567" spans="1:7">
      <c r="A1567" s="67" t="s">
        <v>258</v>
      </c>
      <c r="B1567" s="70">
        <v>46235</v>
      </c>
      <c r="C1567" s="69">
        <v>469</v>
      </c>
      <c r="D1567" s="69">
        <v>2690</v>
      </c>
      <c r="E1567" s="69">
        <v>593</v>
      </c>
      <c r="F1567" s="67">
        <v>5</v>
      </c>
      <c r="G1567" s="71">
        <v>14.9</v>
      </c>
    </row>
    <row r="1568" spans="1:7">
      <c r="A1568" s="67" t="s">
        <v>260</v>
      </c>
      <c r="B1568" s="70">
        <v>46235</v>
      </c>
      <c r="C1568" s="69">
        <v>805</v>
      </c>
      <c r="D1568" s="69">
        <v>13343</v>
      </c>
      <c r="E1568" s="69">
        <v>2009</v>
      </c>
      <c r="F1568" s="67">
        <v>7</v>
      </c>
      <c r="G1568" s="71">
        <v>9.5</v>
      </c>
    </row>
    <row r="1569" spans="1:7">
      <c r="A1569" s="67" t="s">
        <v>262</v>
      </c>
      <c r="B1569" s="70">
        <v>46235</v>
      </c>
      <c r="C1569" s="69">
        <v>59</v>
      </c>
      <c r="D1569" s="69">
        <v>799</v>
      </c>
      <c r="E1569" s="69">
        <v>28</v>
      </c>
      <c r="F1569" s="67">
        <v>9</v>
      </c>
      <c r="G1569" s="71">
        <v>37.8</v>
      </c>
    </row>
    <row r="1570" spans="1:7">
      <c r="A1570" s="67" t="s">
        <v>264</v>
      </c>
      <c r="B1570" s="70">
        <v>46235</v>
      </c>
      <c r="C1570" s="69">
        <v>730</v>
      </c>
      <c r="D1570" s="69">
        <v>11369</v>
      </c>
      <c r="E1570" s="69">
        <v>1661</v>
      </c>
      <c r="F1570" s="67">
        <v>7</v>
      </c>
      <c r="G1570" s="71">
        <v>35.1</v>
      </c>
    </row>
    <row r="1571" spans="1:7">
      <c r="A1571" s="67" t="s">
        <v>266</v>
      </c>
      <c r="B1571" s="70">
        <v>46235</v>
      </c>
      <c r="C1571" s="69">
        <v>58</v>
      </c>
      <c r="D1571" s="69">
        <v>567</v>
      </c>
      <c r="E1571" s="69">
        <v>88</v>
      </c>
      <c r="F1571" s="67">
        <v>5</v>
      </c>
      <c r="G1571" s="71">
        <v>35.4</v>
      </c>
    </row>
    <row r="1572" spans="1:7">
      <c r="A1572" s="67" t="s">
        <v>268</v>
      </c>
      <c r="B1572" s="70">
        <v>46235</v>
      </c>
      <c r="C1572" s="69">
        <v>14</v>
      </c>
      <c r="D1572" s="69">
        <v>128</v>
      </c>
      <c r="E1572" s="69">
        <v>21</v>
      </c>
      <c r="F1572" s="67">
        <v>4</v>
      </c>
      <c r="G1572" s="71">
        <v>8.699999999999999</v>
      </c>
    </row>
    <row r="1573" spans="1:7">
      <c r="A1573" s="67" t="s">
        <v>270</v>
      </c>
      <c r="B1573" s="70">
        <v>46235</v>
      </c>
      <c r="C1573" s="69">
        <v>43</v>
      </c>
      <c r="D1573" s="69">
        <v>746</v>
      </c>
      <c r="E1573" s="69">
        <v>59</v>
      </c>
      <c r="F1573" s="67">
        <v>8</v>
      </c>
      <c r="G1573" s="71">
        <v>7.7</v>
      </c>
    </row>
    <row r="1574" spans="1:7">
      <c r="A1574" s="67" t="s">
        <v>272</v>
      </c>
      <c r="B1574" s="70">
        <v>46235</v>
      </c>
      <c r="C1574" s="69">
        <v>31</v>
      </c>
      <c r="D1574" s="69">
        <v>365</v>
      </c>
      <c r="E1574" s="69">
        <v>30</v>
      </c>
      <c r="F1574" s="67">
        <v>7</v>
      </c>
      <c r="G1574" s="71">
        <v>24.4</v>
      </c>
    </row>
    <row r="1575" spans="1:7">
      <c r="A1575" s="67" t="s">
        <v>274</v>
      </c>
      <c r="B1575" s="70">
        <v>46235</v>
      </c>
      <c r="C1575" s="69">
        <v>329</v>
      </c>
      <c r="D1575" s="69">
        <v>5015</v>
      </c>
      <c r="E1575" s="69">
        <v>125</v>
      </c>
      <c r="F1575" s="67">
        <v>5</v>
      </c>
      <c r="G1575" s="71">
        <v>13.2</v>
      </c>
    </row>
    <row r="1576" spans="1:7">
      <c r="A1576" s="67" t="s">
        <v>276</v>
      </c>
      <c r="B1576" s="70">
        <v>46235</v>
      </c>
      <c r="C1576" s="69">
        <v>137</v>
      </c>
      <c r="D1576" s="69">
        <v>2382</v>
      </c>
      <c r="E1576" s="69">
        <v>48</v>
      </c>
      <c r="F1576" s="67">
        <v>6</v>
      </c>
      <c r="G1576" s="71">
        <v>34.3</v>
      </c>
    </row>
    <row r="1577" spans="1:7">
      <c r="A1577" s="67" t="s">
        <v>278</v>
      </c>
      <c r="B1577" s="70">
        <v>46235</v>
      </c>
      <c r="C1577" s="69">
        <v>30</v>
      </c>
      <c r="D1577" s="69">
        <v>267</v>
      </c>
      <c r="E1577" s="69">
        <v>73</v>
      </c>
      <c r="F1577" s="67">
        <v>6</v>
      </c>
      <c r="G1577" s="71">
        <v>7.1</v>
      </c>
    </row>
    <row r="1578" spans="1:7">
      <c r="A1578" s="67" t="s">
        <v>280</v>
      </c>
      <c r="B1578" s="70">
        <v>46235</v>
      </c>
      <c r="C1578" s="69">
        <v>16</v>
      </c>
      <c r="D1578" s="69">
        <v>84</v>
      </c>
      <c r="E1578" s="69">
        <v>18</v>
      </c>
      <c r="F1578" s="67">
        <v>6</v>
      </c>
      <c r="G1578" s="71">
        <v>20.5</v>
      </c>
    </row>
    <row r="1579" spans="1:7">
      <c r="A1579" s="67" t="s">
        <v>282</v>
      </c>
      <c r="B1579" s="70">
        <v>46235</v>
      </c>
      <c r="C1579" s="69">
        <v>38</v>
      </c>
      <c r="D1579" s="69">
        <v>516</v>
      </c>
      <c r="E1579" s="69">
        <v>56</v>
      </c>
      <c r="F1579" s="67">
        <v>9</v>
      </c>
      <c r="G1579" s="71">
        <v>28.1</v>
      </c>
    </row>
    <row r="1580" spans="1:7">
      <c r="A1580" s="67" t="s">
        <v>284</v>
      </c>
      <c r="B1580" s="70">
        <v>46235</v>
      </c>
      <c r="C1580" s="69">
        <v>158</v>
      </c>
      <c r="D1580" s="69">
        <v>2715</v>
      </c>
      <c r="E1580" s="69">
        <v>364</v>
      </c>
      <c r="F1580" s="67">
        <v>6</v>
      </c>
      <c r="G1580" s="71">
        <v>31.4</v>
      </c>
    </row>
    <row r="1581" spans="1:7">
      <c r="A1581" s="67" t="s">
        <v>286</v>
      </c>
      <c r="B1581" s="70">
        <v>46235</v>
      </c>
      <c r="C1581" s="69">
        <v>19</v>
      </c>
      <c r="D1581" s="69">
        <v>160</v>
      </c>
      <c r="E1581" s="69">
        <v>37</v>
      </c>
      <c r="F1581" s="67">
        <v>7</v>
      </c>
      <c r="G1581" s="71">
        <v>12.6</v>
      </c>
    </row>
    <row r="1582" spans="1:7">
      <c r="A1582" s="67" t="s">
        <v>288</v>
      </c>
      <c r="B1582" s="70">
        <v>46235</v>
      </c>
      <c r="C1582" s="69">
        <v>213</v>
      </c>
      <c r="D1582" s="69">
        <v>2786</v>
      </c>
      <c r="E1582" s="69">
        <v>470</v>
      </c>
      <c r="F1582" s="67">
        <v>7</v>
      </c>
      <c r="G1582" s="71">
        <v>32.4</v>
      </c>
    </row>
    <row r="1583" spans="1:7">
      <c r="A1583" s="67" t="s">
        <v>290</v>
      </c>
      <c r="B1583" s="70">
        <v>46235</v>
      </c>
      <c r="C1583" s="69">
        <v>242</v>
      </c>
      <c r="D1583" s="69">
        <v>3750</v>
      </c>
      <c r="E1583" s="69">
        <v>367</v>
      </c>
      <c r="F1583" s="67">
        <v>7</v>
      </c>
      <c r="G1583" s="71">
        <v>38.3</v>
      </c>
    </row>
    <row r="1584" spans="1:7">
      <c r="A1584" s="67" t="s">
        <v>292</v>
      </c>
      <c r="B1584" s="70">
        <v>46235</v>
      </c>
      <c r="C1584" s="69">
        <v>69</v>
      </c>
      <c r="D1584" s="69">
        <v>1234</v>
      </c>
      <c r="E1584" s="69">
        <v>102</v>
      </c>
      <c r="F1584" s="67">
        <v>3</v>
      </c>
      <c r="G1584" s="71">
        <v>19.8</v>
      </c>
    </row>
    <row r="1585" spans="1:7">
      <c r="A1585" s="67" t="s">
        <v>294</v>
      </c>
      <c r="B1585" s="70">
        <v>46235</v>
      </c>
      <c r="C1585" s="69">
        <v>31</v>
      </c>
      <c r="D1585" s="69">
        <v>260</v>
      </c>
      <c r="E1585" s="69">
        <v>75</v>
      </c>
      <c r="F1585" s="67">
        <v>5</v>
      </c>
      <c r="G1585" s="71">
        <v>21.4</v>
      </c>
    </row>
    <row r="1586" spans="1:7">
      <c r="A1586" s="67" t="s">
        <v>296</v>
      </c>
      <c r="B1586" s="70">
        <v>46235</v>
      </c>
      <c r="C1586" s="69">
        <v>263</v>
      </c>
      <c r="D1586" s="69">
        <v>4418</v>
      </c>
      <c r="E1586" s="69">
        <v>241</v>
      </c>
      <c r="F1586" s="67">
        <v>6</v>
      </c>
      <c r="G1586" s="71">
        <v>28.9</v>
      </c>
    </row>
    <row r="1587" spans="1:7">
      <c r="A1587" s="67" t="s">
        <v>298</v>
      </c>
      <c r="B1587" s="70">
        <v>46235</v>
      </c>
      <c r="C1587" s="69">
        <v>220</v>
      </c>
      <c r="D1587" s="69">
        <v>3306</v>
      </c>
      <c r="E1587" s="69">
        <v>209</v>
      </c>
      <c r="F1587" s="67">
        <v>9</v>
      </c>
      <c r="G1587" s="71">
        <v>25</v>
      </c>
    </row>
    <row r="1588" spans="1:7">
      <c r="A1588" s="67" t="s">
        <v>300</v>
      </c>
      <c r="B1588" s="70">
        <v>46235</v>
      </c>
      <c r="C1588" s="69">
        <v>50</v>
      </c>
      <c r="D1588" s="69">
        <v>425</v>
      </c>
      <c r="E1588" s="69">
        <v>43</v>
      </c>
      <c r="F1588" s="67">
        <v>3</v>
      </c>
      <c r="G1588" s="71">
        <v>27.9</v>
      </c>
    </row>
    <row r="1589" spans="1:7">
      <c r="A1589" s="67" t="s">
        <v>302</v>
      </c>
      <c r="B1589" s="70">
        <v>46235</v>
      </c>
      <c r="C1589" s="69">
        <v>20</v>
      </c>
      <c r="D1589" s="69">
        <v>180</v>
      </c>
      <c r="E1589" s="69">
        <v>35</v>
      </c>
      <c r="F1589" s="67">
        <v>6</v>
      </c>
      <c r="G1589" s="71">
        <v>34.3</v>
      </c>
    </row>
    <row r="1590" spans="1:7">
      <c r="A1590" s="67" t="s">
        <v>306</v>
      </c>
      <c r="B1590" s="70">
        <v>46235</v>
      </c>
      <c r="C1590" s="69">
        <v>93</v>
      </c>
      <c r="D1590" s="69">
        <v>486</v>
      </c>
      <c r="E1590" s="69">
        <v>30</v>
      </c>
      <c r="F1590" s="67">
        <v>5</v>
      </c>
      <c r="G1590" s="71">
        <v>6.3</v>
      </c>
    </row>
    <row r="1591" spans="1:7">
      <c r="A1591" s="67" t="s">
        <v>308</v>
      </c>
      <c r="B1591" s="70">
        <v>46235</v>
      </c>
      <c r="C1591" s="69">
        <v>105</v>
      </c>
      <c r="D1591" s="69">
        <v>1285</v>
      </c>
      <c r="E1591" s="69">
        <v>126</v>
      </c>
      <c r="F1591" s="67">
        <v>5</v>
      </c>
      <c r="G1591" s="71">
        <v>25.3</v>
      </c>
    </row>
    <row r="1592" spans="1:7">
      <c r="A1592" s="67" t="s">
        <v>310</v>
      </c>
      <c r="B1592" s="70">
        <v>46235</v>
      </c>
      <c r="C1592" s="69">
        <v>165</v>
      </c>
      <c r="D1592" s="69">
        <v>2008</v>
      </c>
      <c r="E1592" s="69">
        <v>396</v>
      </c>
      <c r="F1592" s="67">
        <v>7</v>
      </c>
      <c r="G1592" s="71">
        <v>20.4</v>
      </c>
    </row>
    <row r="1593" spans="1:7">
      <c r="A1593" s="67" t="s">
        <v>312</v>
      </c>
      <c r="B1593" s="70">
        <v>46235</v>
      </c>
      <c r="C1593" s="69">
        <v>178</v>
      </c>
      <c r="D1593" s="69">
        <v>1491</v>
      </c>
      <c r="E1593" s="69">
        <v>247</v>
      </c>
      <c r="F1593" s="67">
        <v>8</v>
      </c>
      <c r="G1593" s="71">
        <v>13</v>
      </c>
    </row>
    <row r="1594" spans="1:7">
      <c r="A1594" s="67" t="s">
        <v>314</v>
      </c>
      <c r="B1594" s="70">
        <v>46235</v>
      </c>
      <c r="C1594" s="69">
        <v>9</v>
      </c>
      <c r="D1594" s="69">
        <v>122</v>
      </c>
      <c r="E1594" s="69">
        <v>7</v>
      </c>
      <c r="F1594" s="67">
        <v>6</v>
      </c>
      <c r="G1594" s="71">
        <v>27.9</v>
      </c>
    </row>
    <row r="1595" spans="1:7">
      <c r="A1595" s="67" t="s">
        <v>316</v>
      </c>
      <c r="B1595" s="70">
        <v>46235</v>
      </c>
      <c r="C1595" s="69">
        <v>11</v>
      </c>
      <c r="D1595" s="69">
        <v>118</v>
      </c>
      <c r="E1595" s="69">
        <v>11</v>
      </c>
      <c r="F1595" s="67">
        <v>5</v>
      </c>
      <c r="G1595" s="71">
        <v>24.4</v>
      </c>
    </row>
    <row r="1596" spans="1:7">
      <c r="A1596" s="67" t="s">
        <v>318</v>
      </c>
      <c r="B1596" s="70">
        <v>46235</v>
      </c>
      <c r="C1596" s="69">
        <v>145</v>
      </c>
      <c r="D1596" s="69">
        <v>2595</v>
      </c>
      <c r="E1596" s="69">
        <v>355</v>
      </c>
      <c r="F1596" s="67">
        <v>8</v>
      </c>
      <c r="G1596" s="71">
        <v>5.6</v>
      </c>
    </row>
    <row r="1597" spans="1:7">
      <c r="A1597" s="67" t="s">
        <v>322</v>
      </c>
      <c r="B1597" s="70">
        <v>46235</v>
      </c>
      <c r="C1597" s="69">
        <v>65</v>
      </c>
      <c r="D1597" s="69">
        <v>782</v>
      </c>
      <c r="E1597" s="69">
        <v>26</v>
      </c>
      <c r="F1597" s="67">
        <v>4</v>
      </c>
      <c r="G1597" s="71">
        <v>13.2</v>
      </c>
    </row>
    <row r="1598" spans="1:7">
      <c r="A1598" s="67" t="s">
        <v>324</v>
      </c>
      <c r="B1598" s="70">
        <v>46235</v>
      </c>
      <c r="C1598" s="69">
        <v>860</v>
      </c>
      <c r="D1598" s="69">
        <v>5565</v>
      </c>
      <c r="E1598" s="69">
        <v>405</v>
      </c>
      <c r="F1598" s="67">
        <v>7</v>
      </c>
      <c r="G1598" s="71">
        <v>12.1</v>
      </c>
    </row>
    <row r="1599" spans="1:7">
      <c r="A1599" s="67" t="s">
        <v>326</v>
      </c>
      <c r="B1599" s="70">
        <v>46235</v>
      </c>
      <c r="C1599" s="69">
        <v>34</v>
      </c>
      <c r="D1599" s="69">
        <v>471</v>
      </c>
      <c r="E1599" s="69">
        <v>16</v>
      </c>
      <c r="F1599" s="67">
        <v>7</v>
      </c>
      <c r="G1599" s="71">
        <v>19.9</v>
      </c>
    </row>
    <row r="1600" spans="1:7">
      <c r="A1600" s="67" t="s">
        <v>328</v>
      </c>
      <c r="B1600" s="70">
        <v>46235</v>
      </c>
      <c r="C1600" s="69">
        <v>150</v>
      </c>
      <c r="D1600" s="69">
        <v>1934</v>
      </c>
      <c r="E1600" s="69">
        <v>164</v>
      </c>
      <c r="F1600" s="67">
        <v>6</v>
      </c>
      <c r="G1600" s="71">
        <v>39.1</v>
      </c>
    </row>
    <row r="1601" spans="1:7">
      <c r="A1601" s="67" t="s">
        <v>330</v>
      </c>
      <c r="B1601" s="70">
        <v>46235</v>
      </c>
      <c r="C1601" s="69">
        <v>44</v>
      </c>
      <c r="D1601" s="69">
        <v>759</v>
      </c>
      <c r="E1601" s="69">
        <v>42</v>
      </c>
      <c r="F1601" s="67">
        <v>7</v>
      </c>
      <c r="G1601" s="71">
        <v>6.1</v>
      </c>
    </row>
    <row r="1602" spans="1:7">
      <c r="A1602" s="67" t="s">
        <v>332</v>
      </c>
      <c r="B1602" s="70">
        <v>46235</v>
      </c>
      <c r="C1602" s="69">
        <v>38</v>
      </c>
      <c r="D1602" s="69">
        <v>264</v>
      </c>
      <c r="E1602" s="69">
        <v>61</v>
      </c>
      <c r="F1602" s="67">
        <v>9</v>
      </c>
      <c r="G1602" s="71">
        <v>8.699999999999999</v>
      </c>
    </row>
    <row r="1603" spans="1:7">
      <c r="A1603" s="67" t="s">
        <v>334</v>
      </c>
      <c r="B1603" s="70">
        <v>46235</v>
      </c>
      <c r="C1603" s="69">
        <v>286</v>
      </c>
      <c r="D1603" s="69">
        <v>4091</v>
      </c>
      <c r="E1603" s="69">
        <v>553</v>
      </c>
      <c r="F1603" s="67">
        <v>5</v>
      </c>
      <c r="G1603" s="71">
        <v>32.4</v>
      </c>
    </row>
    <row r="1604" spans="1:7">
      <c r="A1604" s="67" t="s">
        <v>336</v>
      </c>
      <c r="B1604" s="70">
        <v>46235</v>
      </c>
      <c r="C1604" s="69">
        <v>790</v>
      </c>
      <c r="D1604" s="69">
        <v>7841</v>
      </c>
      <c r="E1604" s="69">
        <v>1250</v>
      </c>
      <c r="F1604" s="67">
        <v>4</v>
      </c>
      <c r="G1604" s="71">
        <v>28</v>
      </c>
    </row>
    <row r="1605" spans="1:7">
      <c r="A1605" s="67" t="s">
        <v>338</v>
      </c>
      <c r="B1605" s="70">
        <v>46235</v>
      </c>
      <c r="C1605" s="69">
        <v>32</v>
      </c>
      <c r="D1605" s="69">
        <v>430</v>
      </c>
      <c r="E1605" s="69">
        <v>77</v>
      </c>
      <c r="F1605" s="67">
        <v>6</v>
      </c>
      <c r="G1605" s="71">
        <v>38.6</v>
      </c>
    </row>
    <row r="1606" spans="1:7">
      <c r="A1606" s="67" t="s">
        <v>340</v>
      </c>
      <c r="B1606" s="70">
        <v>46235</v>
      </c>
      <c r="C1606" s="69">
        <v>94</v>
      </c>
      <c r="D1606" s="69">
        <v>1689</v>
      </c>
      <c r="E1606" s="69">
        <v>159</v>
      </c>
      <c r="F1606" s="67">
        <v>7</v>
      </c>
      <c r="G1606" s="71">
        <v>30.7</v>
      </c>
    </row>
    <row r="1607" spans="1:7">
      <c r="A1607" s="67" t="s">
        <v>342</v>
      </c>
      <c r="B1607" s="70">
        <v>46235</v>
      </c>
      <c r="C1607" s="69">
        <v>10</v>
      </c>
      <c r="D1607" s="69">
        <v>164</v>
      </c>
      <c r="E1607" s="69">
        <v>21</v>
      </c>
      <c r="F1607" s="67">
        <v>7</v>
      </c>
      <c r="G1607" s="71">
        <v>26.2</v>
      </c>
    </row>
    <row r="1608" spans="1:7">
      <c r="A1608" s="67" t="s">
        <v>344</v>
      </c>
      <c r="B1608" s="70">
        <v>46235</v>
      </c>
      <c r="C1608" s="69">
        <v>14</v>
      </c>
      <c r="D1608" s="69">
        <v>128</v>
      </c>
      <c r="E1608" s="69">
        <v>10</v>
      </c>
      <c r="F1608" s="67">
        <v>4</v>
      </c>
      <c r="G1608" s="71">
        <v>25.1</v>
      </c>
    </row>
    <row r="1609" spans="1:7">
      <c r="A1609" s="67" t="s">
        <v>346</v>
      </c>
      <c r="B1609" s="70">
        <v>46235</v>
      </c>
      <c r="C1609" s="69">
        <v>182</v>
      </c>
      <c r="D1609" s="69">
        <v>2800</v>
      </c>
      <c r="E1609" s="69">
        <v>446</v>
      </c>
      <c r="F1609" s="67">
        <v>3</v>
      </c>
      <c r="G1609" s="71">
        <v>13.1</v>
      </c>
    </row>
    <row r="1610" spans="1:7">
      <c r="A1610" s="67" t="s">
        <v>23</v>
      </c>
      <c r="B1610" s="70">
        <v>46266</v>
      </c>
      <c r="C1610" s="69">
        <v>60</v>
      </c>
      <c r="D1610" s="69">
        <v>841</v>
      </c>
      <c r="E1610" s="69">
        <v>77</v>
      </c>
      <c r="F1610" s="67">
        <v>9</v>
      </c>
      <c r="G1610" s="71">
        <v>38.5</v>
      </c>
    </row>
    <row r="1611" spans="1:7">
      <c r="A1611" s="67" t="s">
        <v>30</v>
      </c>
      <c r="B1611" s="70">
        <v>46266</v>
      </c>
      <c r="C1611" s="69">
        <v>242</v>
      </c>
      <c r="D1611" s="69">
        <v>2973</v>
      </c>
      <c r="E1611" s="69">
        <v>113</v>
      </c>
      <c r="F1611" s="67">
        <v>8</v>
      </c>
      <c r="G1611" s="71">
        <v>17.7</v>
      </c>
    </row>
    <row r="1612" spans="1:7">
      <c r="A1612" s="67" t="s">
        <v>35</v>
      </c>
      <c r="B1612" s="70">
        <v>46266</v>
      </c>
      <c r="C1612" s="69">
        <v>12</v>
      </c>
      <c r="D1612" s="69">
        <v>183</v>
      </c>
      <c r="E1612" s="69">
        <v>10</v>
      </c>
      <c r="F1612" s="67">
        <v>5</v>
      </c>
      <c r="G1612" s="71">
        <v>34</v>
      </c>
    </row>
    <row r="1613" spans="1:7">
      <c r="A1613" s="67" t="s">
        <v>41</v>
      </c>
      <c r="B1613" s="70">
        <v>46266</v>
      </c>
      <c r="C1613" s="69">
        <v>80</v>
      </c>
      <c r="D1613" s="69">
        <v>655</v>
      </c>
      <c r="E1613" s="69">
        <v>184</v>
      </c>
      <c r="F1613" s="67">
        <v>5</v>
      </c>
      <c r="G1613" s="71">
        <v>28.6</v>
      </c>
    </row>
    <row r="1614" spans="1:7">
      <c r="A1614" s="67" t="s">
        <v>44</v>
      </c>
      <c r="B1614" s="70">
        <v>46266</v>
      </c>
      <c r="C1614" s="69">
        <v>57</v>
      </c>
      <c r="D1614" s="69">
        <v>875</v>
      </c>
      <c r="E1614" s="69">
        <v>60</v>
      </c>
      <c r="F1614" s="67">
        <v>5</v>
      </c>
      <c r="G1614" s="71">
        <v>9.1</v>
      </c>
    </row>
    <row r="1615" spans="1:7">
      <c r="A1615" s="67" t="s">
        <v>47</v>
      </c>
      <c r="B1615" s="70">
        <v>46266</v>
      </c>
      <c r="C1615" s="69">
        <v>10</v>
      </c>
      <c r="D1615" s="69">
        <v>69</v>
      </c>
      <c r="E1615" s="69">
        <v>14</v>
      </c>
      <c r="F1615" s="67">
        <v>5</v>
      </c>
      <c r="G1615" s="71">
        <v>35.9</v>
      </c>
    </row>
    <row r="1616" spans="1:7">
      <c r="A1616" s="67" t="s">
        <v>51</v>
      </c>
      <c r="B1616" s="70">
        <v>46266</v>
      </c>
      <c r="C1616" s="69">
        <v>1000</v>
      </c>
      <c r="D1616" s="69">
        <v>10903</v>
      </c>
      <c r="E1616" s="69">
        <v>667</v>
      </c>
      <c r="F1616" s="67">
        <v>8</v>
      </c>
      <c r="G1616" s="71">
        <v>19.7</v>
      </c>
    </row>
    <row r="1617" spans="1:7">
      <c r="A1617" s="67" t="s">
        <v>54</v>
      </c>
      <c r="B1617" s="70">
        <v>46266</v>
      </c>
      <c r="C1617" s="69">
        <v>4</v>
      </c>
      <c r="D1617" s="69">
        <v>44</v>
      </c>
      <c r="E1617" s="69">
        <v>2</v>
      </c>
      <c r="F1617" s="67">
        <v>3</v>
      </c>
      <c r="G1617" s="71">
        <v>35.4</v>
      </c>
    </row>
    <row r="1618" spans="1:7">
      <c r="A1618" s="67" t="s">
        <v>57</v>
      </c>
      <c r="B1618" s="70">
        <v>46266</v>
      </c>
      <c r="C1618" s="69">
        <v>869</v>
      </c>
      <c r="D1618" s="69">
        <v>6231</v>
      </c>
      <c r="E1618" s="69">
        <v>400</v>
      </c>
      <c r="F1618" s="67">
        <v>7</v>
      </c>
      <c r="G1618" s="71">
        <v>23</v>
      </c>
    </row>
    <row r="1619" spans="1:7">
      <c r="A1619" s="67" t="s">
        <v>59</v>
      </c>
      <c r="B1619" s="70">
        <v>46266</v>
      </c>
      <c r="C1619" s="69">
        <v>75</v>
      </c>
      <c r="D1619" s="69">
        <v>787</v>
      </c>
      <c r="E1619" s="69">
        <v>44</v>
      </c>
      <c r="F1619" s="67">
        <v>4</v>
      </c>
      <c r="G1619" s="71">
        <v>29.4</v>
      </c>
    </row>
    <row r="1620" spans="1:7">
      <c r="A1620" s="67" t="s">
        <v>63</v>
      </c>
      <c r="B1620" s="70">
        <v>46266</v>
      </c>
      <c r="C1620" s="69">
        <v>29</v>
      </c>
      <c r="D1620" s="69">
        <v>272</v>
      </c>
      <c r="E1620" s="69">
        <v>61</v>
      </c>
      <c r="F1620" s="67">
        <v>5</v>
      </c>
      <c r="G1620" s="71">
        <v>16.8</v>
      </c>
    </row>
    <row r="1621" spans="1:7">
      <c r="A1621" s="67" t="s">
        <v>66</v>
      </c>
      <c r="B1621" s="70">
        <v>46266</v>
      </c>
      <c r="C1621" s="69">
        <v>17</v>
      </c>
      <c r="D1621" s="69">
        <v>245</v>
      </c>
      <c r="E1621" s="69">
        <v>8</v>
      </c>
      <c r="F1621" s="67">
        <v>5</v>
      </c>
      <c r="G1621" s="71">
        <v>37.2</v>
      </c>
    </row>
    <row r="1622" spans="1:7">
      <c r="A1622" s="67" t="s">
        <v>69</v>
      </c>
      <c r="B1622" s="70">
        <v>46266</v>
      </c>
      <c r="C1622" s="69">
        <v>13</v>
      </c>
      <c r="D1622" s="69">
        <v>172</v>
      </c>
      <c r="E1622" s="69">
        <v>25</v>
      </c>
      <c r="F1622" s="67">
        <v>5</v>
      </c>
      <c r="G1622" s="71">
        <v>20.2</v>
      </c>
    </row>
    <row r="1623" spans="1:7">
      <c r="A1623" s="67" t="s">
        <v>71</v>
      </c>
      <c r="B1623" s="70">
        <v>46266</v>
      </c>
      <c r="C1623" s="69">
        <v>55</v>
      </c>
      <c r="D1623" s="69">
        <v>799</v>
      </c>
      <c r="E1623" s="69">
        <v>104</v>
      </c>
      <c r="F1623" s="67">
        <v>6</v>
      </c>
      <c r="G1623" s="71">
        <v>25.6</v>
      </c>
    </row>
    <row r="1624" spans="1:7">
      <c r="A1624" s="67" t="s">
        <v>75</v>
      </c>
      <c r="B1624" s="70">
        <v>46266</v>
      </c>
      <c r="C1624" s="69">
        <v>259</v>
      </c>
      <c r="D1624" s="69">
        <v>1808</v>
      </c>
      <c r="E1624" s="69">
        <v>82</v>
      </c>
      <c r="F1624" s="67">
        <v>8</v>
      </c>
      <c r="G1624" s="71">
        <v>25.8</v>
      </c>
    </row>
    <row r="1625" spans="1:7">
      <c r="A1625" s="67" t="s">
        <v>78</v>
      </c>
      <c r="B1625" s="70">
        <v>46266</v>
      </c>
      <c r="C1625" s="69">
        <v>676</v>
      </c>
      <c r="D1625" s="69">
        <v>6196</v>
      </c>
      <c r="E1625" s="69">
        <v>466</v>
      </c>
      <c r="F1625" s="67">
        <v>5</v>
      </c>
      <c r="G1625" s="71">
        <v>30.3</v>
      </c>
    </row>
    <row r="1626" spans="1:7">
      <c r="A1626" s="67" t="s">
        <v>81</v>
      </c>
      <c r="B1626" s="70">
        <v>46266</v>
      </c>
      <c r="C1626" s="69">
        <v>8</v>
      </c>
      <c r="D1626" s="69">
        <v>64</v>
      </c>
      <c r="E1626" s="69">
        <v>11</v>
      </c>
      <c r="F1626" s="67">
        <v>9</v>
      </c>
      <c r="G1626" s="71">
        <v>6.7</v>
      </c>
    </row>
    <row r="1627" spans="1:7">
      <c r="A1627" s="67" t="s">
        <v>83</v>
      </c>
      <c r="B1627" s="70">
        <v>46266</v>
      </c>
      <c r="C1627" s="69">
        <v>9</v>
      </c>
      <c r="D1627" s="69">
        <v>104</v>
      </c>
      <c r="E1627" s="69">
        <v>21</v>
      </c>
      <c r="F1627" s="67">
        <v>6</v>
      </c>
      <c r="G1627" s="71">
        <v>15</v>
      </c>
    </row>
    <row r="1628" spans="1:7">
      <c r="A1628" s="67" t="s">
        <v>85</v>
      </c>
      <c r="B1628" s="70">
        <v>46266</v>
      </c>
      <c r="C1628" s="69">
        <v>208</v>
      </c>
      <c r="D1628" s="69">
        <v>3618</v>
      </c>
      <c r="E1628" s="69">
        <v>82</v>
      </c>
      <c r="F1628" s="67">
        <v>10</v>
      </c>
      <c r="G1628" s="71">
        <v>38.1</v>
      </c>
    </row>
    <row r="1629" spans="1:7">
      <c r="A1629" s="67" t="s">
        <v>87</v>
      </c>
      <c r="B1629" s="70">
        <v>46266</v>
      </c>
      <c r="C1629" s="69">
        <v>14</v>
      </c>
      <c r="D1629" s="69">
        <v>148</v>
      </c>
      <c r="E1629" s="69">
        <v>13</v>
      </c>
      <c r="F1629" s="67">
        <v>5</v>
      </c>
      <c r="G1629" s="71">
        <v>35.8</v>
      </c>
    </row>
    <row r="1630" spans="1:7">
      <c r="A1630" s="67" t="s">
        <v>90</v>
      </c>
      <c r="B1630" s="70">
        <v>46266</v>
      </c>
      <c r="C1630" s="69">
        <v>61</v>
      </c>
      <c r="D1630" s="69">
        <v>436</v>
      </c>
      <c r="E1630" s="69">
        <v>57</v>
      </c>
      <c r="F1630" s="67">
        <v>5</v>
      </c>
      <c r="G1630" s="71">
        <v>22</v>
      </c>
    </row>
    <row r="1631" spans="1:7">
      <c r="A1631" s="67" t="s">
        <v>94</v>
      </c>
      <c r="B1631" s="70">
        <v>46266</v>
      </c>
      <c r="C1631" s="69">
        <v>38</v>
      </c>
      <c r="D1631" s="69">
        <v>654</v>
      </c>
      <c r="E1631" s="69">
        <v>33</v>
      </c>
      <c r="F1631" s="67">
        <v>7</v>
      </c>
      <c r="G1631" s="71">
        <v>26.2</v>
      </c>
    </row>
    <row r="1632" spans="1:7">
      <c r="A1632" s="67" t="s">
        <v>96</v>
      </c>
      <c r="B1632" s="70">
        <v>46266</v>
      </c>
      <c r="C1632" s="69">
        <v>746</v>
      </c>
      <c r="D1632" s="69">
        <v>6432</v>
      </c>
      <c r="E1632" s="69">
        <v>381</v>
      </c>
      <c r="F1632" s="67">
        <v>5</v>
      </c>
      <c r="G1632" s="71">
        <v>24.3</v>
      </c>
    </row>
    <row r="1633" spans="1:7">
      <c r="A1633" s="67" t="s">
        <v>98</v>
      </c>
      <c r="B1633" s="70">
        <v>46266</v>
      </c>
      <c r="C1633" s="69">
        <v>917</v>
      </c>
      <c r="D1633" s="69">
        <v>11718</v>
      </c>
      <c r="E1633" s="69">
        <v>355</v>
      </c>
      <c r="F1633" s="67">
        <v>7</v>
      </c>
      <c r="G1633" s="71">
        <v>36.2</v>
      </c>
    </row>
    <row r="1634" spans="1:7">
      <c r="A1634" s="67" t="s">
        <v>100</v>
      </c>
      <c r="B1634" s="70">
        <v>46266</v>
      </c>
      <c r="C1634" s="69">
        <v>935</v>
      </c>
      <c r="D1634" s="69">
        <v>10611</v>
      </c>
      <c r="E1634" s="69">
        <v>1972</v>
      </c>
      <c r="F1634" s="67">
        <v>7</v>
      </c>
      <c r="G1634" s="71">
        <v>17.9</v>
      </c>
    </row>
    <row r="1635" spans="1:7">
      <c r="A1635" s="67" t="s">
        <v>104</v>
      </c>
      <c r="B1635" s="70">
        <v>46266</v>
      </c>
      <c r="C1635" s="69">
        <v>9</v>
      </c>
      <c r="D1635" s="69">
        <v>95</v>
      </c>
      <c r="E1635" s="69">
        <v>12</v>
      </c>
      <c r="F1635" s="67">
        <v>6</v>
      </c>
      <c r="G1635" s="71">
        <v>9.4</v>
      </c>
    </row>
    <row r="1636" spans="1:7">
      <c r="A1636" s="67" t="s">
        <v>106</v>
      </c>
      <c r="B1636" s="70">
        <v>46266</v>
      </c>
      <c r="C1636" s="69">
        <v>155</v>
      </c>
      <c r="D1636" s="69">
        <v>2218</v>
      </c>
      <c r="E1636" s="69">
        <v>360</v>
      </c>
      <c r="F1636" s="67">
        <v>6</v>
      </c>
      <c r="G1636" s="71">
        <v>9.199999999999999</v>
      </c>
    </row>
    <row r="1637" spans="1:7">
      <c r="A1637" s="67" t="s">
        <v>108</v>
      </c>
      <c r="B1637" s="70">
        <v>46266</v>
      </c>
      <c r="C1637" s="69">
        <v>33</v>
      </c>
      <c r="D1637" s="69">
        <v>202</v>
      </c>
      <c r="E1637" s="69">
        <v>20</v>
      </c>
      <c r="F1637" s="67">
        <v>5</v>
      </c>
      <c r="G1637" s="71">
        <v>14.7</v>
      </c>
    </row>
    <row r="1638" spans="1:7">
      <c r="A1638" s="67" t="s">
        <v>110</v>
      </c>
      <c r="B1638" s="70">
        <v>46266</v>
      </c>
      <c r="C1638" s="69">
        <v>78</v>
      </c>
      <c r="D1638" s="69">
        <v>1205</v>
      </c>
      <c r="E1638" s="69">
        <v>151</v>
      </c>
      <c r="F1638" s="67">
        <v>3</v>
      </c>
      <c r="G1638" s="71">
        <v>12.8</v>
      </c>
    </row>
    <row r="1639" spans="1:7">
      <c r="A1639" s="67" t="s">
        <v>112</v>
      </c>
      <c r="B1639" s="70">
        <v>46266</v>
      </c>
      <c r="C1639" s="69">
        <v>4</v>
      </c>
      <c r="D1639" s="69">
        <v>37</v>
      </c>
      <c r="E1639" s="69">
        <v>5</v>
      </c>
      <c r="F1639" s="67">
        <v>4</v>
      </c>
      <c r="G1639" s="71">
        <v>30.7</v>
      </c>
    </row>
    <row r="1640" spans="1:7">
      <c r="A1640" s="67" t="s">
        <v>114</v>
      </c>
      <c r="B1640" s="70">
        <v>46266</v>
      </c>
      <c r="C1640" s="69">
        <v>146</v>
      </c>
      <c r="D1640" s="69">
        <v>2036</v>
      </c>
      <c r="E1640" s="69">
        <v>330</v>
      </c>
      <c r="F1640" s="67">
        <v>8</v>
      </c>
      <c r="G1640" s="71">
        <v>6.3</v>
      </c>
    </row>
    <row r="1641" spans="1:7">
      <c r="A1641" s="67" t="s">
        <v>116</v>
      </c>
      <c r="B1641" s="70">
        <v>46266</v>
      </c>
      <c r="C1641" s="69">
        <v>15</v>
      </c>
      <c r="D1641" s="69">
        <v>177</v>
      </c>
      <c r="E1641" s="69">
        <v>11</v>
      </c>
      <c r="F1641" s="67">
        <v>6</v>
      </c>
      <c r="G1641" s="71">
        <v>24.5</v>
      </c>
    </row>
    <row r="1642" spans="1:7">
      <c r="A1642" s="67" t="s">
        <v>118</v>
      </c>
      <c r="B1642" s="70">
        <v>46266</v>
      </c>
      <c r="C1642" s="69">
        <v>50</v>
      </c>
      <c r="D1642" s="69">
        <v>867</v>
      </c>
      <c r="E1642" s="69">
        <v>84</v>
      </c>
      <c r="F1642" s="67">
        <v>8</v>
      </c>
      <c r="G1642" s="71">
        <v>13.6</v>
      </c>
    </row>
    <row r="1643" spans="1:7">
      <c r="A1643" s="67" t="s">
        <v>120</v>
      </c>
      <c r="B1643" s="70">
        <v>46266</v>
      </c>
      <c r="C1643" s="69">
        <v>10</v>
      </c>
      <c r="D1643" s="69">
        <v>79</v>
      </c>
      <c r="E1643" s="69">
        <v>7</v>
      </c>
      <c r="F1643" s="67">
        <v>2</v>
      </c>
      <c r="G1643" s="71">
        <v>21.5</v>
      </c>
    </row>
    <row r="1644" spans="1:7">
      <c r="A1644" s="67" t="s">
        <v>122</v>
      </c>
      <c r="B1644" s="70">
        <v>46266</v>
      </c>
      <c r="C1644" s="69">
        <v>247</v>
      </c>
      <c r="D1644" s="69">
        <v>2830</v>
      </c>
      <c r="E1644" s="69">
        <v>146</v>
      </c>
      <c r="F1644" s="67">
        <v>4</v>
      </c>
      <c r="G1644" s="71">
        <v>27.2</v>
      </c>
    </row>
    <row r="1645" spans="1:7">
      <c r="A1645" s="67" t="s">
        <v>124</v>
      </c>
      <c r="B1645" s="70">
        <v>46266</v>
      </c>
      <c r="C1645" s="69">
        <v>166</v>
      </c>
      <c r="D1645" s="69">
        <v>2391</v>
      </c>
      <c r="E1645" s="69">
        <v>128</v>
      </c>
      <c r="F1645" s="67">
        <v>5</v>
      </c>
      <c r="G1645" s="71">
        <v>20.2</v>
      </c>
    </row>
    <row r="1646" spans="1:7">
      <c r="A1646" s="67" t="s">
        <v>126</v>
      </c>
      <c r="B1646" s="70">
        <v>46266</v>
      </c>
      <c r="C1646" s="69">
        <v>14</v>
      </c>
      <c r="D1646" s="69">
        <v>199</v>
      </c>
      <c r="E1646" s="69">
        <v>5</v>
      </c>
      <c r="F1646" s="67">
        <v>4</v>
      </c>
      <c r="G1646" s="71">
        <v>29.1</v>
      </c>
    </row>
    <row r="1647" spans="1:7">
      <c r="A1647" s="67" t="s">
        <v>128</v>
      </c>
      <c r="B1647" s="70">
        <v>46266</v>
      </c>
      <c r="C1647" s="69">
        <v>153</v>
      </c>
      <c r="D1647" s="69">
        <v>1232</v>
      </c>
      <c r="E1647" s="69">
        <v>163</v>
      </c>
      <c r="F1647" s="67">
        <v>6</v>
      </c>
      <c r="G1647" s="71">
        <v>23.6</v>
      </c>
    </row>
    <row r="1648" spans="1:7">
      <c r="A1648" s="67" t="s">
        <v>130</v>
      </c>
      <c r="B1648" s="70">
        <v>46266</v>
      </c>
      <c r="C1648" s="69">
        <v>113</v>
      </c>
      <c r="D1648" s="69">
        <v>1800</v>
      </c>
      <c r="E1648" s="69">
        <v>251</v>
      </c>
      <c r="F1648" s="67">
        <v>7</v>
      </c>
      <c r="G1648" s="71">
        <v>28.4</v>
      </c>
    </row>
    <row r="1649" spans="1:7">
      <c r="A1649" s="67" t="s">
        <v>132</v>
      </c>
      <c r="B1649" s="70">
        <v>46266</v>
      </c>
      <c r="C1649" s="69">
        <v>50</v>
      </c>
      <c r="D1649" s="69">
        <v>639</v>
      </c>
      <c r="E1649" s="69">
        <v>75</v>
      </c>
      <c r="F1649" s="67">
        <v>5</v>
      </c>
      <c r="G1649" s="71">
        <v>15.3</v>
      </c>
    </row>
    <row r="1650" spans="1:7">
      <c r="A1650" s="67" t="s">
        <v>134</v>
      </c>
      <c r="B1650" s="70">
        <v>46266</v>
      </c>
      <c r="C1650" s="69">
        <v>215</v>
      </c>
      <c r="D1650" s="69">
        <v>3582</v>
      </c>
      <c r="E1650" s="69">
        <v>426</v>
      </c>
      <c r="F1650" s="67">
        <v>9</v>
      </c>
      <c r="G1650" s="71">
        <v>19.7</v>
      </c>
    </row>
    <row r="1651" spans="1:7">
      <c r="A1651" s="67" t="s">
        <v>136</v>
      </c>
      <c r="B1651" s="70">
        <v>46266</v>
      </c>
      <c r="C1651" s="69">
        <v>81</v>
      </c>
      <c r="D1651" s="69">
        <v>852</v>
      </c>
      <c r="E1651" s="69">
        <v>56</v>
      </c>
      <c r="F1651" s="67">
        <v>5</v>
      </c>
      <c r="G1651" s="71">
        <v>38.5</v>
      </c>
    </row>
    <row r="1652" spans="1:7">
      <c r="A1652" s="67" t="s">
        <v>138</v>
      </c>
      <c r="B1652" s="70">
        <v>46266</v>
      </c>
      <c r="C1652" s="69">
        <v>37</v>
      </c>
      <c r="D1652" s="69">
        <v>376</v>
      </c>
      <c r="E1652" s="69">
        <v>22</v>
      </c>
      <c r="F1652" s="67">
        <v>5</v>
      </c>
      <c r="G1652" s="71">
        <v>35.9</v>
      </c>
    </row>
    <row r="1653" spans="1:7">
      <c r="A1653" s="67" t="s">
        <v>140</v>
      </c>
      <c r="B1653" s="70">
        <v>46266</v>
      </c>
      <c r="C1653" s="69">
        <v>127</v>
      </c>
      <c r="D1653" s="69">
        <v>1627</v>
      </c>
      <c r="E1653" s="69">
        <v>230</v>
      </c>
      <c r="F1653" s="67">
        <v>4</v>
      </c>
      <c r="G1653" s="71">
        <v>6</v>
      </c>
    </row>
    <row r="1654" spans="1:7">
      <c r="A1654" s="67" t="s">
        <v>142</v>
      </c>
      <c r="B1654" s="70">
        <v>46266</v>
      </c>
      <c r="C1654" s="69">
        <v>211</v>
      </c>
      <c r="D1654" s="69">
        <v>3389</v>
      </c>
      <c r="E1654" s="69">
        <v>253</v>
      </c>
      <c r="F1654" s="67">
        <v>8</v>
      </c>
      <c r="G1654" s="71">
        <v>24.7</v>
      </c>
    </row>
    <row r="1655" spans="1:7">
      <c r="A1655" s="67" t="s">
        <v>144</v>
      </c>
      <c r="B1655" s="70">
        <v>46266</v>
      </c>
      <c r="C1655" s="69">
        <v>25</v>
      </c>
      <c r="D1655" s="69">
        <v>259</v>
      </c>
      <c r="E1655" s="69">
        <v>52</v>
      </c>
      <c r="F1655" s="67">
        <v>6</v>
      </c>
      <c r="G1655" s="71">
        <v>19.9</v>
      </c>
    </row>
    <row r="1656" spans="1:7">
      <c r="A1656" s="67" t="s">
        <v>146</v>
      </c>
      <c r="B1656" s="70">
        <v>46266</v>
      </c>
      <c r="C1656" s="69">
        <v>1249</v>
      </c>
      <c r="D1656" s="69">
        <v>14128</v>
      </c>
      <c r="E1656" s="69">
        <v>976</v>
      </c>
      <c r="F1656" s="67">
        <v>9</v>
      </c>
      <c r="G1656" s="71">
        <v>27.3</v>
      </c>
    </row>
    <row r="1657" spans="1:7">
      <c r="A1657" s="67" t="s">
        <v>148</v>
      </c>
      <c r="B1657" s="70">
        <v>46266</v>
      </c>
      <c r="C1657" s="69">
        <v>208</v>
      </c>
      <c r="D1657" s="69">
        <v>1638</v>
      </c>
      <c r="E1657" s="69">
        <v>463</v>
      </c>
      <c r="F1657" s="67">
        <v>8</v>
      </c>
      <c r="G1657" s="71">
        <v>23.8</v>
      </c>
    </row>
    <row r="1658" spans="1:7">
      <c r="A1658" s="67" t="s">
        <v>150</v>
      </c>
      <c r="B1658" s="70">
        <v>46266</v>
      </c>
      <c r="C1658" s="69">
        <v>12</v>
      </c>
      <c r="D1658" s="69">
        <v>211</v>
      </c>
      <c r="E1658" s="69">
        <v>20</v>
      </c>
      <c r="F1658" s="67">
        <v>2</v>
      </c>
      <c r="G1658" s="71">
        <v>9.5</v>
      </c>
    </row>
    <row r="1659" spans="1:7">
      <c r="A1659" s="67" t="s">
        <v>152</v>
      </c>
      <c r="B1659" s="70">
        <v>46266</v>
      </c>
      <c r="C1659" s="69">
        <v>12</v>
      </c>
      <c r="D1659" s="69">
        <v>63</v>
      </c>
      <c r="E1659" s="69">
        <v>14</v>
      </c>
      <c r="F1659" s="67">
        <v>4</v>
      </c>
      <c r="G1659" s="71">
        <v>32.3</v>
      </c>
    </row>
    <row r="1660" spans="1:7">
      <c r="A1660" s="67" t="s">
        <v>154</v>
      </c>
      <c r="B1660" s="70">
        <v>46266</v>
      </c>
      <c r="C1660" s="69">
        <v>8</v>
      </c>
      <c r="D1660" s="69">
        <v>120</v>
      </c>
      <c r="E1660" s="69">
        <v>4</v>
      </c>
      <c r="F1660" s="67">
        <v>2</v>
      </c>
      <c r="G1660" s="71">
        <v>6.7</v>
      </c>
    </row>
    <row r="1661" spans="1:7">
      <c r="A1661" s="67" t="s">
        <v>156</v>
      </c>
      <c r="B1661" s="70">
        <v>46266</v>
      </c>
      <c r="C1661" s="69">
        <v>26</v>
      </c>
      <c r="D1661" s="69">
        <v>463</v>
      </c>
      <c r="E1661" s="69">
        <v>56</v>
      </c>
      <c r="F1661" s="67">
        <v>8</v>
      </c>
      <c r="G1661" s="71">
        <v>18.8</v>
      </c>
    </row>
    <row r="1662" spans="1:7">
      <c r="A1662" s="67" t="s">
        <v>158</v>
      </c>
      <c r="B1662" s="70">
        <v>46266</v>
      </c>
      <c r="C1662" s="69">
        <v>57</v>
      </c>
      <c r="D1662" s="69">
        <v>405</v>
      </c>
      <c r="E1662" s="69">
        <v>64</v>
      </c>
      <c r="F1662" s="67">
        <v>3</v>
      </c>
      <c r="G1662" s="71">
        <v>19.5</v>
      </c>
    </row>
    <row r="1663" spans="1:7">
      <c r="A1663" s="67" t="s">
        <v>160</v>
      </c>
      <c r="B1663" s="70">
        <v>46266</v>
      </c>
      <c r="C1663" s="69">
        <v>225</v>
      </c>
      <c r="D1663" s="69">
        <v>1165</v>
      </c>
      <c r="E1663" s="69">
        <v>486</v>
      </c>
      <c r="F1663" s="67">
        <v>6</v>
      </c>
      <c r="G1663" s="71">
        <v>31.4</v>
      </c>
    </row>
    <row r="1664" spans="1:7">
      <c r="A1664" s="67" t="s">
        <v>162</v>
      </c>
      <c r="B1664" s="70">
        <v>46266</v>
      </c>
      <c r="C1664" s="69">
        <v>48</v>
      </c>
      <c r="D1664" s="69">
        <v>734</v>
      </c>
      <c r="E1664" s="69">
        <v>19</v>
      </c>
      <c r="F1664" s="67">
        <v>8</v>
      </c>
      <c r="G1664" s="71">
        <v>14.9</v>
      </c>
    </row>
    <row r="1665" spans="1:7">
      <c r="A1665" s="67" t="s">
        <v>164</v>
      </c>
      <c r="B1665" s="70">
        <v>46266</v>
      </c>
      <c r="C1665" s="69">
        <v>102</v>
      </c>
      <c r="D1665" s="69">
        <v>1422</v>
      </c>
      <c r="E1665" s="69">
        <v>38</v>
      </c>
      <c r="F1665" s="67">
        <v>7</v>
      </c>
      <c r="G1665" s="71">
        <v>31.2</v>
      </c>
    </row>
    <row r="1666" spans="1:7">
      <c r="A1666" s="67" t="s">
        <v>166</v>
      </c>
      <c r="B1666" s="70">
        <v>46266</v>
      </c>
      <c r="C1666" s="69">
        <v>113</v>
      </c>
      <c r="D1666" s="69">
        <v>1154</v>
      </c>
      <c r="E1666" s="69">
        <v>237</v>
      </c>
      <c r="F1666" s="67">
        <v>5</v>
      </c>
      <c r="G1666" s="71">
        <v>35.7</v>
      </c>
    </row>
    <row r="1667" spans="1:7">
      <c r="A1667" s="67" t="s">
        <v>168</v>
      </c>
      <c r="B1667" s="70">
        <v>46266</v>
      </c>
      <c r="C1667" s="69">
        <v>174</v>
      </c>
      <c r="D1667" s="69">
        <v>2011</v>
      </c>
      <c r="E1667" s="69">
        <v>321</v>
      </c>
      <c r="F1667" s="67">
        <v>7</v>
      </c>
      <c r="G1667" s="71">
        <v>30.6</v>
      </c>
    </row>
    <row r="1668" spans="1:7">
      <c r="A1668" s="67" t="s">
        <v>170</v>
      </c>
      <c r="B1668" s="70">
        <v>46266</v>
      </c>
      <c r="C1668" s="69">
        <v>28</v>
      </c>
      <c r="D1668" s="69">
        <v>337</v>
      </c>
      <c r="E1668" s="69">
        <v>65</v>
      </c>
      <c r="F1668" s="67">
        <v>7</v>
      </c>
      <c r="G1668" s="71">
        <v>8.300000000000001</v>
      </c>
    </row>
    <row r="1669" spans="1:7">
      <c r="A1669" s="67" t="s">
        <v>172</v>
      </c>
      <c r="B1669" s="70">
        <v>46266</v>
      </c>
      <c r="C1669" s="69">
        <v>27</v>
      </c>
      <c r="D1669" s="69">
        <v>427</v>
      </c>
      <c r="E1669" s="69">
        <v>59</v>
      </c>
      <c r="F1669" s="67">
        <v>7</v>
      </c>
      <c r="G1669" s="71">
        <v>32.5</v>
      </c>
    </row>
    <row r="1670" spans="1:7">
      <c r="A1670" s="67" t="s">
        <v>174</v>
      </c>
      <c r="B1670" s="70">
        <v>46266</v>
      </c>
      <c r="C1670" s="69">
        <v>129</v>
      </c>
      <c r="D1670" s="69">
        <v>1152</v>
      </c>
      <c r="E1670" s="69">
        <v>169</v>
      </c>
      <c r="F1670" s="67">
        <v>7</v>
      </c>
      <c r="G1670" s="71">
        <v>8.5</v>
      </c>
    </row>
    <row r="1671" spans="1:7">
      <c r="A1671" s="67" t="s">
        <v>176</v>
      </c>
      <c r="B1671" s="70">
        <v>46266</v>
      </c>
      <c r="C1671" s="69">
        <v>24</v>
      </c>
      <c r="D1671" s="69">
        <v>237</v>
      </c>
      <c r="E1671" s="69">
        <v>30</v>
      </c>
      <c r="F1671" s="67">
        <v>5</v>
      </c>
      <c r="G1671" s="71">
        <v>12.8</v>
      </c>
    </row>
    <row r="1672" spans="1:7">
      <c r="A1672" s="67" t="s">
        <v>178</v>
      </c>
      <c r="B1672" s="70">
        <v>46266</v>
      </c>
      <c r="C1672" s="69">
        <v>11</v>
      </c>
      <c r="D1672" s="69">
        <v>96</v>
      </c>
      <c r="E1672" s="69">
        <v>20</v>
      </c>
      <c r="F1672" s="67">
        <v>6</v>
      </c>
      <c r="G1672" s="71">
        <v>22.7</v>
      </c>
    </row>
    <row r="1673" spans="1:7">
      <c r="A1673" s="67" t="s">
        <v>180</v>
      </c>
      <c r="B1673" s="70">
        <v>46266</v>
      </c>
      <c r="C1673" s="69">
        <v>899</v>
      </c>
      <c r="D1673" s="69">
        <v>12998</v>
      </c>
      <c r="E1673" s="69">
        <v>2151</v>
      </c>
      <c r="F1673" s="67">
        <v>10</v>
      </c>
      <c r="G1673" s="71">
        <v>31.7</v>
      </c>
    </row>
    <row r="1674" spans="1:7">
      <c r="A1674" s="67" t="s">
        <v>182</v>
      </c>
      <c r="B1674" s="70">
        <v>46266</v>
      </c>
      <c r="C1674" s="69">
        <v>16</v>
      </c>
      <c r="D1674" s="69">
        <v>200</v>
      </c>
      <c r="E1674" s="69">
        <v>6</v>
      </c>
      <c r="F1674" s="67">
        <v>4</v>
      </c>
      <c r="G1674" s="71">
        <v>32</v>
      </c>
    </row>
    <row r="1675" spans="1:7">
      <c r="A1675" s="67" t="s">
        <v>184</v>
      </c>
      <c r="B1675" s="70">
        <v>46266</v>
      </c>
      <c r="C1675" s="69">
        <v>125</v>
      </c>
      <c r="D1675" s="69">
        <v>802</v>
      </c>
      <c r="E1675" s="69">
        <v>123</v>
      </c>
      <c r="F1675" s="67">
        <v>6</v>
      </c>
      <c r="G1675" s="71">
        <v>10</v>
      </c>
    </row>
    <row r="1676" spans="1:7">
      <c r="A1676" s="67" t="s">
        <v>186</v>
      </c>
      <c r="B1676" s="70">
        <v>46266</v>
      </c>
      <c r="C1676" s="69">
        <v>103</v>
      </c>
      <c r="D1676" s="69">
        <v>1266</v>
      </c>
      <c r="E1676" s="69">
        <v>78</v>
      </c>
      <c r="F1676" s="67">
        <v>6</v>
      </c>
      <c r="G1676" s="71">
        <v>38</v>
      </c>
    </row>
    <row r="1677" spans="1:7">
      <c r="A1677" s="67" t="s">
        <v>188</v>
      </c>
      <c r="B1677" s="70">
        <v>46266</v>
      </c>
      <c r="C1677" s="69">
        <v>9</v>
      </c>
      <c r="D1677" s="69">
        <v>92</v>
      </c>
      <c r="E1677" s="69">
        <v>19</v>
      </c>
      <c r="F1677" s="67">
        <v>3</v>
      </c>
      <c r="G1677" s="71">
        <v>23.3</v>
      </c>
    </row>
    <row r="1678" spans="1:7">
      <c r="A1678" s="67" t="s">
        <v>190</v>
      </c>
      <c r="B1678" s="70">
        <v>46266</v>
      </c>
      <c r="C1678" s="69">
        <v>18</v>
      </c>
      <c r="D1678" s="69">
        <v>104</v>
      </c>
      <c r="E1678" s="69">
        <v>25</v>
      </c>
      <c r="F1678" s="67">
        <v>3</v>
      </c>
      <c r="G1678" s="71">
        <v>19.4</v>
      </c>
    </row>
    <row r="1679" spans="1:7">
      <c r="A1679" s="67" t="s">
        <v>192</v>
      </c>
      <c r="B1679" s="70">
        <v>46266</v>
      </c>
      <c r="C1679" s="69">
        <v>70</v>
      </c>
      <c r="D1679" s="69">
        <v>383</v>
      </c>
      <c r="E1679" s="69">
        <v>127</v>
      </c>
      <c r="F1679" s="67">
        <v>3</v>
      </c>
      <c r="G1679" s="71">
        <v>26</v>
      </c>
    </row>
    <row r="1680" spans="1:7">
      <c r="A1680" s="67" t="s">
        <v>194</v>
      </c>
      <c r="B1680" s="70">
        <v>46266</v>
      </c>
      <c r="C1680" s="69">
        <v>12</v>
      </c>
      <c r="D1680" s="69">
        <v>93</v>
      </c>
      <c r="E1680" s="69">
        <v>18</v>
      </c>
      <c r="F1680" s="67">
        <v>1</v>
      </c>
      <c r="G1680" s="71">
        <v>22.1</v>
      </c>
    </row>
    <row r="1681" spans="1:7">
      <c r="A1681" s="67" t="s">
        <v>198</v>
      </c>
      <c r="B1681" s="70">
        <v>46266</v>
      </c>
      <c r="C1681" s="69">
        <v>418</v>
      </c>
      <c r="D1681" s="69">
        <v>3371</v>
      </c>
      <c r="E1681" s="69">
        <v>550</v>
      </c>
      <c r="F1681" s="67">
        <v>9</v>
      </c>
      <c r="G1681" s="71">
        <v>21.9</v>
      </c>
    </row>
    <row r="1682" spans="1:7">
      <c r="A1682" s="67" t="s">
        <v>202</v>
      </c>
      <c r="B1682" s="70">
        <v>46266</v>
      </c>
      <c r="C1682" s="69">
        <v>115</v>
      </c>
      <c r="D1682" s="69">
        <v>1671</v>
      </c>
      <c r="E1682" s="69">
        <v>268</v>
      </c>
      <c r="F1682" s="67">
        <v>7</v>
      </c>
      <c r="G1682" s="71">
        <v>19.9</v>
      </c>
    </row>
    <row r="1683" spans="1:7">
      <c r="A1683" s="67" t="s">
        <v>204</v>
      </c>
      <c r="B1683" s="70">
        <v>46266</v>
      </c>
      <c r="C1683" s="69">
        <v>14</v>
      </c>
      <c r="D1683" s="69">
        <v>72</v>
      </c>
      <c r="E1683" s="69">
        <v>20</v>
      </c>
      <c r="F1683" s="67">
        <v>6</v>
      </c>
      <c r="G1683" s="71">
        <v>9.300000000000001</v>
      </c>
    </row>
    <row r="1684" spans="1:7">
      <c r="A1684" s="67" t="s">
        <v>206</v>
      </c>
      <c r="B1684" s="70">
        <v>46266</v>
      </c>
      <c r="C1684" s="69">
        <v>692</v>
      </c>
      <c r="D1684" s="69">
        <v>4483</v>
      </c>
      <c r="E1684" s="69">
        <v>1556</v>
      </c>
      <c r="F1684" s="67">
        <v>7</v>
      </c>
      <c r="G1684" s="71">
        <v>22.3</v>
      </c>
    </row>
    <row r="1685" spans="1:7">
      <c r="A1685" s="67" t="s">
        <v>208</v>
      </c>
      <c r="B1685" s="70">
        <v>46266</v>
      </c>
      <c r="C1685" s="69">
        <v>13</v>
      </c>
      <c r="D1685" s="69">
        <v>89</v>
      </c>
      <c r="E1685" s="69">
        <v>29</v>
      </c>
      <c r="F1685" s="67">
        <v>7</v>
      </c>
      <c r="G1685" s="71">
        <v>19.6</v>
      </c>
    </row>
    <row r="1686" spans="1:7">
      <c r="A1686" s="67" t="s">
        <v>212</v>
      </c>
      <c r="B1686" s="70">
        <v>46266</v>
      </c>
      <c r="C1686" s="69">
        <v>26</v>
      </c>
      <c r="D1686" s="69">
        <v>467</v>
      </c>
      <c r="E1686" s="69">
        <v>49</v>
      </c>
      <c r="F1686" s="67">
        <v>7</v>
      </c>
      <c r="G1686" s="71">
        <v>35.8</v>
      </c>
    </row>
    <row r="1687" spans="1:7">
      <c r="A1687" s="67" t="s">
        <v>214</v>
      </c>
      <c r="B1687" s="70">
        <v>46266</v>
      </c>
      <c r="C1687" s="69">
        <v>57</v>
      </c>
      <c r="D1687" s="69">
        <v>944</v>
      </c>
      <c r="E1687" s="69">
        <v>88</v>
      </c>
      <c r="F1687" s="67">
        <v>6</v>
      </c>
      <c r="G1687" s="71">
        <v>10.8</v>
      </c>
    </row>
    <row r="1688" spans="1:7">
      <c r="A1688" s="67" t="s">
        <v>216</v>
      </c>
      <c r="B1688" s="70">
        <v>46266</v>
      </c>
      <c r="C1688" s="69">
        <v>251</v>
      </c>
      <c r="D1688" s="69">
        <v>3875</v>
      </c>
      <c r="E1688" s="69">
        <v>601</v>
      </c>
      <c r="F1688" s="67">
        <v>9</v>
      </c>
      <c r="G1688" s="71">
        <v>18</v>
      </c>
    </row>
    <row r="1689" spans="1:7">
      <c r="A1689" s="67" t="s">
        <v>218</v>
      </c>
      <c r="B1689" s="70">
        <v>46266</v>
      </c>
      <c r="C1689" s="69">
        <v>10</v>
      </c>
      <c r="D1689" s="69">
        <v>77</v>
      </c>
      <c r="E1689" s="69">
        <v>10</v>
      </c>
      <c r="F1689" s="67">
        <v>6</v>
      </c>
      <c r="G1689" s="71">
        <v>31.1</v>
      </c>
    </row>
    <row r="1690" spans="1:7">
      <c r="A1690" s="67" t="s">
        <v>220</v>
      </c>
      <c r="B1690" s="70">
        <v>46266</v>
      </c>
      <c r="C1690" s="69">
        <v>83</v>
      </c>
      <c r="D1690" s="69">
        <v>592</v>
      </c>
      <c r="E1690" s="69">
        <v>155</v>
      </c>
      <c r="F1690" s="67">
        <v>7</v>
      </c>
      <c r="G1690" s="71">
        <v>21.6</v>
      </c>
    </row>
    <row r="1691" spans="1:7">
      <c r="A1691" s="67" t="s">
        <v>222</v>
      </c>
      <c r="B1691" s="70">
        <v>46266</v>
      </c>
      <c r="C1691" s="69">
        <v>30</v>
      </c>
      <c r="D1691" s="69">
        <v>333</v>
      </c>
      <c r="E1691" s="69">
        <v>75</v>
      </c>
      <c r="F1691" s="67">
        <v>5</v>
      </c>
      <c r="G1691" s="71">
        <v>5.2</v>
      </c>
    </row>
    <row r="1692" spans="1:7">
      <c r="A1692" s="67" t="s">
        <v>224</v>
      </c>
      <c r="B1692" s="70">
        <v>46266</v>
      </c>
      <c r="C1692" s="69">
        <v>9</v>
      </c>
      <c r="D1692" s="69">
        <v>56</v>
      </c>
      <c r="E1692" s="69">
        <v>12</v>
      </c>
      <c r="F1692" s="67">
        <v>6</v>
      </c>
      <c r="G1692" s="71">
        <v>8.300000000000001</v>
      </c>
    </row>
    <row r="1693" spans="1:7">
      <c r="A1693" s="67" t="s">
        <v>228</v>
      </c>
      <c r="B1693" s="70">
        <v>46266</v>
      </c>
      <c r="C1693" s="69">
        <v>10</v>
      </c>
      <c r="D1693" s="69">
        <v>59</v>
      </c>
      <c r="E1693" s="69">
        <v>17</v>
      </c>
      <c r="F1693" s="67">
        <v>5</v>
      </c>
      <c r="G1693" s="71">
        <v>35.9</v>
      </c>
    </row>
    <row r="1694" spans="1:7">
      <c r="A1694" s="67" t="s">
        <v>230</v>
      </c>
      <c r="B1694" s="70">
        <v>46266</v>
      </c>
      <c r="C1694" s="69">
        <v>208</v>
      </c>
      <c r="D1694" s="69">
        <v>1561</v>
      </c>
      <c r="E1694" s="69">
        <v>192</v>
      </c>
      <c r="F1694" s="67">
        <v>8</v>
      </c>
      <c r="G1694" s="71">
        <v>36.9</v>
      </c>
    </row>
    <row r="1695" spans="1:7">
      <c r="A1695" s="67" t="s">
        <v>232</v>
      </c>
      <c r="B1695" s="70">
        <v>46266</v>
      </c>
      <c r="C1695" s="69">
        <v>148</v>
      </c>
      <c r="D1695" s="69">
        <v>1447</v>
      </c>
      <c r="E1695" s="69">
        <v>294</v>
      </c>
      <c r="F1695" s="67">
        <v>9</v>
      </c>
      <c r="G1695" s="71">
        <v>37.7</v>
      </c>
    </row>
    <row r="1696" spans="1:7">
      <c r="A1696" s="67" t="s">
        <v>234</v>
      </c>
      <c r="B1696" s="70">
        <v>46266</v>
      </c>
      <c r="C1696" s="69">
        <v>26</v>
      </c>
      <c r="D1696" s="69">
        <v>198</v>
      </c>
      <c r="E1696" s="69">
        <v>42</v>
      </c>
      <c r="F1696" s="67">
        <v>6</v>
      </c>
      <c r="G1696" s="71">
        <v>8.6</v>
      </c>
    </row>
    <row r="1697" spans="1:7">
      <c r="A1697" s="67" t="s">
        <v>236</v>
      </c>
      <c r="B1697" s="70">
        <v>46266</v>
      </c>
      <c r="C1697" s="69">
        <v>46</v>
      </c>
      <c r="D1697" s="69">
        <v>567</v>
      </c>
      <c r="E1697" s="69">
        <v>27</v>
      </c>
      <c r="F1697" s="67">
        <v>4</v>
      </c>
      <c r="G1697" s="71">
        <v>23.3</v>
      </c>
    </row>
    <row r="1698" spans="1:7">
      <c r="A1698" s="67" t="s">
        <v>238</v>
      </c>
      <c r="B1698" s="70">
        <v>46266</v>
      </c>
      <c r="C1698" s="69">
        <v>25</v>
      </c>
      <c r="D1698" s="69">
        <v>312</v>
      </c>
      <c r="E1698" s="69">
        <v>54</v>
      </c>
      <c r="F1698" s="67">
        <v>8</v>
      </c>
      <c r="G1698" s="71">
        <v>26.2</v>
      </c>
    </row>
    <row r="1699" spans="1:7">
      <c r="A1699" s="67" t="s">
        <v>240</v>
      </c>
      <c r="B1699" s="70">
        <v>46266</v>
      </c>
      <c r="C1699" s="69">
        <v>25</v>
      </c>
      <c r="D1699" s="69">
        <v>325</v>
      </c>
      <c r="E1699" s="69">
        <v>58</v>
      </c>
      <c r="F1699" s="67">
        <v>6</v>
      </c>
      <c r="G1699" s="71">
        <v>12.3</v>
      </c>
    </row>
    <row r="1700" spans="1:7">
      <c r="A1700" s="67" t="s">
        <v>242</v>
      </c>
      <c r="B1700" s="70">
        <v>46266</v>
      </c>
      <c r="C1700" s="69">
        <v>694</v>
      </c>
      <c r="D1700" s="69">
        <v>5423</v>
      </c>
      <c r="E1700" s="69">
        <v>1627</v>
      </c>
      <c r="F1700" s="67">
        <v>8</v>
      </c>
      <c r="G1700" s="71">
        <v>26.5</v>
      </c>
    </row>
    <row r="1701" spans="1:7">
      <c r="A1701" s="67" t="s">
        <v>244</v>
      </c>
      <c r="B1701" s="70">
        <v>46266</v>
      </c>
      <c r="C1701" s="69">
        <v>34</v>
      </c>
      <c r="D1701" s="69">
        <v>170</v>
      </c>
      <c r="E1701" s="69">
        <v>16</v>
      </c>
      <c r="F1701" s="67">
        <v>7</v>
      </c>
      <c r="G1701" s="71">
        <v>38.9</v>
      </c>
    </row>
    <row r="1702" spans="1:7">
      <c r="A1702" s="67" t="s">
        <v>246</v>
      </c>
      <c r="B1702" s="70">
        <v>46266</v>
      </c>
      <c r="C1702" s="69">
        <v>56</v>
      </c>
      <c r="D1702" s="69">
        <v>590</v>
      </c>
      <c r="E1702" s="69">
        <v>75</v>
      </c>
      <c r="F1702" s="67">
        <v>10</v>
      </c>
      <c r="G1702" s="71">
        <v>15.6</v>
      </c>
    </row>
    <row r="1703" spans="1:7">
      <c r="A1703" s="67" t="s">
        <v>248</v>
      </c>
      <c r="B1703" s="70">
        <v>46266</v>
      </c>
      <c r="C1703" s="69">
        <v>30</v>
      </c>
      <c r="D1703" s="69">
        <v>303</v>
      </c>
      <c r="E1703" s="69">
        <v>60</v>
      </c>
      <c r="F1703" s="67">
        <v>6</v>
      </c>
      <c r="G1703" s="71">
        <v>29.7</v>
      </c>
    </row>
    <row r="1704" spans="1:7">
      <c r="A1704" s="67" t="s">
        <v>250</v>
      </c>
      <c r="B1704" s="70">
        <v>46266</v>
      </c>
      <c r="C1704" s="69">
        <v>154</v>
      </c>
      <c r="D1704" s="69">
        <v>1405</v>
      </c>
      <c r="E1704" s="69">
        <v>73</v>
      </c>
      <c r="F1704" s="67">
        <v>6</v>
      </c>
      <c r="G1704" s="71">
        <v>26.2</v>
      </c>
    </row>
    <row r="1705" spans="1:7">
      <c r="A1705" s="67" t="s">
        <v>252</v>
      </c>
      <c r="B1705" s="70">
        <v>46266</v>
      </c>
      <c r="C1705" s="69">
        <v>16</v>
      </c>
      <c r="D1705" s="69">
        <v>212</v>
      </c>
      <c r="E1705" s="69">
        <v>15</v>
      </c>
      <c r="F1705" s="67">
        <v>7</v>
      </c>
      <c r="G1705" s="71">
        <v>10</v>
      </c>
    </row>
    <row r="1706" spans="1:7">
      <c r="A1706" s="67" t="s">
        <v>254</v>
      </c>
      <c r="B1706" s="70">
        <v>46266</v>
      </c>
      <c r="C1706" s="69">
        <v>99</v>
      </c>
      <c r="D1706" s="69">
        <v>1390</v>
      </c>
      <c r="E1706" s="69">
        <v>84</v>
      </c>
      <c r="F1706" s="67">
        <v>6</v>
      </c>
      <c r="G1706" s="71">
        <v>9.199999999999999</v>
      </c>
    </row>
    <row r="1707" spans="1:7">
      <c r="A1707" s="67" t="s">
        <v>256</v>
      </c>
      <c r="B1707" s="70">
        <v>46266</v>
      </c>
      <c r="C1707" s="69">
        <v>191</v>
      </c>
      <c r="D1707" s="69">
        <v>1397</v>
      </c>
      <c r="E1707" s="69">
        <v>421</v>
      </c>
      <c r="F1707" s="67">
        <v>6</v>
      </c>
      <c r="G1707" s="71">
        <v>34.9</v>
      </c>
    </row>
    <row r="1708" spans="1:7">
      <c r="A1708" s="67" t="s">
        <v>258</v>
      </c>
      <c r="B1708" s="70">
        <v>46266</v>
      </c>
      <c r="C1708" s="69">
        <v>480</v>
      </c>
      <c r="D1708" s="69">
        <v>5046</v>
      </c>
      <c r="E1708" s="69">
        <v>796</v>
      </c>
      <c r="F1708" s="67">
        <v>4</v>
      </c>
      <c r="G1708" s="71">
        <v>35.7</v>
      </c>
    </row>
    <row r="1709" spans="1:7">
      <c r="A1709" s="67" t="s">
        <v>260</v>
      </c>
      <c r="B1709" s="70">
        <v>46266</v>
      </c>
      <c r="C1709" s="69">
        <v>863</v>
      </c>
      <c r="D1709" s="69">
        <v>8513</v>
      </c>
      <c r="E1709" s="69">
        <v>2031</v>
      </c>
      <c r="F1709" s="67">
        <v>6</v>
      </c>
      <c r="G1709" s="71">
        <v>39.8</v>
      </c>
    </row>
    <row r="1710" spans="1:7">
      <c r="A1710" s="67" t="s">
        <v>262</v>
      </c>
      <c r="B1710" s="70">
        <v>46266</v>
      </c>
      <c r="C1710" s="69">
        <v>63</v>
      </c>
      <c r="D1710" s="69">
        <v>475</v>
      </c>
      <c r="E1710" s="69">
        <v>100</v>
      </c>
      <c r="F1710" s="67">
        <v>9</v>
      </c>
      <c r="G1710" s="71">
        <v>16.5</v>
      </c>
    </row>
    <row r="1711" spans="1:7">
      <c r="A1711" s="67" t="s">
        <v>264</v>
      </c>
      <c r="B1711" s="70">
        <v>46266</v>
      </c>
      <c r="C1711" s="69">
        <v>790</v>
      </c>
      <c r="D1711" s="69">
        <v>9114</v>
      </c>
      <c r="E1711" s="69">
        <v>260</v>
      </c>
      <c r="F1711" s="67">
        <v>5</v>
      </c>
      <c r="G1711" s="71">
        <v>14.6</v>
      </c>
    </row>
    <row r="1712" spans="1:7">
      <c r="A1712" s="67" t="s">
        <v>266</v>
      </c>
      <c r="B1712" s="70">
        <v>46266</v>
      </c>
      <c r="C1712" s="69">
        <v>54</v>
      </c>
      <c r="D1712" s="69">
        <v>550</v>
      </c>
      <c r="E1712" s="69">
        <v>134</v>
      </c>
      <c r="F1712" s="67">
        <v>4</v>
      </c>
      <c r="G1712" s="71">
        <v>29.6</v>
      </c>
    </row>
    <row r="1713" spans="1:7">
      <c r="A1713" s="67" t="s">
        <v>268</v>
      </c>
      <c r="B1713" s="70">
        <v>46266</v>
      </c>
      <c r="C1713" s="69">
        <v>12</v>
      </c>
      <c r="D1713" s="69">
        <v>149</v>
      </c>
      <c r="E1713" s="69">
        <v>4</v>
      </c>
      <c r="F1713" s="67">
        <v>3</v>
      </c>
      <c r="G1713" s="71">
        <v>30.1</v>
      </c>
    </row>
    <row r="1714" spans="1:7">
      <c r="A1714" s="67" t="s">
        <v>270</v>
      </c>
      <c r="B1714" s="70">
        <v>46266</v>
      </c>
      <c r="C1714" s="69">
        <v>41</v>
      </c>
      <c r="D1714" s="69">
        <v>447</v>
      </c>
      <c r="E1714" s="69">
        <v>28</v>
      </c>
      <c r="F1714" s="67">
        <v>7</v>
      </c>
      <c r="G1714" s="71">
        <v>31.2</v>
      </c>
    </row>
    <row r="1715" spans="1:7">
      <c r="A1715" s="67" t="s">
        <v>272</v>
      </c>
      <c r="B1715" s="70">
        <v>46266</v>
      </c>
      <c r="C1715" s="69">
        <v>28</v>
      </c>
      <c r="D1715" s="69">
        <v>178</v>
      </c>
      <c r="E1715" s="69">
        <v>31</v>
      </c>
      <c r="F1715" s="67">
        <v>7</v>
      </c>
      <c r="G1715" s="71">
        <v>26.5</v>
      </c>
    </row>
    <row r="1716" spans="1:7">
      <c r="A1716" s="67" t="s">
        <v>274</v>
      </c>
      <c r="B1716" s="70">
        <v>46266</v>
      </c>
      <c r="C1716" s="69">
        <v>263</v>
      </c>
      <c r="D1716" s="69">
        <v>1920</v>
      </c>
      <c r="E1716" s="69">
        <v>571</v>
      </c>
      <c r="F1716" s="67">
        <v>3</v>
      </c>
      <c r="G1716" s="71">
        <v>7.9</v>
      </c>
    </row>
    <row r="1717" spans="1:7">
      <c r="A1717" s="67" t="s">
        <v>276</v>
      </c>
      <c r="B1717" s="70">
        <v>46266</v>
      </c>
      <c r="C1717" s="69">
        <v>158</v>
      </c>
      <c r="D1717" s="69">
        <v>1701</v>
      </c>
      <c r="E1717" s="69">
        <v>294</v>
      </c>
      <c r="F1717" s="67">
        <v>5</v>
      </c>
      <c r="G1717" s="71">
        <v>16</v>
      </c>
    </row>
    <row r="1718" spans="1:7">
      <c r="A1718" s="67" t="s">
        <v>278</v>
      </c>
      <c r="B1718" s="70">
        <v>46266</v>
      </c>
      <c r="C1718" s="69">
        <v>32</v>
      </c>
      <c r="D1718" s="69">
        <v>515</v>
      </c>
      <c r="E1718" s="69">
        <v>56</v>
      </c>
      <c r="F1718" s="67">
        <v>5</v>
      </c>
      <c r="G1718" s="71">
        <v>30.8</v>
      </c>
    </row>
    <row r="1719" spans="1:7">
      <c r="A1719" s="67" t="s">
        <v>280</v>
      </c>
      <c r="B1719" s="70">
        <v>46266</v>
      </c>
      <c r="C1719" s="69">
        <v>15</v>
      </c>
      <c r="D1719" s="69">
        <v>250</v>
      </c>
      <c r="E1719" s="69">
        <v>34</v>
      </c>
      <c r="F1719" s="67">
        <v>8</v>
      </c>
      <c r="G1719" s="71">
        <v>10.9</v>
      </c>
    </row>
    <row r="1720" spans="1:7">
      <c r="A1720" s="67" t="s">
        <v>282</v>
      </c>
      <c r="B1720" s="70">
        <v>46266</v>
      </c>
      <c r="C1720" s="69">
        <v>41</v>
      </c>
      <c r="D1720" s="69">
        <v>400</v>
      </c>
      <c r="E1720" s="69">
        <v>14</v>
      </c>
      <c r="F1720" s="67">
        <v>8</v>
      </c>
      <c r="G1720" s="71">
        <v>28.3</v>
      </c>
    </row>
    <row r="1721" spans="1:7">
      <c r="A1721" s="67" t="s">
        <v>284</v>
      </c>
      <c r="B1721" s="70">
        <v>46266</v>
      </c>
      <c r="C1721" s="69">
        <v>130</v>
      </c>
      <c r="D1721" s="69">
        <v>754</v>
      </c>
      <c r="E1721" s="69">
        <v>94</v>
      </c>
      <c r="F1721" s="67">
        <v>7</v>
      </c>
      <c r="G1721" s="71">
        <v>31.6</v>
      </c>
    </row>
    <row r="1722" spans="1:7">
      <c r="A1722" s="67" t="s">
        <v>286</v>
      </c>
      <c r="B1722" s="70">
        <v>46266</v>
      </c>
      <c r="C1722" s="69">
        <v>21</v>
      </c>
      <c r="D1722" s="69">
        <v>152</v>
      </c>
      <c r="E1722" s="69">
        <v>8</v>
      </c>
      <c r="F1722" s="67">
        <v>7</v>
      </c>
      <c r="G1722" s="71">
        <v>26.3</v>
      </c>
    </row>
    <row r="1723" spans="1:7">
      <c r="A1723" s="67" t="s">
        <v>288</v>
      </c>
      <c r="B1723" s="70">
        <v>46266</v>
      </c>
      <c r="C1723" s="69">
        <v>187</v>
      </c>
      <c r="D1723" s="69">
        <v>2479</v>
      </c>
      <c r="E1723" s="69">
        <v>403</v>
      </c>
      <c r="F1723" s="67">
        <v>6</v>
      </c>
      <c r="G1723" s="71">
        <v>37.9</v>
      </c>
    </row>
    <row r="1724" spans="1:7">
      <c r="A1724" s="67" t="s">
        <v>290</v>
      </c>
      <c r="B1724" s="70">
        <v>46266</v>
      </c>
      <c r="C1724" s="69">
        <v>218</v>
      </c>
      <c r="D1724" s="69">
        <v>1424</v>
      </c>
      <c r="E1724" s="69">
        <v>289</v>
      </c>
      <c r="F1724" s="67">
        <v>8</v>
      </c>
      <c r="G1724" s="71">
        <v>34.3</v>
      </c>
    </row>
    <row r="1725" spans="1:7">
      <c r="A1725" s="67" t="s">
        <v>292</v>
      </c>
      <c r="B1725" s="70">
        <v>46266</v>
      </c>
      <c r="C1725" s="69">
        <v>78</v>
      </c>
      <c r="D1725" s="69">
        <v>479</v>
      </c>
      <c r="E1725" s="69">
        <v>181</v>
      </c>
      <c r="F1725" s="67">
        <v>4</v>
      </c>
      <c r="G1725" s="71">
        <v>11.4</v>
      </c>
    </row>
    <row r="1726" spans="1:7">
      <c r="A1726" s="67" t="s">
        <v>294</v>
      </c>
      <c r="B1726" s="70">
        <v>46266</v>
      </c>
      <c r="C1726" s="69">
        <v>33</v>
      </c>
      <c r="D1726" s="69">
        <v>434</v>
      </c>
      <c r="E1726" s="69">
        <v>11</v>
      </c>
      <c r="F1726" s="67">
        <v>6</v>
      </c>
      <c r="G1726" s="71">
        <v>10.9</v>
      </c>
    </row>
    <row r="1727" spans="1:7">
      <c r="A1727" s="67" t="s">
        <v>296</v>
      </c>
      <c r="B1727" s="70">
        <v>46266</v>
      </c>
      <c r="C1727" s="69">
        <v>272</v>
      </c>
      <c r="D1727" s="69">
        <v>2988</v>
      </c>
      <c r="E1727" s="69">
        <v>607</v>
      </c>
      <c r="F1727" s="67">
        <v>6</v>
      </c>
      <c r="G1727" s="71">
        <v>38</v>
      </c>
    </row>
    <row r="1728" spans="1:7">
      <c r="A1728" s="67" t="s">
        <v>298</v>
      </c>
      <c r="B1728" s="70">
        <v>46266</v>
      </c>
      <c r="C1728" s="69">
        <v>224</v>
      </c>
      <c r="D1728" s="69">
        <v>3865</v>
      </c>
      <c r="E1728" s="69">
        <v>493</v>
      </c>
      <c r="F1728" s="67">
        <v>7</v>
      </c>
      <c r="G1728" s="71">
        <v>31.2</v>
      </c>
    </row>
    <row r="1729" spans="1:7">
      <c r="A1729" s="67" t="s">
        <v>300</v>
      </c>
      <c r="B1729" s="70">
        <v>46266</v>
      </c>
      <c r="C1729" s="69">
        <v>38</v>
      </c>
      <c r="D1729" s="69">
        <v>377</v>
      </c>
      <c r="E1729" s="69">
        <v>35</v>
      </c>
      <c r="F1729" s="67">
        <v>2</v>
      </c>
      <c r="G1729" s="71">
        <v>14.8</v>
      </c>
    </row>
    <row r="1730" spans="1:7">
      <c r="A1730" s="67" t="s">
        <v>302</v>
      </c>
      <c r="B1730" s="70">
        <v>46266</v>
      </c>
      <c r="C1730" s="69">
        <v>19</v>
      </c>
      <c r="D1730" s="69">
        <v>301</v>
      </c>
      <c r="E1730" s="69">
        <v>17</v>
      </c>
      <c r="F1730" s="67">
        <v>6</v>
      </c>
      <c r="G1730" s="71">
        <v>12</v>
      </c>
    </row>
    <row r="1731" spans="1:7">
      <c r="A1731" s="67" t="s">
        <v>306</v>
      </c>
      <c r="B1731" s="70">
        <v>46266</v>
      </c>
      <c r="C1731" s="69">
        <v>96</v>
      </c>
      <c r="D1731" s="69">
        <v>1029</v>
      </c>
      <c r="E1731" s="69">
        <v>48</v>
      </c>
      <c r="F1731" s="67">
        <v>6</v>
      </c>
      <c r="G1731" s="71">
        <v>17.4</v>
      </c>
    </row>
    <row r="1732" spans="1:7">
      <c r="A1732" s="67" t="s">
        <v>308</v>
      </c>
      <c r="B1732" s="70">
        <v>46266</v>
      </c>
      <c r="C1732" s="69">
        <v>99</v>
      </c>
      <c r="D1732" s="69">
        <v>1168</v>
      </c>
      <c r="E1732" s="69">
        <v>210</v>
      </c>
      <c r="F1732" s="67">
        <v>5</v>
      </c>
      <c r="G1732" s="71">
        <v>29</v>
      </c>
    </row>
    <row r="1733" spans="1:7">
      <c r="A1733" s="67" t="s">
        <v>310</v>
      </c>
      <c r="B1733" s="70">
        <v>46266</v>
      </c>
      <c r="C1733" s="69">
        <v>156</v>
      </c>
      <c r="D1733" s="69">
        <v>1967</v>
      </c>
      <c r="E1733" s="69">
        <v>100</v>
      </c>
      <c r="F1733" s="67">
        <v>8</v>
      </c>
      <c r="G1733" s="71">
        <v>24.9</v>
      </c>
    </row>
    <row r="1734" spans="1:7">
      <c r="A1734" s="67" t="s">
        <v>312</v>
      </c>
      <c r="B1734" s="70">
        <v>46266</v>
      </c>
      <c r="C1734" s="69">
        <v>194</v>
      </c>
      <c r="D1734" s="69">
        <v>2599</v>
      </c>
      <c r="E1734" s="69">
        <v>349</v>
      </c>
      <c r="F1734" s="67">
        <v>6</v>
      </c>
      <c r="G1734" s="71">
        <v>15.1</v>
      </c>
    </row>
    <row r="1735" spans="1:7">
      <c r="A1735" s="67" t="s">
        <v>314</v>
      </c>
      <c r="B1735" s="70">
        <v>46266</v>
      </c>
      <c r="C1735" s="69">
        <v>7</v>
      </c>
      <c r="D1735" s="69">
        <v>85</v>
      </c>
      <c r="E1735" s="69">
        <v>14</v>
      </c>
      <c r="F1735" s="67">
        <v>6</v>
      </c>
      <c r="G1735" s="71">
        <v>14.4</v>
      </c>
    </row>
    <row r="1736" spans="1:7">
      <c r="A1736" s="67" t="s">
        <v>316</v>
      </c>
      <c r="B1736" s="70">
        <v>46266</v>
      </c>
      <c r="C1736" s="69">
        <v>8</v>
      </c>
      <c r="D1736" s="69">
        <v>63</v>
      </c>
      <c r="E1736" s="69">
        <v>7</v>
      </c>
      <c r="F1736" s="67">
        <v>4</v>
      </c>
      <c r="G1736" s="71">
        <v>37.3</v>
      </c>
    </row>
    <row r="1737" spans="1:7">
      <c r="A1737" s="67" t="s">
        <v>318</v>
      </c>
      <c r="B1737" s="70">
        <v>46266</v>
      </c>
      <c r="C1737" s="69">
        <v>127</v>
      </c>
      <c r="D1737" s="69">
        <v>1420</v>
      </c>
      <c r="E1737" s="69">
        <v>169</v>
      </c>
      <c r="F1737" s="67">
        <v>6</v>
      </c>
      <c r="G1737" s="71">
        <v>16.3</v>
      </c>
    </row>
    <row r="1738" spans="1:7">
      <c r="A1738" s="67" t="s">
        <v>322</v>
      </c>
      <c r="B1738" s="70">
        <v>46266</v>
      </c>
      <c r="C1738" s="69">
        <v>57</v>
      </c>
      <c r="D1738" s="69">
        <v>953</v>
      </c>
      <c r="E1738" s="69">
        <v>58</v>
      </c>
      <c r="F1738" s="67">
        <v>5</v>
      </c>
      <c r="G1738" s="71">
        <v>8.699999999999999</v>
      </c>
    </row>
    <row r="1739" spans="1:7">
      <c r="A1739" s="67" t="s">
        <v>324</v>
      </c>
      <c r="B1739" s="70">
        <v>46266</v>
      </c>
      <c r="C1739" s="69">
        <v>753</v>
      </c>
      <c r="D1739" s="69">
        <v>5319</v>
      </c>
      <c r="E1739" s="69">
        <v>1014</v>
      </c>
      <c r="F1739" s="67">
        <v>8</v>
      </c>
      <c r="G1739" s="71">
        <v>16.8</v>
      </c>
    </row>
    <row r="1740" spans="1:7">
      <c r="A1740" s="67" t="s">
        <v>326</v>
      </c>
      <c r="B1740" s="70">
        <v>46266</v>
      </c>
      <c r="C1740" s="69">
        <v>39</v>
      </c>
      <c r="D1740" s="69">
        <v>377</v>
      </c>
      <c r="E1740" s="69">
        <v>26</v>
      </c>
      <c r="F1740" s="67">
        <v>7</v>
      </c>
      <c r="G1740" s="71">
        <v>24.1</v>
      </c>
    </row>
    <row r="1741" spans="1:7">
      <c r="A1741" s="67" t="s">
        <v>328</v>
      </c>
      <c r="B1741" s="70">
        <v>46266</v>
      </c>
      <c r="C1741" s="69">
        <v>153</v>
      </c>
      <c r="D1741" s="69">
        <v>1991</v>
      </c>
      <c r="E1741" s="69">
        <v>246</v>
      </c>
      <c r="F1741" s="67">
        <v>5</v>
      </c>
      <c r="G1741" s="71">
        <v>29.3</v>
      </c>
    </row>
    <row r="1742" spans="1:7">
      <c r="A1742" s="67" t="s">
        <v>330</v>
      </c>
      <c r="B1742" s="70">
        <v>46266</v>
      </c>
      <c r="C1742" s="69">
        <v>42</v>
      </c>
      <c r="D1742" s="69">
        <v>343</v>
      </c>
      <c r="E1742" s="69">
        <v>79</v>
      </c>
      <c r="F1742" s="67">
        <v>7</v>
      </c>
      <c r="G1742" s="71">
        <v>26</v>
      </c>
    </row>
    <row r="1743" spans="1:7">
      <c r="A1743" s="67" t="s">
        <v>332</v>
      </c>
      <c r="B1743" s="70">
        <v>46266</v>
      </c>
      <c r="C1743" s="69">
        <v>38</v>
      </c>
      <c r="D1743" s="69">
        <v>210</v>
      </c>
      <c r="E1743" s="69">
        <v>89</v>
      </c>
      <c r="F1743" s="67">
        <v>9</v>
      </c>
      <c r="G1743" s="71">
        <v>13.2</v>
      </c>
    </row>
    <row r="1744" spans="1:7">
      <c r="A1744" s="67" t="s">
        <v>334</v>
      </c>
      <c r="B1744" s="70">
        <v>46266</v>
      </c>
      <c r="C1744" s="69">
        <v>331</v>
      </c>
      <c r="D1744" s="69">
        <v>2119</v>
      </c>
      <c r="E1744" s="69">
        <v>409</v>
      </c>
      <c r="F1744" s="67">
        <v>3</v>
      </c>
      <c r="G1744" s="71">
        <v>14.4</v>
      </c>
    </row>
    <row r="1745" spans="1:7">
      <c r="A1745" s="67" t="s">
        <v>336</v>
      </c>
      <c r="B1745" s="70">
        <v>46266</v>
      </c>
      <c r="C1745" s="69">
        <v>762</v>
      </c>
      <c r="D1745" s="69">
        <v>5435</v>
      </c>
      <c r="E1745" s="69">
        <v>508</v>
      </c>
      <c r="F1745" s="67">
        <v>5</v>
      </c>
      <c r="G1745" s="71">
        <v>15.5</v>
      </c>
    </row>
    <row r="1746" spans="1:7">
      <c r="A1746" s="67" t="s">
        <v>338</v>
      </c>
      <c r="B1746" s="70">
        <v>46266</v>
      </c>
      <c r="C1746" s="69">
        <v>28</v>
      </c>
      <c r="D1746" s="69">
        <v>331</v>
      </c>
      <c r="E1746" s="69">
        <v>67</v>
      </c>
      <c r="F1746" s="67">
        <v>4</v>
      </c>
      <c r="G1746" s="71">
        <v>24.9</v>
      </c>
    </row>
    <row r="1747" spans="1:7">
      <c r="A1747" s="67" t="s">
        <v>340</v>
      </c>
      <c r="B1747" s="70">
        <v>46266</v>
      </c>
      <c r="C1747" s="69">
        <v>93</v>
      </c>
      <c r="D1747" s="69">
        <v>1418</v>
      </c>
      <c r="E1747" s="69">
        <v>39</v>
      </c>
      <c r="F1747" s="67">
        <v>8</v>
      </c>
      <c r="G1747" s="71">
        <v>8.199999999999999</v>
      </c>
    </row>
    <row r="1748" spans="1:7">
      <c r="A1748" s="67" t="s">
        <v>342</v>
      </c>
      <c r="B1748" s="70">
        <v>46266</v>
      </c>
      <c r="C1748" s="69">
        <v>10</v>
      </c>
      <c r="D1748" s="69">
        <v>95</v>
      </c>
      <c r="E1748" s="69">
        <v>12</v>
      </c>
      <c r="F1748" s="67">
        <v>6</v>
      </c>
      <c r="G1748" s="71">
        <v>21.1</v>
      </c>
    </row>
    <row r="1749" spans="1:7">
      <c r="A1749" s="67" t="s">
        <v>344</v>
      </c>
      <c r="B1749" s="70">
        <v>46266</v>
      </c>
      <c r="C1749" s="69">
        <v>14</v>
      </c>
      <c r="D1749" s="69">
        <v>101</v>
      </c>
      <c r="E1749" s="69">
        <v>14</v>
      </c>
      <c r="F1749" s="67">
        <v>5</v>
      </c>
      <c r="G1749" s="71">
        <v>11.5</v>
      </c>
    </row>
  </sheetData>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sheetPr>
    <tabColor rgb="FF808080"/>
  </sheetPr>
  <dimension ref="A1:G775"/>
  <sheetViews>
    <sheetView workbookViewId="0">
      <pane ySplit="1" topLeftCell="A2" activePane="bottomLeft" state="frozen"/>
      <selection pane="bottomLeft"/>
    </sheetView>
  </sheetViews>
  <sheetFormatPr defaultRowHeight="15"/>
  <cols>
    <col min="1" max="1" width="11.7109375" customWidth="1"/>
    <col min="2" max="2" width="12.7109375" customWidth="1"/>
    <col min="3" max="4" width="13.7109375" customWidth="1"/>
    <col min="5" max="5" width="11.7109375" customWidth="1"/>
    <col min="6" max="6" width="17.7109375" customWidth="1"/>
    <col min="7" max="7" width="7.7109375" customWidth="1"/>
  </cols>
  <sheetData>
    <row r="1" spans="1:7">
      <c r="A1" t="s">
        <v>376</v>
      </c>
      <c r="B1" t="s">
        <v>0</v>
      </c>
      <c r="C1" t="s">
        <v>377</v>
      </c>
      <c r="D1" t="s">
        <v>378</v>
      </c>
      <c r="E1" t="s">
        <v>379</v>
      </c>
      <c r="F1" t="s">
        <v>380</v>
      </c>
      <c r="G1" t="s">
        <v>381</v>
      </c>
    </row>
    <row r="2" spans="1:7">
      <c r="A2" s="67" t="s">
        <v>382</v>
      </c>
      <c r="B2" s="67" t="s">
        <v>14</v>
      </c>
      <c r="C2" s="70">
        <v>45931</v>
      </c>
      <c r="D2" s="70">
        <v>45943</v>
      </c>
      <c r="E2" s="67" t="s">
        <v>383</v>
      </c>
      <c r="F2" s="67" t="s">
        <v>384</v>
      </c>
      <c r="G2" s="67"/>
    </row>
    <row r="3" spans="1:7">
      <c r="A3" s="67" t="s">
        <v>385</v>
      </c>
      <c r="B3" s="67" t="s">
        <v>71</v>
      </c>
      <c r="C3" s="70">
        <v>45931</v>
      </c>
      <c r="D3" s="70">
        <v>45935</v>
      </c>
      <c r="E3" s="67" t="s">
        <v>383</v>
      </c>
      <c r="F3" s="67" t="s">
        <v>386</v>
      </c>
      <c r="G3" s="67">
        <v>4</v>
      </c>
    </row>
    <row r="4" spans="1:7">
      <c r="A4" s="67" t="s">
        <v>387</v>
      </c>
      <c r="B4" s="67" t="s">
        <v>196</v>
      </c>
      <c r="C4" s="70">
        <v>45931</v>
      </c>
      <c r="D4" s="70">
        <v>45931</v>
      </c>
      <c r="E4" s="67" t="s">
        <v>383</v>
      </c>
      <c r="F4" s="67" t="s">
        <v>388</v>
      </c>
      <c r="G4" s="67"/>
    </row>
    <row r="5" spans="1:7">
      <c r="A5" s="67" t="s">
        <v>389</v>
      </c>
      <c r="B5" s="67" t="s">
        <v>276</v>
      </c>
      <c r="C5" s="70">
        <v>45931</v>
      </c>
      <c r="D5" s="70">
        <v>45933</v>
      </c>
      <c r="E5" s="67" t="s">
        <v>390</v>
      </c>
      <c r="F5" s="67" t="s">
        <v>386</v>
      </c>
      <c r="G5" s="67">
        <v>2</v>
      </c>
    </row>
    <row r="6" spans="1:7">
      <c r="A6" s="67" t="s">
        <v>391</v>
      </c>
      <c r="B6" s="67" t="s">
        <v>302</v>
      </c>
      <c r="C6" s="70">
        <v>45931</v>
      </c>
      <c r="D6" s="70">
        <v>45938</v>
      </c>
      <c r="E6" s="67" t="s">
        <v>390</v>
      </c>
      <c r="F6" s="67" t="s">
        <v>392</v>
      </c>
      <c r="G6" s="67">
        <v>5</v>
      </c>
    </row>
    <row r="7" spans="1:7">
      <c r="A7" s="67" t="s">
        <v>393</v>
      </c>
      <c r="B7" s="67" t="s">
        <v>304</v>
      </c>
      <c r="C7" s="70">
        <v>45931</v>
      </c>
      <c r="D7" s="70">
        <v>45942</v>
      </c>
      <c r="E7" s="67" t="s">
        <v>383</v>
      </c>
      <c r="F7" s="67" t="s">
        <v>394</v>
      </c>
      <c r="G7" s="67"/>
    </row>
    <row r="8" spans="1:7">
      <c r="A8" s="67" t="s">
        <v>395</v>
      </c>
      <c r="B8" s="67" t="s">
        <v>304</v>
      </c>
      <c r="C8" s="70">
        <v>45931</v>
      </c>
      <c r="D8" s="70">
        <v>45932</v>
      </c>
      <c r="E8" s="67" t="s">
        <v>383</v>
      </c>
      <c r="F8" s="67" t="s">
        <v>396</v>
      </c>
      <c r="G8" s="67"/>
    </row>
    <row r="9" spans="1:7">
      <c r="A9" s="67" t="s">
        <v>397</v>
      </c>
      <c r="B9" s="67" t="s">
        <v>102</v>
      </c>
      <c r="C9" s="70">
        <v>45932</v>
      </c>
      <c r="D9" s="70">
        <v>45935</v>
      </c>
      <c r="E9" s="67" t="s">
        <v>398</v>
      </c>
      <c r="F9" s="67" t="s">
        <v>392</v>
      </c>
      <c r="G9" s="67">
        <v>3</v>
      </c>
    </row>
    <row r="10" spans="1:7">
      <c r="A10" s="67" t="s">
        <v>399</v>
      </c>
      <c r="B10" s="67" t="s">
        <v>102</v>
      </c>
      <c r="C10" s="70">
        <v>45933</v>
      </c>
      <c r="D10" s="70">
        <v>45943</v>
      </c>
      <c r="E10" s="67" t="s">
        <v>390</v>
      </c>
      <c r="F10" s="67" t="s">
        <v>392</v>
      </c>
      <c r="G10" s="67"/>
    </row>
    <row r="11" spans="1:7">
      <c r="A11" s="67" t="s">
        <v>400</v>
      </c>
      <c r="B11" s="67" t="s">
        <v>148</v>
      </c>
      <c r="C11" s="70">
        <v>45933</v>
      </c>
      <c r="D11" s="70">
        <v>45948</v>
      </c>
      <c r="E11" s="67" t="s">
        <v>390</v>
      </c>
      <c r="F11" s="67" t="s">
        <v>392</v>
      </c>
      <c r="G11" s="67"/>
    </row>
    <row r="12" spans="1:7">
      <c r="A12" s="67" t="s">
        <v>401</v>
      </c>
      <c r="B12" s="67" t="s">
        <v>196</v>
      </c>
      <c r="C12" s="70">
        <v>45933</v>
      </c>
      <c r="D12" s="70">
        <v>45936</v>
      </c>
      <c r="E12" s="67" t="s">
        <v>383</v>
      </c>
      <c r="F12" s="67" t="s">
        <v>394</v>
      </c>
      <c r="G12" s="67">
        <v>3</v>
      </c>
    </row>
    <row r="13" spans="1:7">
      <c r="A13" s="67" t="s">
        <v>402</v>
      </c>
      <c r="B13" s="67" t="s">
        <v>202</v>
      </c>
      <c r="C13" s="70">
        <v>45933</v>
      </c>
      <c r="D13" s="70">
        <v>45940</v>
      </c>
      <c r="E13" s="67" t="s">
        <v>383</v>
      </c>
      <c r="F13" s="67" t="s">
        <v>384</v>
      </c>
      <c r="G13" s="67"/>
    </row>
    <row r="14" spans="1:7">
      <c r="A14" s="67" t="s">
        <v>403</v>
      </c>
      <c r="B14" s="67" t="s">
        <v>334</v>
      </c>
      <c r="C14" s="70">
        <v>45933</v>
      </c>
      <c r="D14" s="70">
        <v>45939</v>
      </c>
      <c r="E14" s="67" t="s">
        <v>404</v>
      </c>
      <c r="F14" s="67" t="s">
        <v>384</v>
      </c>
      <c r="G14" s="67"/>
    </row>
    <row r="15" spans="1:7">
      <c r="A15" s="67" t="s">
        <v>405</v>
      </c>
      <c r="B15" s="67" t="s">
        <v>152</v>
      </c>
      <c r="C15" s="70">
        <v>45934</v>
      </c>
      <c r="D15" s="70">
        <v>45941</v>
      </c>
      <c r="E15" s="67" t="s">
        <v>383</v>
      </c>
      <c r="F15" s="67" t="s">
        <v>396</v>
      </c>
      <c r="G15" s="67"/>
    </row>
    <row r="16" spans="1:7">
      <c r="A16" s="67" t="s">
        <v>406</v>
      </c>
      <c r="B16" s="67" t="s">
        <v>102</v>
      </c>
      <c r="C16" s="70">
        <v>45935</v>
      </c>
      <c r="D16" s="70">
        <v>45951</v>
      </c>
      <c r="E16" s="67" t="s">
        <v>383</v>
      </c>
      <c r="F16" s="67" t="s">
        <v>384</v>
      </c>
      <c r="G16" s="67">
        <v>2</v>
      </c>
    </row>
    <row r="17" spans="1:7">
      <c r="A17" s="67" t="s">
        <v>407</v>
      </c>
      <c r="B17" s="67" t="s">
        <v>224</v>
      </c>
      <c r="C17" s="70">
        <v>45935</v>
      </c>
      <c r="D17" s="70">
        <v>45950</v>
      </c>
      <c r="E17" s="67" t="s">
        <v>383</v>
      </c>
      <c r="F17" s="67" t="s">
        <v>408</v>
      </c>
      <c r="G17" s="67">
        <v>4</v>
      </c>
    </row>
    <row r="18" spans="1:7">
      <c r="A18" s="67" t="s">
        <v>409</v>
      </c>
      <c r="B18" s="67" t="s">
        <v>342</v>
      </c>
      <c r="C18" s="70">
        <v>45935</v>
      </c>
      <c r="D18" s="70">
        <v>45935</v>
      </c>
      <c r="E18" s="67" t="s">
        <v>398</v>
      </c>
      <c r="F18" s="67" t="s">
        <v>396</v>
      </c>
      <c r="G18" s="67"/>
    </row>
    <row r="19" spans="1:7">
      <c r="A19" s="67" t="s">
        <v>410</v>
      </c>
      <c r="B19" s="67" t="s">
        <v>102</v>
      </c>
      <c r="C19" s="70">
        <v>45936</v>
      </c>
      <c r="D19" s="70">
        <v>45950</v>
      </c>
      <c r="E19" s="67" t="s">
        <v>383</v>
      </c>
      <c r="F19" s="67" t="s">
        <v>394</v>
      </c>
      <c r="G19" s="67"/>
    </row>
    <row r="20" spans="1:7">
      <c r="A20" s="67" t="s">
        <v>411</v>
      </c>
      <c r="B20" s="67" t="s">
        <v>194</v>
      </c>
      <c r="C20" s="70">
        <v>45936</v>
      </c>
      <c r="D20" s="70">
        <v>45937</v>
      </c>
      <c r="E20" s="67" t="s">
        <v>404</v>
      </c>
      <c r="F20" s="67" t="s">
        <v>386</v>
      </c>
      <c r="G20" s="67">
        <v>4</v>
      </c>
    </row>
    <row r="21" spans="1:7">
      <c r="A21" s="67" t="s">
        <v>412</v>
      </c>
      <c r="B21" s="67" t="s">
        <v>196</v>
      </c>
      <c r="C21" s="70">
        <v>45936</v>
      </c>
      <c r="D21" s="70">
        <v>45936</v>
      </c>
      <c r="E21" s="67" t="s">
        <v>404</v>
      </c>
      <c r="F21" s="67" t="s">
        <v>386</v>
      </c>
      <c r="G21" s="67">
        <v>2</v>
      </c>
    </row>
    <row r="22" spans="1:7">
      <c r="A22" s="67" t="s">
        <v>413</v>
      </c>
      <c r="B22" s="67" t="s">
        <v>224</v>
      </c>
      <c r="C22" s="70">
        <v>45936</v>
      </c>
      <c r="D22" s="70">
        <v>45942</v>
      </c>
      <c r="E22" s="67" t="s">
        <v>383</v>
      </c>
      <c r="F22" s="67" t="s">
        <v>388</v>
      </c>
      <c r="G22" s="67">
        <v>3</v>
      </c>
    </row>
    <row r="23" spans="1:7">
      <c r="A23" s="67" t="s">
        <v>414</v>
      </c>
      <c r="B23" s="67" t="s">
        <v>304</v>
      </c>
      <c r="C23" s="70">
        <v>45936</v>
      </c>
      <c r="D23" s="70">
        <v>45952</v>
      </c>
      <c r="E23" s="67" t="s">
        <v>390</v>
      </c>
      <c r="F23" s="67" t="s">
        <v>388</v>
      </c>
      <c r="G23" s="67">
        <v>3</v>
      </c>
    </row>
    <row r="24" spans="1:7">
      <c r="A24" s="67" t="s">
        <v>415</v>
      </c>
      <c r="B24" s="67" t="s">
        <v>71</v>
      </c>
      <c r="C24" s="70">
        <v>45937</v>
      </c>
      <c r="D24" s="70">
        <v>45963</v>
      </c>
      <c r="E24" s="67" t="s">
        <v>390</v>
      </c>
      <c r="F24" s="67" t="s">
        <v>388</v>
      </c>
      <c r="G24" s="67"/>
    </row>
    <row r="25" spans="1:7">
      <c r="A25" s="67" t="s">
        <v>416</v>
      </c>
      <c r="B25" s="67" t="s">
        <v>172</v>
      </c>
      <c r="C25" s="70">
        <v>45937</v>
      </c>
      <c r="D25" s="70">
        <v>45942</v>
      </c>
      <c r="E25" s="67" t="s">
        <v>390</v>
      </c>
      <c r="F25" s="67" t="s">
        <v>394</v>
      </c>
      <c r="G25" s="67"/>
    </row>
    <row r="26" spans="1:7">
      <c r="A26" s="67" t="s">
        <v>417</v>
      </c>
      <c r="B26" s="67" t="s">
        <v>196</v>
      </c>
      <c r="C26" s="70">
        <v>45937</v>
      </c>
      <c r="D26" s="70">
        <v>45947</v>
      </c>
      <c r="E26" s="67" t="s">
        <v>383</v>
      </c>
      <c r="F26" s="67" t="s">
        <v>394</v>
      </c>
      <c r="G26" s="67">
        <v>4</v>
      </c>
    </row>
    <row r="27" spans="1:7">
      <c r="A27" s="67" t="s">
        <v>418</v>
      </c>
      <c r="B27" s="67" t="s">
        <v>71</v>
      </c>
      <c r="C27" s="70">
        <v>45938</v>
      </c>
      <c r="D27" s="70">
        <v>45938</v>
      </c>
      <c r="E27" s="67" t="s">
        <v>383</v>
      </c>
      <c r="F27" s="67" t="s">
        <v>388</v>
      </c>
      <c r="G27" s="67">
        <v>4</v>
      </c>
    </row>
    <row r="28" spans="1:7">
      <c r="A28" s="67" t="s">
        <v>419</v>
      </c>
      <c r="B28" s="67" t="s">
        <v>102</v>
      </c>
      <c r="C28" s="70">
        <v>45938</v>
      </c>
      <c r="D28" s="70">
        <v>45944</v>
      </c>
      <c r="E28" s="67" t="s">
        <v>390</v>
      </c>
      <c r="F28" s="67" t="s">
        <v>384</v>
      </c>
      <c r="G28" s="67">
        <v>5</v>
      </c>
    </row>
    <row r="29" spans="1:7">
      <c r="A29" s="67" t="s">
        <v>420</v>
      </c>
      <c r="B29" s="67" t="s">
        <v>102</v>
      </c>
      <c r="C29" s="70">
        <v>45938</v>
      </c>
      <c r="D29" s="70">
        <v>45938</v>
      </c>
      <c r="E29" s="67" t="s">
        <v>404</v>
      </c>
      <c r="F29" s="67" t="s">
        <v>384</v>
      </c>
      <c r="G29" s="67"/>
    </row>
    <row r="30" spans="1:7">
      <c r="A30" s="67" t="s">
        <v>421</v>
      </c>
      <c r="B30" s="67" t="s">
        <v>182</v>
      </c>
      <c r="C30" s="70">
        <v>45938</v>
      </c>
      <c r="D30" s="70">
        <v>45953</v>
      </c>
      <c r="E30" s="67" t="s">
        <v>383</v>
      </c>
      <c r="F30" s="67" t="s">
        <v>408</v>
      </c>
      <c r="G30" s="67"/>
    </row>
    <row r="31" spans="1:7">
      <c r="A31" s="67" t="s">
        <v>422</v>
      </c>
      <c r="B31" s="67" t="s">
        <v>304</v>
      </c>
      <c r="C31" s="70">
        <v>45938</v>
      </c>
      <c r="D31" s="70">
        <v>45948</v>
      </c>
      <c r="E31" s="67" t="s">
        <v>390</v>
      </c>
      <c r="F31" s="67" t="s">
        <v>392</v>
      </c>
      <c r="G31" s="67">
        <v>3</v>
      </c>
    </row>
    <row r="32" spans="1:7">
      <c r="A32" s="67" t="s">
        <v>423</v>
      </c>
      <c r="B32" s="67" t="s">
        <v>96</v>
      </c>
      <c r="C32" s="70">
        <v>45939</v>
      </c>
      <c r="D32" s="70">
        <v>45987</v>
      </c>
      <c r="E32" s="67" t="s">
        <v>383</v>
      </c>
      <c r="F32" s="67" t="s">
        <v>396</v>
      </c>
      <c r="G32" s="67"/>
    </row>
    <row r="33" spans="1:7">
      <c r="A33" s="67" t="s">
        <v>424</v>
      </c>
      <c r="B33" s="67" t="s">
        <v>102</v>
      </c>
      <c r="C33" s="70">
        <v>45939</v>
      </c>
      <c r="D33" s="70">
        <v>45940</v>
      </c>
      <c r="E33" s="67" t="s">
        <v>383</v>
      </c>
      <c r="F33" s="67" t="s">
        <v>394</v>
      </c>
      <c r="G33" s="67">
        <v>2</v>
      </c>
    </row>
    <row r="34" spans="1:7">
      <c r="A34" s="67" t="s">
        <v>425</v>
      </c>
      <c r="B34" s="67" t="s">
        <v>122</v>
      </c>
      <c r="C34" s="70">
        <v>45939</v>
      </c>
      <c r="D34" s="70">
        <v>45943</v>
      </c>
      <c r="E34" s="67" t="s">
        <v>404</v>
      </c>
      <c r="F34" s="67" t="s">
        <v>384</v>
      </c>
      <c r="G34" s="67"/>
    </row>
    <row r="35" spans="1:7">
      <c r="A35" s="67" t="s">
        <v>426</v>
      </c>
      <c r="B35" s="67" t="s">
        <v>35</v>
      </c>
      <c r="C35" s="70">
        <v>45940</v>
      </c>
      <c r="D35" s="70">
        <v>45954</v>
      </c>
      <c r="E35" s="67" t="s">
        <v>390</v>
      </c>
      <c r="F35" s="67" t="s">
        <v>386</v>
      </c>
      <c r="G35" s="67">
        <v>3</v>
      </c>
    </row>
    <row r="36" spans="1:7">
      <c r="A36" s="67" t="s">
        <v>427</v>
      </c>
      <c r="B36" s="67" t="s">
        <v>98</v>
      </c>
      <c r="C36" s="70">
        <v>45940</v>
      </c>
      <c r="D36" s="70">
        <v>45940</v>
      </c>
      <c r="E36" s="67" t="s">
        <v>398</v>
      </c>
      <c r="F36" s="67" t="s">
        <v>396</v>
      </c>
      <c r="G36" s="67">
        <v>3</v>
      </c>
    </row>
    <row r="37" spans="1:7">
      <c r="A37" s="67" t="s">
        <v>428</v>
      </c>
      <c r="B37" s="67" t="s">
        <v>170</v>
      </c>
      <c r="C37" s="70">
        <v>45940</v>
      </c>
      <c r="D37" s="70">
        <v>45942</v>
      </c>
      <c r="E37" s="67" t="s">
        <v>383</v>
      </c>
      <c r="F37" s="67" t="s">
        <v>386</v>
      </c>
      <c r="G37" s="67">
        <v>3</v>
      </c>
    </row>
    <row r="38" spans="1:7">
      <c r="A38" s="67" t="s">
        <v>429</v>
      </c>
      <c r="B38" s="67" t="s">
        <v>98</v>
      </c>
      <c r="C38" s="70">
        <v>45941</v>
      </c>
      <c r="D38" s="70">
        <v>45944</v>
      </c>
      <c r="E38" s="67" t="s">
        <v>383</v>
      </c>
      <c r="F38" s="67" t="s">
        <v>386</v>
      </c>
      <c r="G38" s="67"/>
    </row>
    <row r="39" spans="1:7">
      <c r="A39" s="67" t="s">
        <v>430</v>
      </c>
      <c r="B39" s="67" t="s">
        <v>248</v>
      </c>
      <c r="C39" s="70">
        <v>45941</v>
      </c>
      <c r="D39" s="70">
        <v>45952</v>
      </c>
      <c r="E39" s="67" t="s">
        <v>383</v>
      </c>
      <c r="F39" s="67" t="s">
        <v>394</v>
      </c>
      <c r="G39" s="67"/>
    </row>
    <row r="40" spans="1:7">
      <c r="A40" s="67" t="s">
        <v>431</v>
      </c>
      <c r="B40" s="67" t="s">
        <v>292</v>
      </c>
      <c r="C40" s="70">
        <v>45941</v>
      </c>
      <c r="D40" s="70">
        <v>45954</v>
      </c>
      <c r="E40" s="67" t="s">
        <v>404</v>
      </c>
      <c r="F40" s="67" t="s">
        <v>408</v>
      </c>
      <c r="G40" s="67"/>
    </row>
    <row r="41" spans="1:7">
      <c r="A41" s="67" t="s">
        <v>432</v>
      </c>
      <c r="B41" s="67" t="s">
        <v>320</v>
      </c>
      <c r="C41" s="70">
        <v>45941</v>
      </c>
      <c r="D41" s="70">
        <v>45942</v>
      </c>
      <c r="E41" s="67" t="s">
        <v>404</v>
      </c>
      <c r="F41" s="67" t="s">
        <v>386</v>
      </c>
      <c r="G41" s="67"/>
    </row>
    <row r="42" spans="1:7">
      <c r="A42" s="67" t="s">
        <v>433</v>
      </c>
      <c r="B42" s="67" t="s">
        <v>35</v>
      </c>
      <c r="C42" s="70">
        <v>45942</v>
      </c>
      <c r="D42" s="70">
        <v>45946</v>
      </c>
      <c r="E42" s="67" t="s">
        <v>390</v>
      </c>
      <c r="F42" s="67" t="s">
        <v>408</v>
      </c>
      <c r="G42" s="67"/>
    </row>
    <row r="43" spans="1:7">
      <c r="A43" s="67" t="s">
        <v>434</v>
      </c>
      <c r="B43" s="67" t="s">
        <v>124</v>
      </c>
      <c r="C43" s="70">
        <v>45942</v>
      </c>
      <c r="D43" s="70">
        <v>45949</v>
      </c>
      <c r="E43" s="67" t="s">
        <v>383</v>
      </c>
      <c r="F43" s="67" t="s">
        <v>408</v>
      </c>
      <c r="G43" s="67">
        <v>2</v>
      </c>
    </row>
    <row r="44" spans="1:7">
      <c r="A44" s="67" t="s">
        <v>435</v>
      </c>
      <c r="B44" s="67" t="s">
        <v>172</v>
      </c>
      <c r="C44" s="70">
        <v>45942</v>
      </c>
      <c r="D44" s="70">
        <v>45964</v>
      </c>
      <c r="E44" s="67" t="s">
        <v>390</v>
      </c>
      <c r="F44" s="67" t="s">
        <v>408</v>
      </c>
      <c r="G44" s="67">
        <v>5</v>
      </c>
    </row>
    <row r="45" spans="1:7">
      <c r="A45" s="67" t="s">
        <v>436</v>
      </c>
      <c r="B45" s="67" t="s">
        <v>200</v>
      </c>
      <c r="C45" s="70">
        <v>45942</v>
      </c>
      <c r="D45" s="70">
        <v>45967</v>
      </c>
      <c r="E45" s="67" t="s">
        <v>390</v>
      </c>
      <c r="F45" s="67" t="s">
        <v>408</v>
      </c>
      <c r="G45" s="67">
        <v>4</v>
      </c>
    </row>
    <row r="46" spans="1:7">
      <c r="A46" s="67" t="s">
        <v>437</v>
      </c>
      <c r="B46" s="67" t="s">
        <v>274</v>
      </c>
      <c r="C46" s="70">
        <v>45942</v>
      </c>
      <c r="D46" s="70">
        <v>45944</v>
      </c>
      <c r="E46" s="67" t="s">
        <v>383</v>
      </c>
      <c r="F46" s="67" t="s">
        <v>392</v>
      </c>
      <c r="G46" s="67"/>
    </row>
    <row r="47" spans="1:7">
      <c r="A47" s="67" t="s">
        <v>438</v>
      </c>
      <c r="B47" s="67" t="s">
        <v>336</v>
      </c>
      <c r="C47" s="70">
        <v>45942</v>
      </c>
      <c r="D47" s="70">
        <v>45947</v>
      </c>
      <c r="E47" s="67" t="s">
        <v>383</v>
      </c>
      <c r="F47" s="67" t="s">
        <v>396</v>
      </c>
      <c r="G47" s="67">
        <v>5</v>
      </c>
    </row>
    <row r="48" spans="1:7">
      <c r="A48" s="67" t="s">
        <v>439</v>
      </c>
      <c r="B48" s="67" t="s">
        <v>57</v>
      </c>
      <c r="C48" s="70">
        <v>45943</v>
      </c>
      <c r="D48" s="70">
        <v>45958</v>
      </c>
      <c r="E48" s="67" t="s">
        <v>383</v>
      </c>
      <c r="F48" s="67" t="s">
        <v>396</v>
      </c>
      <c r="G48" s="67">
        <v>5</v>
      </c>
    </row>
    <row r="49" spans="1:7">
      <c r="A49" s="67" t="s">
        <v>440</v>
      </c>
      <c r="B49" s="67" t="s">
        <v>182</v>
      </c>
      <c r="C49" s="70">
        <v>45943</v>
      </c>
      <c r="D49" s="70">
        <v>45964</v>
      </c>
      <c r="E49" s="67" t="s">
        <v>390</v>
      </c>
      <c r="F49" s="67" t="s">
        <v>392</v>
      </c>
      <c r="G49" s="67">
        <v>4</v>
      </c>
    </row>
    <row r="50" spans="1:7">
      <c r="A50" s="67" t="s">
        <v>441</v>
      </c>
      <c r="B50" s="67" t="s">
        <v>200</v>
      </c>
      <c r="C50" s="70">
        <v>45943</v>
      </c>
      <c r="D50" s="70">
        <v>45943</v>
      </c>
      <c r="E50" s="67" t="s">
        <v>404</v>
      </c>
      <c r="F50" s="67" t="s">
        <v>396</v>
      </c>
      <c r="G50" s="67">
        <v>3</v>
      </c>
    </row>
    <row r="51" spans="1:7">
      <c r="A51" s="67" t="s">
        <v>442</v>
      </c>
      <c r="B51" s="67" t="s">
        <v>264</v>
      </c>
      <c r="C51" s="70">
        <v>45943</v>
      </c>
      <c r="D51" s="70">
        <v>45946</v>
      </c>
      <c r="E51" s="67" t="s">
        <v>383</v>
      </c>
      <c r="F51" s="67" t="s">
        <v>392</v>
      </c>
      <c r="G51" s="67"/>
    </row>
    <row r="52" spans="1:7">
      <c r="A52" s="67" t="s">
        <v>443</v>
      </c>
      <c r="B52" s="67" t="s">
        <v>328</v>
      </c>
      <c r="C52" s="70">
        <v>45943</v>
      </c>
      <c r="D52" s="70">
        <v>45960</v>
      </c>
      <c r="E52" s="67" t="s">
        <v>390</v>
      </c>
      <c r="F52" s="67" t="s">
        <v>408</v>
      </c>
      <c r="G52" s="67">
        <v>5</v>
      </c>
    </row>
    <row r="53" spans="1:7">
      <c r="A53" s="67" t="s">
        <v>444</v>
      </c>
      <c r="B53" s="67" t="s">
        <v>14</v>
      </c>
      <c r="C53" s="70">
        <v>45944</v>
      </c>
      <c r="D53" s="70">
        <v>45945</v>
      </c>
      <c r="E53" s="67" t="s">
        <v>404</v>
      </c>
      <c r="F53" s="67" t="s">
        <v>388</v>
      </c>
      <c r="G53" s="67"/>
    </row>
    <row r="54" spans="1:7">
      <c r="A54" s="67" t="s">
        <v>445</v>
      </c>
      <c r="B54" s="67" t="s">
        <v>102</v>
      </c>
      <c r="C54" s="70">
        <v>45944</v>
      </c>
      <c r="D54" s="70">
        <v>45944</v>
      </c>
      <c r="E54" s="67" t="s">
        <v>390</v>
      </c>
      <c r="F54" s="67" t="s">
        <v>386</v>
      </c>
      <c r="G54" s="67"/>
    </row>
    <row r="55" spans="1:7">
      <c r="A55" s="67" t="s">
        <v>446</v>
      </c>
      <c r="B55" s="67" t="s">
        <v>106</v>
      </c>
      <c r="C55" s="70">
        <v>45944</v>
      </c>
      <c r="D55" s="70">
        <v>45963</v>
      </c>
      <c r="E55" s="67" t="s">
        <v>383</v>
      </c>
      <c r="F55" s="67" t="s">
        <v>394</v>
      </c>
      <c r="G55" s="67">
        <v>5</v>
      </c>
    </row>
    <row r="56" spans="1:7">
      <c r="A56" s="67" t="s">
        <v>447</v>
      </c>
      <c r="B56" s="67" t="s">
        <v>110</v>
      </c>
      <c r="C56" s="70">
        <v>45944</v>
      </c>
      <c r="D56" s="70">
        <v>45945</v>
      </c>
      <c r="E56" s="67" t="s">
        <v>390</v>
      </c>
      <c r="F56" s="67" t="s">
        <v>386</v>
      </c>
      <c r="G56" s="67">
        <v>4</v>
      </c>
    </row>
    <row r="57" spans="1:7">
      <c r="A57" s="67" t="s">
        <v>448</v>
      </c>
      <c r="B57" s="67" t="s">
        <v>304</v>
      </c>
      <c r="C57" s="70">
        <v>45944</v>
      </c>
      <c r="D57" s="70">
        <v>45945</v>
      </c>
      <c r="E57" s="67" t="s">
        <v>404</v>
      </c>
      <c r="F57" s="67" t="s">
        <v>396</v>
      </c>
      <c r="G57" s="67"/>
    </row>
    <row r="58" spans="1:7">
      <c r="A58" s="67" t="s">
        <v>449</v>
      </c>
      <c r="B58" s="67" t="s">
        <v>304</v>
      </c>
      <c r="C58" s="70">
        <v>45944</v>
      </c>
      <c r="D58" s="70">
        <v>45961</v>
      </c>
      <c r="E58" s="67" t="s">
        <v>390</v>
      </c>
      <c r="F58" s="67" t="s">
        <v>408</v>
      </c>
      <c r="G58" s="67">
        <v>3</v>
      </c>
    </row>
    <row r="59" spans="1:7">
      <c r="A59" s="67" t="s">
        <v>450</v>
      </c>
      <c r="B59" s="67" t="s">
        <v>328</v>
      </c>
      <c r="C59" s="70">
        <v>45944</v>
      </c>
      <c r="D59" s="70">
        <v>46006</v>
      </c>
      <c r="E59" s="67" t="s">
        <v>390</v>
      </c>
      <c r="F59" s="67" t="s">
        <v>384</v>
      </c>
      <c r="G59" s="67">
        <v>4</v>
      </c>
    </row>
    <row r="60" spans="1:7">
      <c r="A60" s="67" t="s">
        <v>451</v>
      </c>
      <c r="B60" s="67" t="s">
        <v>122</v>
      </c>
      <c r="C60" s="70">
        <v>45945</v>
      </c>
      <c r="D60" s="70">
        <v>45971</v>
      </c>
      <c r="E60" s="67" t="s">
        <v>390</v>
      </c>
      <c r="F60" s="67" t="s">
        <v>408</v>
      </c>
      <c r="G60" s="67">
        <v>4</v>
      </c>
    </row>
    <row r="61" spans="1:7">
      <c r="A61" s="67" t="s">
        <v>452</v>
      </c>
      <c r="B61" s="67" t="s">
        <v>144</v>
      </c>
      <c r="C61" s="70">
        <v>45945</v>
      </c>
      <c r="D61" s="70">
        <v>45945</v>
      </c>
      <c r="E61" s="67" t="s">
        <v>398</v>
      </c>
      <c r="F61" s="67" t="s">
        <v>396</v>
      </c>
      <c r="G61" s="67">
        <v>4</v>
      </c>
    </row>
    <row r="62" spans="1:7">
      <c r="A62" s="67" t="s">
        <v>453</v>
      </c>
      <c r="B62" s="67" t="s">
        <v>196</v>
      </c>
      <c r="C62" s="70">
        <v>45946</v>
      </c>
      <c r="D62" s="70">
        <v>45951</v>
      </c>
      <c r="E62" s="67" t="s">
        <v>383</v>
      </c>
      <c r="F62" s="67" t="s">
        <v>384</v>
      </c>
      <c r="G62" s="67">
        <v>2</v>
      </c>
    </row>
    <row r="63" spans="1:7">
      <c r="A63" s="67" t="s">
        <v>454</v>
      </c>
      <c r="B63" s="67" t="s">
        <v>198</v>
      </c>
      <c r="C63" s="70">
        <v>45946</v>
      </c>
      <c r="D63" s="70">
        <v>45983</v>
      </c>
      <c r="E63" s="67" t="s">
        <v>390</v>
      </c>
      <c r="F63" s="67" t="s">
        <v>394</v>
      </c>
      <c r="G63" s="67">
        <v>3</v>
      </c>
    </row>
    <row r="64" spans="1:7">
      <c r="A64" s="67" t="s">
        <v>455</v>
      </c>
      <c r="B64" s="67" t="s">
        <v>208</v>
      </c>
      <c r="C64" s="70">
        <v>45946</v>
      </c>
      <c r="D64" s="70">
        <v>45948</v>
      </c>
      <c r="E64" s="67" t="s">
        <v>383</v>
      </c>
      <c r="F64" s="67" t="s">
        <v>384</v>
      </c>
      <c r="G64" s="67"/>
    </row>
    <row r="65" spans="1:7">
      <c r="A65" s="67" t="s">
        <v>456</v>
      </c>
      <c r="B65" s="67" t="s">
        <v>200</v>
      </c>
      <c r="C65" s="70">
        <v>45947</v>
      </c>
      <c r="D65" s="70">
        <v>45976</v>
      </c>
      <c r="E65" s="67" t="s">
        <v>390</v>
      </c>
      <c r="F65" s="67" t="s">
        <v>384</v>
      </c>
      <c r="G65" s="67"/>
    </row>
    <row r="66" spans="1:7">
      <c r="A66" s="67" t="s">
        <v>457</v>
      </c>
      <c r="B66" s="67" t="s">
        <v>102</v>
      </c>
      <c r="C66" s="70">
        <v>45948</v>
      </c>
      <c r="D66" s="70">
        <v>45968</v>
      </c>
      <c r="E66" s="67" t="s">
        <v>383</v>
      </c>
      <c r="F66" s="67" t="s">
        <v>394</v>
      </c>
      <c r="G66" s="67">
        <v>3</v>
      </c>
    </row>
    <row r="67" spans="1:7">
      <c r="A67" s="67" t="s">
        <v>458</v>
      </c>
      <c r="B67" s="67" t="s">
        <v>110</v>
      </c>
      <c r="C67" s="70">
        <v>45948</v>
      </c>
      <c r="D67" s="70">
        <v>45970</v>
      </c>
      <c r="E67" s="67" t="s">
        <v>390</v>
      </c>
      <c r="F67" s="67" t="s">
        <v>396</v>
      </c>
      <c r="G67" s="67"/>
    </row>
    <row r="68" spans="1:7">
      <c r="A68" s="67" t="s">
        <v>459</v>
      </c>
      <c r="B68" s="67" t="s">
        <v>194</v>
      </c>
      <c r="C68" s="70">
        <v>45948</v>
      </c>
      <c r="D68" s="70">
        <v>45951</v>
      </c>
      <c r="E68" s="67" t="s">
        <v>383</v>
      </c>
      <c r="F68" s="67" t="s">
        <v>394</v>
      </c>
      <c r="G68" s="67"/>
    </row>
    <row r="69" spans="1:7">
      <c r="A69" s="67" t="s">
        <v>460</v>
      </c>
      <c r="B69" s="67" t="s">
        <v>340</v>
      </c>
      <c r="C69" s="70">
        <v>45948</v>
      </c>
      <c r="D69" s="70">
        <v>45991</v>
      </c>
      <c r="E69" s="67" t="s">
        <v>390</v>
      </c>
      <c r="F69" s="67" t="s">
        <v>388</v>
      </c>
      <c r="G69" s="67"/>
    </row>
    <row r="70" spans="1:7">
      <c r="A70" s="67" t="s">
        <v>461</v>
      </c>
      <c r="B70" s="67" t="s">
        <v>166</v>
      </c>
      <c r="C70" s="70">
        <v>45949</v>
      </c>
      <c r="D70" s="70">
        <v>45962</v>
      </c>
      <c r="E70" s="67" t="s">
        <v>383</v>
      </c>
      <c r="F70" s="67" t="s">
        <v>394</v>
      </c>
      <c r="G70" s="67">
        <v>5</v>
      </c>
    </row>
    <row r="71" spans="1:7">
      <c r="A71" s="67" t="s">
        <v>462</v>
      </c>
      <c r="B71" s="67" t="s">
        <v>170</v>
      </c>
      <c r="C71" s="70">
        <v>45949</v>
      </c>
      <c r="D71" s="70">
        <v>45953</v>
      </c>
      <c r="E71" s="67" t="s">
        <v>390</v>
      </c>
      <c r="F71" s="67" t="s">
        <v>396</v>
      </c>
      <c r="G71" s="67">
        <v>4</v>
      </c>
    </row>
    <row r="72" spans="1:7">
      <c r="A72" s="67" t="s">
        <v>463</v>
      </c>
      <c r="B72" s="67" t="s">
        <v>226</v>
      </c>
      <c r="C72" s="70">
        <v>45949</v>
      </c>
      <c r="D72" s="70">
        <v>45951</v>
      </c>
      <c r="E72" s="67" t="s">
        <v>383</v>
      </c>
      <c r="F72" s="67" t="s">
        <v>396</v>
      </c>
      <c r="G72" s="67"/>
    </row>
    <row r="73" spans="1:7">
      <c r="A73" s="67" t="s">
        <v>464</v>
      </c>
      <c r="B73" s="67" t="s">
        <v>304</v>
      </c>
      <c r="C73" s="70">
        <v>45949</v>
      </c>
      <c r="D73" s="70">
        <v>45955</v>
      </c>
      <c r="E73" s="67" t="s">
        <v>404</v>
      </c>
      <c r="F73" s="67" t="s">
        <v>384</v>
      </c>
      <c r="G73" s="67">
        <v>3</v>
      </c>
    </row>
    <row r="74" spans="1:7">
      <c r="A74" s="67" t="s">
        <v>465</v>
      </c>
      <c r="B74" s="67" t="s">
        <v>136</v>
      </c>
      <c r="C74" s="70">
        <v>45950</v>
      </c>
      <c r="D74" s="70">
        <v>45980</v>
      </c>
      <c r="E74" s="67" t="s">
        <v>390</v>
      </c>
      <c r="F74" s="67" t="s">
        <v>394</v>
      </c>
      <c r="G74" s="67"/>
    </row>
    <row r="75" spans="1:7">
      <c r="A75" s="67" t="s">
        <v>466</v>
      </c>
      <c r="B75" s="67" t="s">
        <v>196</v>
      </c>
      <c r="C75" s="70">
        <v>45950</v>
      </c>
      <c r="D75" s="70">
        <v>45950</v>
      </c>
      <c r="E75" s="67" t="s">
        <v>383</v>
      </c>
      <c r="F75" s="67" t="s">
        <v>396</v>
      </c>
      <c r="G75" s="67">
        <v>4</v>
      </c>
    </row>
    <row r="76" spans="1:7">
      <c r="A76" s="67" t="s">
        <v>467</v>
      </c>
      <c r="B76" s="67" t="s">
        <v>102</v>
      </c>
      <c r="C76" s="70">
        <v>45951</v>
      </c>
      <c r="D76" s="70">
        <v>45966</v>
      </c>
      <c r="E76" s="67" t="s">
        <v>390</v>
      </c>
      <c r="F76" s="67" t="s">
        <v>408</v>
      </c>
      <c r="G76" s="67">
        <v>4</v>
      </c>
    </row>
    <row r="77" spans="1:7">
      <c r="A77" s="67" t="s">
        <v>468</v>
      </c>
      <c r="B77" s="67" t="s">
        <v>118</v>
      </c>
      <c r="C77" s="70">
        <v>45951</v>
      </c>
      <c r="D77" s="70">
        <v>45970</v>
      </c>
      <c r="E77" s="67" t="s">
        <v>383</v>
      </c>
      <c r="F77" s="67" t="s">
        <v>384</v>
      </c>
      <c r="G77" s="67">
        <v>4</v>
      </c>
    </row>
    <row r="78" spans="1:7">
      <c r="A78" s="67" t="s">
        <v>469</v>
      </c>
      <c r="B78" s="67" t="s">
        <v>122</v>
      </c>
      <c r="C78" s="70">
        <v>45951</v>
      </c>
      <c r="D78" s="70">
        <v>45964</v>
      </c>
      <c r="E78" s="67" t="s">
        <v>383</v>
      </c>
      <c r="F78" s="67" t="s">
        <v>388</v>
      </c>
      <c r="G78" s="67"/>
    </row>
    <row r="79" spans="1:7">
      <c r="A79" s="67" t="s">
        <v>470</v>
      </c>
      <c r="B79" s="67" t="s">
        <v>196</v>
      </c>
      <c r="C79" s="70">
        <v>45951</v>
      </c>
      <c r="D79" s="70">
        <v>45953</v>
      </c>
      <c r="E79" s="67" t="s">
        <v>404</v>
      </c>
      <c r="F79" s="67" t="s">
        <v>386</v>
      </c>
      <c r="G79" s="67"/>
    </row>
    <row r="80" spans="1:7">
      <c r="A80" s="67" t="s">
        <v>471</v>
      </c>
      <c r="B80" s="67" t="s">
        <v>300</v>
      </c>
      <c r="C80" s="70">
        <v>45951</v>
      </c>
      <c r="D80" s="70">
        <v>45961</v>
      </c>
      <c r="E80" s="67" t="s">
        <v>404</v>
      </c>
      <c r="F80" s="67" t="s">
        <v>408</v>
      </c>
      <c r="G80" s="67">
        <v>2</v>
      </c>
    </row>
    <row r="81" spans="1:7">
      <c r="A81" s="67" t="s">
        <v>472</v>
      </c>
      <c r="B81" s="67" t="s">
        <v>196</v>
      </c>
      <c r="C81" s="70">
        <v>45952</v>
      </c>
      <c r="D81" s="70">
        <v>45953</v>
      </c>
      <c r="E81" s="67" t="s">
        <v>383</v>
      </c>
      <c r="F81" s="67" t="s">
        <v>392</v>
      </c>
      <c r="G81" s="67">
        <v>2</v>
      </c>
    </row>
    <row r="82" spans="1:7">
      <c r="A82" s="67" t="s">
        <v>473</v>
      </c>
      <c r="B82" s="67" t="s">
        <v>284</v>
      </c>
      <c r="C82" s="70">
        <v>45952</v>
      </c>
      <c r="D82" s="70">
        <v>45955</v>
      </c>
      <c r="E82" s="67" t="s">
        <v>390</v>
      </c>
      <c r="F82" s="67" t="s">
        <v>392</v>
      </c>
      <c r="G82" s="67"/>
    </row>
    <row r="83" spans="1:7">
      <c r="A83" s="67" t="s">
        <v>474</v>
      </c>
      <c r="B83" s="67" t="s">
        <v>300</v>
      </c>
      <c r="C83" s="70">
        <v>45952</v>
      </c>
      <c r="D83" s="70">
        <v>45956</v>
      </c>
      <c r="E83" s="67" t="s">
        <v>383</v>
      </c>
      <c r="F83" s="67" t="s">
        <v>388</v>
      </c>
      <c r="G83" s="67">
        <v>3</v>
      </c>
    </row>
    <row r="84" spans="1:7">
      <c r="A84" s="67" t="s">
        <v>475</v>
      </c>
      <c r="B84" s="67" t="s">
        <v>14</v>
      </c>
      <c r="C84" s="70">
        <v>45954</v>
      </c>
      <c r="D84" s="70">
        <v>45963</v>
      </c>
      <c r="E84" s="67" t="s">
        <v>383</v>
      </c>
      <c r="F84" s="67" t="s">
        <v>396</v>
      </c>
      <c r="G84" s="67">
        <v>2</v>
      </c>
    </row>
    <row r="85" spans="1:7">
      <c r="A85" s="67" t="s">
        <v>476</v>
      </c>
      <c r="B85" s="67" t="s">
        <v>148</v>
      </c>
      <c r="C85" s="70">
        <v>45954</v>
      </c>
      <c r="D85" s="70">
        <v>45957</v>
      </c>
      <c r="E85" s="67" t="s">
        <v>390</v>
      </c>
      <c r="F85" s="67" t="s">
        <v>392</v>
      </c>
      <c r="G85" s="67"/>
    </row>
    <row r="86" spans="1:7">
      <c r="A86" s="67" t="s">
        <v>477</v>
      </c>
      <c r="B86" s="67" t="s">
        <v>196</v>
      </c>
      <c r="C86" s="70">
        <v>45954</v>
      </c>
      <c r="D86" s="70">
        <v>45957</v>
      </c>
      <c r="E86" s="67" t="s">
        <v>390</v>
      </c>
      <c r="F86" s="67" t="s">
        <v>386</v>
      </c>
      <c r="G86" s="67"/>
    </row>
    <row r="87" spans="1:7">
      <c r="A87" s="67" t="s">
        <v>478</v>
      </c>
      <c r="B87" s="67" t="s">
        <v>304</v>
      </c>
      <c r="C87" s="70">
        <v>45954</v>
      </c>
      <c r="D87" s="70">
        <v>45988</v>
      </c>
      <c r="E87" s="67" t="s">
        <v>383</v>
      </c>
      <c r="F87" s="67" t="s">
        <v>384</v>
      </c>
      <c r="G87" s="67">
        <v>4</v>
      </c>
    </row>
    <row r="88" spans="1:7">
      <c r="A88" s="67" t="s">
        <v>479</v>
      </c>
      <c r="B88" s="67" t="s">
        <v>14</v>
      </c>
      <c r="C88" s="70">
        <v>45955</v>
      </c>
      <c r="D88" s="70">
        <v>45958</v>
      </c>
      <c r="E88" s="67" t="s">
        <v>383</v>
      </c>
      <c r="F88" s="67" t="s">
        <v>386</v>
      </c>
      <c r="G88" s="67"/>
    </row>
    <row r="89" spans="1:7">
      <c r="A89" s="67" t="s">
        <v>480</v>
      </c>
      <c r="B89" s="67" t="s">
        <v>96</v>
      </c>
      <c r="C89" s="70">
        <v>45955</v>
      </c>
      <c r="D89" s="70">
        <v>45955</v>
      </c>
      <c r="E89" s="67" t="s">
        <v>390</v>
      </c>
      <c r="F89" s="67" t="s">
        <v>392</v>
      </c>
      <c r="G89" s="67"/>
    </row>
    <row r="90" spans="1:7">
      <c r="A90" s="67" t="s">
        <v>481</v>
      </c>
      <c r="B90" s="67" t="s">
        <v>110</v>
      </c>
      <c r="C90" s="70">
        <v>45955</v>
      </c>
      <c r="D90" s="70">
        <v>45961</v>
      </c>
      <c r="E90" s="67" t="s">
        <v>390</v>
      </c>
      <c r="F90" s="67" t="s">
        <v>388</v>
      </c>
      <c r="G90" s="67">
        <v>3</v>
      </c>
    </row>
    <row r="91" spans="1:7">
      <c r="A91" s="67" t="s">
        <v>482</v>
      </c>
      <c r="B91" s="67" t="s">
        <v>250</v>
      </c>
      <c r="C91" s="70">
        <v>45955</v>
      </c>
      <c r="D91" s="70">
        <v>45956</v>
      </c>
      <c r="E91" s="67" t="s">
        <v>390</v>
      </c>
      <c r="F91" s="67" t="s">
        <v>394</v>
      </c>
      <c r="G91" s="67"/>
    </row>
    <row r="92" spans="1:7">
      <c r="A92" s="67" t="s">
        <v>483</v>
      </c>
      <c r="B92" s="67" t="s">
        <v>300</v>
      </c>
      <c r="C92" s="70">
        <v>45956</v>
      </c>
      <c r="D92" s="70">
        <v>45965</v>
      </c>
      <c r="E92" s="67" t="s">
        <v>404</v>
      </c>
      <c r="F92" s="67" t="s">
        <v>388</v>
      </c>
      <c r="G92" s="67"/>
    </row>
    <row r="93" spans="1:7">
      <c r="A93" s="67" t="s">
        <v>484</v>
      </c>
      <c r="B93" s="67" t="s">
        <v>196</v>
      </c>
      <c r="C93" s="70">
        <v>45957</v>
      </c>
      <c r="D93" s="70">
        <v>45961</v>
      </c>
      <c r="E93" s="67" t="s">
        <v>404</v>
      </c>
      <c r="F93" s="67" t="s">
        <v>396</v>
      </c>
      <c r="G93" s="67"/>
    </row>
    <row r="94" spans="1:7">
      <c r="A94" s="67" t="s">
        <v>485</v>
      </c>
      <c r="B94" s="67" t="s">
        <v>124</v>
      </c>
      <c r="C94" s="70">
        <v>45958</v>
      </c>
      <c r="D94" s="70">
        <v>45961</v>
      </c>
      <c r="E94" s="67" t="s">
        <v>383</v>
      </c>
      <c r="F94" s="67" t="s">
        <v>394</v>
      </c>
      <c r="G94" s="67">
        <v>5</v>
      </c>
    </row>
    <row r="95" spans="1:7">
      <c r="A95" s="67" t="s">
        <v>486</v>
      </c>
      <c r="B95" s="67" t="s">
        <v>262</v>
      </c>
      <c r="C95" s="70">
        <v>45958</v>
      </c>
      <c r="D95" s="70">
        <v>45979</v>
      </c>
      <c r="E95" s="67" t="s">
        <v>383</v>
      </c>
      <c r="F95" s="67" t="s">
        <v>396</v>
      </c>
      <c r="G95" s="67"/>
    </row>
    <row r="96" spans="1:7">
      <c r="A96" s="67" t="s">
        <v>487</v>
      </c>
      <c r="B96" s="67" t="s">
        <v>196</v>
      </c>
      <c r="C96" s="70">
        <v>45959</v>
      </c>
      <c r="D96" s="70">
        <v>46000</v>
      </c>
      <c r="E96" s="67" t="s">
        <v>390</v>
      </c>
      <c r="F96" s="67" t="s">
        <v>408</v>
      </c>
      <c r="G96" s="67"/>
    </row>
    <row r="97" spans="1:7">
      <c r="A97" s="67" t="s">
        <v>488</v>
      </c>
      <c r="B97" s="67" t="s">
        <v>304</v>
      </c>
      <c r="C97" s="70">
        <v>45959</v>
      </c>
      <c r="D97" s="70">
        <v>45960</v>
      </c>
      <c r="E97" s="67" t="s">
        <v>383</v>
      </c>
      <c r="F97" s="67" t="s">
        <v>384</v>
      </c>
      <c r="G97" s="67"/>
    </row>
    <row r="98" spans="1:7">
      <c r="A98" s="67" t="s">
        <v>489</v>
      </c>
      <c r="B98" s="67" t="s">
        <v>152</v>
      </c>
      <c r="C98" s="70">
        <v>45960</v>
      </c>
      <c r="D98" s="70">
        <v>45960</v>
      </c>
      <c r="E98" s="67" t="s">
        <v>404</v>
      </c>
      <c r="F98" s="67" t="s">
        <v>384</v>
      </c>
      <c r="G98" s="67">
        <v>5</v>
      </c>
    </row>
    <row r="99" spans="1:7">
      <c r="A99" s="67" t="s">
        <v>490</v>
      </c>
      <c r="B99" s="67" t="s">
        <v>276</v>
      </c>
      <c r="C99" s="70">
        <v>45960</v>
      </c>
      <c r="D99" s="70">
        <v>45975</v>
      </c>
      <c r="E99" s="67" t="s">
        <v>383</v>
      </c>
      <c r="F99" s="67" t="s">
        <v>392</v>
      </c>
      <c r="G99" s="67">
        <v>3</v>
      </c>
    </row>
    <row r="100" spans="1:7">
      <c r="A100" s="67" t="s">
        <v>491</v>
      </c>
      <c r="B100" s="67" t="s">
        <v>116</v>
      </c>
      <c r="C100" s="70">
        <v>45961</v>
      </c>
      <c r="D100" s="70">
        <v>45963</v>
      </c>
      <c r="E100" s="67" t="s">
        <v>390</v>
      </c>
      <c r="F100" s="67" t="s">
        <v>408</v>
      </c>
      <c r="G100" s="67">
        <v>4</v>
      </c>
    </row>
    <row r="101" spans="1:7">
      <c r="A101" s="67" t="s">
        <v>492</v>
      </c>
      <c r="B101" s="67" t="s">
        <v>182</v>
      </c>
      <c r="C101" s="70">
        <v>45961</v>
      </c>
      <c r="D101" s="70">
        <v>45976</v>
      </c>
      <c r="E101" s="67" t="s">
        <v>383</v>
      </c>
      <c r="F101" s="67" t="s">
        <v>394</v>
      </c>
      <c r="G101" s="67">
        <v>4</v>
      </c>
    </row>
    <row r="102" spans="1:7">
      <c r="A102" s="67" t="s">
        <v>493</v>
      </c>
      <c r="B102" s="67" t="s">
        <v>196</v>
      </c>
      <c r="C102" s="70">
        <v>45962</v>
      </c>
      <c r="D102" s="70">
        <v>45962</v>
      </c>
      <c r="E102" s="67" t="s">
        <v>398</v>
      </c>
      <c r="F102" s="67" t="s">
        <v>394</v>
      </c>
      <c r="G102" s="67">
        <v>3</v>
      </c>
    </row>
    <row r="103" spans="1:7">
      <c r="A103" s="67" t="s">
        <v>494</v>
      </c>
      <c r="B103" s="67" t="s">
        <v>304</v>
      </c>
      <c r="C103" s="70">
        <v>45962</v>
      </c>
      <c r="D103" s="70">
        <v>45962</v>
      </c>
      <c r="E103" s="67" t="s">
        <v>404</v>
      </c>
      <c r="F103" s="67" t="s">
        <v>384</v>
      </c>
      <c r="G103" s="67"/>
    </row>
    <row r="104" spans="1:7">
      <c r="A104" s="67" t="s">
        <v>495</v>
      </c>
      <c r="B104" s="67" t="s">
        <v>304</v>
      </c>
      <c r="C104" s="70">
        <v>45962</v>
      </c>
      <c r="D104" s="70">
        <v>45988</v>
      </c>
      <c r="E104" s="67" t="s">
        <v>383</v>
      </c>
      <c r="F104" s="67" t="s">
        <v>392</v>
      </c>
      <c r="G104" s="67">
        <v>4</v>
      </c>
    </row>
    <row r="105" spans="1:7">
      <c r="A105" s="67" t="s">
        <v>496</v>
      </c>
      <c r="B105" s="67" t="s">
        <v>35</v>
      </c>
      <c r="C105" s="70">
        <v>45963</v>
      </c>
      <c r="D105" s="70">
        <v>45974</v>
      </c>
      <c r="E105" s="67" t="s">
        <v>383</v>
      </c>
      <c r="F105" s="67" t="s">
        <v>386</v>
      </c>
      <c r="G105" s="67"/>
    </row>
    <row r="106" spans="1:7">
      <c r="A106" s="67" t="s">
        <v>497</v>
      </c>
      <c r="B106" s="67" t="s">
        <v>102</v>
      </c>
      <c r="C106" s="70">
        <v>45963</v>
      </c>
      <c r="D106" s="70">
        <v>45965</v>
      </c>
      <c r="E106" s="67" t="s">
        <v>383</v>
      </c>
      <c r="F106" s="67" t="s">
        <v>386</v>
      </c>
      <c r="G106" s="67">
        <v>5</v>
      </c>
    </row>
    <row r="107" spans="1:7">
      <c r="A107" s="67" t="s">
        <v>498</v>
      </c>
      <c r="B107" s="67" t="s">
        <v>124</v>
      </c>
      <c r="C107" s="70">
        <v>45963</v>
      </c>
      <c r="D107" s="70">
        <v>45963</v>
      </c>
      <c r="E107" s="67" t="s">
        <v>383</v>
      </c>
      <c r="F107" s="67" t="s">
        <v>388</v>
      </c>
      <c r="G107" s="67"/>
    </row>
    <row r="108" spans="1:7">
      <c r="A108" s="67" t="s">
        <v>499</v>
      </c>
      <c r="B108" s="67" t="s">
        <v>196</v>
      </c>
      <c r="C108" s="70">
        <v>45963</v>
      </c>
      <c r="D108" s="70">
        <v>45963</v>
      </c>
      <c r="E108" s="67" t="s">
        <v>404</v>
      </c>
      <c r="F108" s="67" t="s">
        <v>396</v>
      </c>
      <c r="G108" s="67">
        <v>4</v>
      </c>
    </row>
    <row r="109" spans="1:7">
      <c r="A109" s="67" t="s">
        <v>500</v>
      </c>
      <c r="B109" s="67" t="s">
        <v>286</v>
      </c>
      <c r="C109" s="70">
        <v>45963</v>
      </c>
      <c r="D109" s="70">
        <v>45981</v>
      </c>
      <c r="E109" s="67" t="s">
        <v>383</v>
      </c>
      <c r="F109" s="67" t="s">
        <v>388</v>
      </c>
      <c r="G109" s="67"/>
    </row>
    <row r="110" spans="1:7">
      <c r="A110" s="67" t="s">
        <v>501</v>
      </c>
      <c r="B110" s="67" t="s">
        <v>102</v>
      </c>
      <c r="C110" s="70">
        <v>45964</v>
      </c>
      <c r="D110" s="70">
        <v>45971</v>
      </c>
      <c r="E110" s="67" t="s">
        <v>404</v>
      </c>
      <c r="F110" s="67" t="s">
        <v>386</v>
      </c>
      <c r="G110" s="67">
        <v>4</v>
      </c>
    </row>
    <row r="111" spans="1:7">
      <c r="A111" s="67" t="s">
        <v>502</v>
      </c>
      <c r="B111" s="67" t="s">
        <v>196</v>
      </c>
      <c r="C111" s="70">
        <v>45964</v>
      </c>
      <c r="D111" s="70">
        <v>45964</v>
      </c>
      <c r="E111" s="67" t="s">
        <v>404</v>
      </c>
      <c r="F111" s="67" t="s">
        <v>394</v>
      </c>
      <c r="G111" s="67"/>
    </row>
    <row r="112" spans="1:7">
      <c r="A112" s="67" t="s">
        <v>503</v>
      </c>
      <c r="B112" s="67" t="s">
        <v>246</v>
      </c>
      <c r="C112" s="70">
        <v>45964</v>
      </c>
      <c r="D112" s="70">
        <v>45978</v>
      </c>
      <c r="E112" s="67" t="s">
        <v>383</v>
      </c>
      <c r="F112" s="67" t="s">
        <v>392</v>
      </c>
      <c r="G112" s="67">
        <v>5</v>
      </c>
    </row>
    <row r="113" spans="1:7">
      <c r="A113" s="67" t="s">
        <v>504</v>
      </c>
      <c r="B113" s="67" t="s">
        <v>266</v>
      </c>
      <c r="C113" s="70">
        <v>45964</v>
      </c>
      <c r="D113" s="70">
        <v>45964</v>
      </c>
      <c r="E113" s="67" t="s">
        <v>404</v>
      </c>
      <c r="F113" s="67" t="s">
        <v>396</v>
      </c>
      <c r="G113" s="67"/>
    </row>
    <row r="114" spans="1:7">
      <c r="A114" s="67" t="s">
        <v>505</v>
      </c>
      <c r="B114" s="67" t="s">
        <v>71</v>
      </c>
      <c r="C114" s="70">
        <v>45965</v>
      </c>
      <c r="D114" s="70">
        <v>45994</v>
      </c>
      <c r="E114" s="67" t="s">
        <v>383</v>
      </c>
      <c r="F114" s="67" t="s">
        <v>388</v>
      </c>
      <c r="G114" s="67"/>
    </row>
    <row r="115" spans="1:7">
      <c r="A115" s="67" t="s">
        <v>506</v>
      </c>
      <c r="B115" s="67" t="s">
        <v>92</v>
      </c>
      <c r="C115" s="70">
        <v>45965</v>
      </c>
      <c r="D115" s="70">
        <v>45981</v>
      </c>
      <c r="E115" s="67" t="s">
        <v>390</v>
      </c>
      <c r="F115" s="67" t="s">
        <v>396</v>
      </c>
      <c r="G115" s="67"/>
    </row>
    <row r="116" spans="1:7">
      <c r="A116" s="67" t="s">
        <v>507</v>
      </c>
      <c r="B116" s="67" t="s">
        <v>194</v>
      </c>
      <c r="C116" s="70">
        <v>45965</v>
      </c>
      <c r="D116" s="70">
        <v>45965</v>
      </c>
      <c r="E116" s="67" t="s">
        <v>404</v>
      </c>
      <c r="F116" s="67" t="s">
        <v>392</v>
      </c>
      <c r="G116" s="67">
        <v>2</v>
      </c>
    </row>
    <row r="117" spans="1:7">
      <c r="A117" s="67" t="s">
        <v>508</v>
      </c>
      <c r="B117" s="67" t="s">
        <v>166</v>
      </c>
      <c r="C117" s="70">
        <v>45966</v>
      </c>
      <c r="D117" s="70">
        <v>45970</v>
      </c>
      <c r="E117" s="67" t="s">
        <v>404</v>
      </c>
      <c r="F117" s="67" t="s">
        <v>408</v>
      </c>
      <c r="G117" s="67"/>
    </row>
    <row r="118" spans="1:7">
      <c r="A118" s="67" t="s">
        <v>509</v>
      </c>
      <c r="B118" s="67" t="s">
        <v>196</v>
      </c>
      <c r="C118" s="70">
        <v>45966</v>
      </c>
      <c r="D118" s="70">
        <v>45971</v>
      </c>
      <c r="E118" s="67" t="s">
        <v>390</v>
      </c>
      <c r="F118" s="67" t="s">
        <v>388</v>
      </c>
      <c r="G118" s="67">
        <v>3</v>
      </c>
    </row>
    <row r="119" spans="1:7">
      <c r="A119" s="67" t="s">
        <v>510</v>
      </c>
      <c r="B119" s="67" t="s">
        <v>212</v>
      </c>
      <c r="C119" s="70">
        <v>45966</v>
      </c>
      <c r="D119" s="70">
        <v>45971</v>
      </c>
      <c r="E119" s="67" t="s">
        <v>383</v>
      </c>
      <c r="F119" s="67" t="s">
        <v>386</v>
      </c>
      <c r="G119" s="67"/>
    </row>
    <row r="120" spans="1:7">
      <c r="A120" s="67" t="s">
        <v>511</v>
      </c>
      <c r="B120" s="67" t="s">
        <v>300</v>
      </c>
      <c r="C120" s="70">
        <v>45966</v>
      </c>
      <c r="D120" s="70">
        <v>45980</v>
      </c>
      <c r="E120" s="67" t="s">
        <v>404</v>
      </c>
      <c r="F120" s="67" t="s">
        <v>386</v>
      </c>
      <c r="G120" s="67">
        <v>4</v>
      </c>
    </row>
    <row r="121" spans="1:7">
      <c r="A121" s="67" t="s">
        <v>512</v>
      </c>
      <c r="B121" s="67" t="s">
        <v>304</v>
      </c>
      <c r="C121" s="70">
        <v>45966</v>
      </c>
      <c r="D121" s="70">
        <v>45968</v>
      </c>
      <c r="E121" s="67" t="s">
        <v>383</v>
      </c>
      <c r="F121" s="67" t="s">
        <v>408</v>
      </c>
      <c r="G121" s="67"/>
    </row>
    <row r="122" spans="1:7">
      <c r="A122" s="67" t="s">
        <v>513</v>
      </c>
      <c r="B122" s="67" t="s">
        <v>304</v>
      </c>
      <c r="C122" s="70">
        <v>45966</v>
      </c>
      <c r="D122" s="70">
        <v>45973</v>
      </c>
      <c r="E122" s="67" t="s">
        <v>404</v>
      </c>
      <c r="F122" s="67" t="s">
        <v>396</v>
      </c>
      <c r="G122" s="67">
        <v>3</v>
      </c>
    </row>
    <row r="123" spans="1:7">
      <c r="A123" s="67" t="s">
        <v>514</v>
      </c>
      <c r="B123" s="67" t="s">
        <v>304</v>
      </c>
      <c r="C123" s="70">
        <v>45966</v>
      </c>
      <c r="D123" s="70">
        <v>46012</v>
      </c>
      <c r="E123" s="67" t="s">
        <v>390</v>
      </c>
      <c r="F123" s="67" t="s">
        <v>386</v>
      </c>
      <c r="G123" s="67">
        <v>4</v>
      </c>
    </row>
    <row r="124" spans="1:7">
      <c r="A124" s="67" t="s">
        <v>515</v>
      </c>
      <c r="B124" s="67" t="s">
        <v>116</v>
      </c>
      <c r="C124" s="70">
        <v>45967</v>
      </c>
      <c r="D124" s="70">
        <v>45981</v>
      </c>
      <c r="E124" s="67" t="s">
        <v>404</v>
      </c>
      <c r="F124" s="67" t="s">
        <v>386</v>
      </c>
      <c r="G124" s="67">
        <v>3</v>
      </c>
    </row>
    <row r="125" spans="1:7">
      <c r="A125" s="67" t="s">
        <v>516</v>
      </c>
      <c r="B125" s="67" t="s">
        <v>116</v>
      </c>
      <c r="C125" s="70">
        <v>45967</v>
      </c>
      <c r="D125" s="70">
        <v>45986</v>
      </c>
      <c r="E125" s="67" t="s">
        <v>390</v>
      </c>
      <c r="F125" s="67" t="s">
        <v>392</v>
      </c>
      <c r="G125" s="67"/>
    </row>
    <row r="126" spans="1:7">
      <c r="A126" s="67" t="s">
        <v>517</v>
      </c>
      <c r="B126" s="67" t="s">
        <v>206</v>
      </c>
      <c r="C126" s="70">
        <v>45967</v>
      </c>
      <c r="D126" s="70">
        <v>45970</v>
      </c>
      <c r="E126" s="67" t="s">
        <v>383</v>
      </c>
      <c r="F126" s="67" t="s">
        <v>392</v>
      </c>
      <c r="G126" s="67"/>
    </row>
    <row r="127" spans="1:7">
      <c r="A127" s="67" t="s">
        <v>518</v>
      </c>
      <c r="B127" s="67" t="s">
        <v>208</v>
      </c>
      <c r="C127" s="70">
        <v>45967</v>
      </c>
      <c r="D127" s="70">
        <v>45970</v>
      </c>
      <c r="E127" s="67" t="s">
        <v>404</v>
      </c>
      <c r="F127" s="67" t="s">
        <v>394</v>
      </c>
      <c r="G127" s="67">
        <v>5</v>
      </c>
    </row>
    <row r="128" spans="1:7">
      <c r="A128" s="67" t="s">
        <v>519</v>
      </c>
      <c r="B128" s="67" t="s">
        <v>98</v>
      </c>
      <c r="C128" s="70">
        <v>45968</v>
      </c>
      <c r="D128" s="70">
        <v>45972</v>
      </c>
      <c r="E128" s="67" t="s">
        <v>404</v>
      </c>
      <c r="F128" s="67" t="s">
        <v>386</v>
      </c>
      <c r="G128" s="67">
        <v>5</v>
      </c>
    </row>
    <row r="129" spans="1:7">
      <c r="A129" s="67" t="s">
        <v>520</v>
      </c>
      <c r="B129" s="67" t="s">
        <v>200</v>
      </c>
      <c r="C129" s="70">
        <v>45968</v>
      </c>
      <c r="D129" s="70">
        <v>45977</v>
      </c>
      <c r="E129" s="67" t="s">
        <v>383</v>
      </c>
      <c r="F129" s="67" t="s">
        <v>392</v>
      </c>
      <c r="G129" s="67">
        <v>2</v>
      </c>
    </row>
    <row r="130" spans="1:7">
      <c r="A130" s="67" t="s">
        <v>521</v>
      </c>
      <c r="B130" s="67" t="s">
        <v>260</v>
      </c>
      <c r="C130" s="70">
        <v>45968</v>
      </c>
      <c r="D130" s="70">
        <v>45972</v>
      </c>
      <c r="E130" s="67" t="s">
        <v>383</v>
      </c>
      <c r="F130" s="67" t="s">
        <v>388</v>
      </c>
      <c r="G130" s="67">
        <v>4</v>
      </c>
    </row>
    <row r="131" spans="1:7">
      <c r="A131" s="67" t="s">
        <v>522</v>
      </c>
      <c r="B131" s="67" t="s">
        <v>306</v>
      </c>
      <c r="C131" s="70">
        <v>45968</v>
      </c>
      <c r="D131" s="70">
        <v>45990</v>
      </c>
      <c r="E131" s="67" t="s">
        <v>404</v>
      </c>
      <c r="F131" s="67" t="s">
        <v>408</v>
      </c>
      <c r="G131" s="67">
        <v>4</v>
      </c>
    </row>
    <row r="132" spans="1:7">
      <c r="A132" s="67" t="s">
        <v>523</v>
      </c>
      <c r="B132" s="67" t="s">
        <v>320</v>
      </c>
      <c r="C132" s="70">
        <v>45968</v>
      </c>
      <c r="D132" s="70">
        <v>45972</v>
      </c>
      <c r="E132" s="67" t="s">
        <v>404</v>
      </c>
      <c r="F132" s="67" t="s">
        <v>392</v>
      </c>
      <c r="G132" s="67">
        <v>2</v>
      </c>
    </row>
    <row r="133" spans="1:7">
      <c r="A133" s="67" t="s">
        <v>524</v>
      </c>
      <c r="B133" s="67" t="s">
        <v>98</v>
      </c>
      <c r="C133" s="70">
        <v>45969</v>
      </c>
      <c r="D133" s="70">
        <v>46001</v>
      </c>
      <c r="E133" s="67" t="s">
        <v>383</v>
      </c>
      <c r="F133" s="67" t="s">
        <v>388</v>
      </c>
      <c r="G133" s="67"/>
    </row>
    <row r="134" spans="1:7">
      <c r="A134" s="67" t="s">
        <v>525</v>
      </c>
      <c r="B134" s="67" t="s">
        <v>300</v>
      </c>
      <c r="C134" s="70">
        <v>45969</v>
      </c>
      <c r="D134" s="70">
        <v>45981</v>
      </c>
      <c r="E134" s="67" t="s">
        <v>383</v>
      </c>
      <c r="F134" s="67" t="s">
        <v>394</v>
      </c>
      <c r="G134" s="67">
        <v>4</v>
      </c>
    </row>
    <row r="135" spans="1:7">
      <c r="A135" s="67" t="s">
        <v>526</v>
      </c>
      <c r="B135" s="67" t="s">
        <v>200</v>
      </c>
      <c r="C135" s="70">
        <v>45970</v>
      </c>
      <c r="D135" s="70">
        <v>45972</v>
      </c>
      <c r="E135" s="67" t="s">
        <v>404</v>
      </c>
      <c r="F135" s="67" t="s">
        <v>386</v>
      </c>
      <c r="G135" s="67">
        <v>4</v>
      </c>
    </row>
    <row r="136" spans="1:7">
      <c r="A136" s="67" t="s">
        <v>527</v>
      </c>
      <c r="B136" s="67" t="s">
        <v>246</v>
      </c>
      <c r="C136" s="70">
        <v>45970</v>
      </c>
      <c r="D136" s="70">
        <v>45980</v>
      </c>
      <c r="E136" s="67" t="s">
        <v>383</v>
      </c>
      <c r="F136" s="67" t="s">
        <v>392</v>
      </c>
      <c r="G136" s="67">
        <v>5</v>
      </c>
    </row>
    <row r="137" spans="1:7">
      <c r="A137" s="67" t="s">
        <v>528</v>
      </c>
      <c r="B137" s="67" t="s">
        <v>330</v>
      </c>
      <c r="C137" s="70">
        <v>45970</v>
      </c>
      <c r="D137" s="70">
        <v>45978</v>
      </c>
      <c r="E137" s="67" t="s">
        <v>404</v>
      </c>
      <c r="F137" s="67" t="s">
        <v>386</v>
      </c>
      <c r="G137" s="67">
        <v>4</v>
      </c>
    </row>
    <row r="138" spans="1:7">
      <c r="A138" s="67" t="s">
        <v>529</v>
      </c>
      <c r="B138" s="67" t="s">
        <v>71</v>
      </c>
      <c r="C138" s="70">
        <v>45971</v>
      </c>
      <c r="D138" s="70">
        <v>45971</v>
      </c>
      <c r="E138" s="67" t="s">
        <v>390</v>
      </c>
      <c r="F138" s="67" t="s">
        <v>408</v>
      </c>
      <c r="G138" s="67"/>
    </row>
    <row r="139" spans="1:7">
      <c r="A139" s="67" t="s">
        <v>530</v>
      </c>
      <c r="B139" s="67" t="s">
        <v>194</v>
      </c>
      <c r="C139" s="70">
        <v>45971</v>
      </c>
      <c r="D139" s="70">
        <v>45984</v>
      </c>
      <c r="E139" s="67" t="s">
        <v>383</v>
      </c>
      <c r="F139" s="67" t="s">
        <v>386</v>
      </c>
      <c r="G139" s="67"/>
    </row>
    <row r="140" spans="1:7">
      <c r="A140" s="67" t="s">
        <v>531</v>
      </c>
      <c r="B140" s="67" t="s">
        <v>300</v>
      </c>
      <c r="C140" s="70">
        <v>45971</v>
      </c>
      <c r="D140" s="70">
        <v>45982</v>
      </c>
      <c r="E140" s="67" t="s">
        <v>390</v>
      </c>
      <c r="F140" s="67" t="s">
        <v>384</v>
      </c>
      <c r="G140" s="67"/>
    </row>
    <row r="141" spans="1:7">
      <c r="A141" s="67" t="s">
        <v>532</v>
      </c>
      <c r="B141" s="67" t="s">
        <v>51</v>
      </c>
      <c r="C141" s="70">
        <v>45972</v>
      </c>
      <c r="D141" s="70">
        <v>45983</v>
      </c>
      <c r="E141" s="67" t="s">
        <v>383</v>
      </c>
      <c r="F141" s="67" t="s">
        <v>392</v>
      </c>
      <c r="G141" s="67"/>
    </row>
    <row r="142" spans="1:7">
      <c r="A142" s="67" t="s">
        <v>533</v>
      </c>
      <c r="B142" s="67" t="s">
        <v>304</v>
      </c>
      <c r="C142" s="70">
        <v>45972</v>
      </c>
      <c r="D142" s="70">
        <v>45972</v>
      </c>
      <c r="E142" s="67" t="s">
        <v>398</v>
      </c>
      <c r="F142" s="67" t="s">
        <v>408</v>
      </c>
      <c r="G142" s="67">
        <v>3</v>
      </c>
    </row>
    <row r="143" spans="1:7">
      <c r="A143" s="67" t="s">
        <v>534</v>
      </c>
      <c r="B143" s="67" t="s">
        <v>320</v>
      </c>
      <c r="C143" s="70">
        <v>45972</v>
      </c>
      <c r="D143" s="70">
        <v>45977</v>
      </c>
      <c r="E143" s="67" t="s">
        <v>390</v>
      </c>
      <c r="F143" s="67" t="s">
        <v>394</v>
      </c>
      <c r="G143" s="67">
        <v>3</v>
      </c>
    </row>
    <row r="144" spans="1:7">
      <c r="A144" s="67" t="s">
        <v>535</v>
      </c>
      <c r="B144" s="67" t="s">
        <v>110</v>
      </c>
      <c r="C144" s="70">
        <v>45973</v>
      </c>
      <c r="D144" s="70">
        <v>46022</v>
      </c>
      <c r="E144" s="67" t="s">
        <v>390</v>
      </c>
      <c r="F144" s="67" t="s">
        <v>396</v>
      </c>
      <c r="G144" s="67">
        <v>4</v>
      </c>
    </row>
    <row r="145" spans="1:7">
      <c r="A145" s="67" t="s">
        <v>536</v>
      </c>
      <c r="B145" s="67" t="s">
        <v>292</v>
      </c>
      <c r="C145" s="70">
        <v>45973</v>
      </c>
      <c r="D145" s="70">
        <v>45973</v>
      </c>
      <c r="E145" s="67" t="s">
        <v>383</v>
      </c>
      <c r="F145" s="67" t="s">
        <v>396</v>
      </c>
      <c r="G145" s="67">
        <v>4</v>
      </c>
    </row>
    <row r="146" spans="1:7">
      <c r="A146" s="67" t="s">
        <v>537</v>
      </c>
      <c r="B146" s="67" t="s">
        <v>172</v>
      </c>
      <c r="C146" s="70">
        <v>45974</v>
      </c>
      <c r="D146" s="70">
        <v>46008</v>
      </c>
      <c r="E146" s="67" t="s">
        <v>390</v>
      </c>
      <c r="F146" s="67" t="s">
        <v>394</v>
      </c>
      <c r="G146" s="67"/>
    </row>
    <row r="147" spans="1:7">
      <c r="A147" s="67" t="s">
        <v>538</v>
      </c>
      <c r="B147" s="67" t="s">
        <v>196</v>
      </c>
      <c r="C147" s="70">
        <v>45974</v>
      </c>
      <c r="D147" s="70">
        <v>45974</v>
      </c>
      <c r="E147" s="67" t="s">
        <v>398</v>
      </c>
      <c r="F147" s="67" t="s">
        <v>386</v>
      </c>
      <c r="G147" s="67">
        <v>3</v>
      </c>
    </row>
    <row r="148" spans="1:7">
      <c r="A148" s="67" t="s">
        <v>539</v>
      </c>
      <c r="B148" s="67" t="s">
        <v>150</v>
      </c>
      <c r="C148" s="70">
        <v>45975</v>
      </c>
      <c r="D148" s="70">
        <v>45981</v>
      </c>
      <c r="E148" s="67" t="s">
        <v>383</v>
      </c>
      <c r="F148" s="67" t="s">
        <v>394</v>
      </c>
      <c r="G148" s="67">
        <v>4</v>
      </c>
    </row>
    <row r="149" spans="1:7">
      <c r="A149" s="67" t="s">
        <v>540</v>
      </c>
      <c r="B149" s="67" t="s">
        <v>198</v>
      </c>
      <c r="C149" s="70">
        <v>45975</v>
      </c>
      <c r="D149" s="70">
        <v>45983</v>
      </c>
      <c r="E149" s="67" t="s">
        <v>390</v>
      </c>
      <c r="F149" s="67" t="s">
        <v>384</v>
      </c>
      <c r="G149" s="67"/>
    </row>
    <row r="150" spans="1:7">
      <c r="A150" s="67" t="s">
        <v>541</v>
      </c>
      <c r="B150" s="67" t="s">
        <v>292</v>
      </c>
      <c r="C150" s="70">
        <v>45975</v>
      </c>
      <c r="D150" s="70">
        <v>45977</v>
      </c>
      <c r="E150" s="67" t="s">
        <v>390</v>
      </c>
      <c r="F150" s="67" t="s">
        <v>388</v>
      </c>
      <c r="G150" s="67">
        <v>2</v>
      </c>
    </row>
    <row r="151" spans="1:7">
      <c r="A151" s="67" t="s">
        <v>542</v>
      </c>
      <c r="B151" s="67" t="s">
        <v>304</v>
      </c>
      <c r="C151" s="70">
        <v>45976</v>
      </c>
      <c r="D151" s="70">
        <v>45979</v>
      </c>
      <c r="E151" s="67" t="s">
        <v>404</v>
      </c>
      <c r="F151" s="67" t="s">
        <v>408</v>
      </c>
      <c r="G151" s="67">
        <v>2</v>
      </c>
    </row>
    <row r="152" spans="1:7">
      <c r="A152" s="67" t="s">
        <v>543</v>
      </c>
      <c r="B152" s="67" t="s">
        <v>320</v>
      </c>
      <c r="C152" s="70">
        <v>45977</v>
      </c>
      <c r="D152" s="70">
        <v>45978</v>
      </c>
      <c r="E152" s="67" t="s">
        <v>390</v>
      </c>
      <c r="F152" s="67" t="s">
        <v>394</v>
      </c>
      <c r="G152" s="67"/>
    </row>
    <row r="153" spans="1:7">
      <c r="A153" s="67" t="s">
        <v>544</v>
      </c>
      <c r="B153" s="67" t="s">
        <v>102</v>
      </c>
      <c r="C153" s="70">
        <v>45978</v>
      </c>
      <c r="D153" s="70">
        <v>45978</v>
      </c>
      <c r="E153" s="67" t="s">
        <v>404</v>
      </c>
      <c r="F153" s="67" t="s">
        <v>388</v>
      </c>
      <c r="G153" s="67">
        <v>3</v>
      </c>
    </row>
    <row r="154" spans="1:7">
      <c r="A154" s="67" t="s">
        <v>545</v>
      </c>
      <c r="B154" s="67" t="s">
        <v>102</v>
      </c>
      <c r="C154" s="70">
        <v>45978</v>
      </c>
      <c r="D154" s="70">
        <v>45990</v>
      </c>
      <c r="E154" s="67" t="s">
        <v>383</v>
      </c>
      <c r="F154" s="67" t="s">
        <v>396</v>
      </c>
      <c r="G154" s="67">
        <v>4</v>
      </c>
    </row>
    <row r="155" spans="1:7">
      <c r="A155" s="67" t="s">
        <v>546</v>
      </c>
      <c r="B155" s="67" t="s">
        <v>122</v>
      </c>
      <c r="C155" s="70">
        <v>45978</v>
      </c>
      <c r="D155" s="70">
        <v>45982</v>
      </c>
      <c r="E155" s="67" t="s">
        <v>404</v>
      </c>
      <c r="F155" s="67" t="s">
        <v>386</v>
      </c>
      <c r="G155" s="67"/>
    </row>
    <row r="156" spans="1:7">
      <c r="A156" s="67" t="s">
        <v>547</v>
      </c>
      <c r="B156" s="67" t="s">
        <v>71</v>
      </c>
      <c r="C156" s="70">
        <v>45979</v>
      </c>
      <c r="D156" s="70">
        <v>45987</v>
      </c>
      <c r="E156" s="67" t="s">
        <v>390</v>
      </c>
      <c r="F156" s="67" t="s">
        <v>388</v>
      </c>
      <c r="G156" s="67"/>
    </row>
    <row r="157" spans="1:7">
      <c r="A157" s="67" t="s">
        <v>548</v>
      </c>
      <c r="B157" s="67" t="s">
        <v>200</v>
      </c>
      <c r="C157" s="70">
        <v>45979</v>
      </c>
      <c r="D157" s="70">
        <v>45981</v>
      </c>
      <c r="E157" s="67" t="s">
        <v>404</v>
      </c>
      <c r="F157" s="67" t="s">
        <v>384</v>
      </c>
      <c r="G157" s="67">
        <v>3</v>
      </c>
    </row>
    <row r="158" spans="1:7">
      <c r="A158" s="67" t="s">
        <v>549</v>
      </c>
      <c r="B158" s="67" t="s">
        <v>57</v>
      </c>
      <c r="C158" s="70">
        <v>45980</v>
      </c>
      <c r="D158" s="70">
        <v>45990</v>
      </c>
      <c r="E158" s="67" t="s">
        <v>383</v>
      </c>
      <c r="F158" s="67" t="s">
        <v>384</v>
      </c>
      <c r="G158" s="67">
        <v>5</v>
      </c>
    </row>
    <row r="159" spans="1:7">
      <c r="A159" s="67" t="s">
        <v>550</v>
      </c>
      <c r="B159" s="67" t="s">
        <v>110</v>
      </c>
      <c r="C159" s="70">
        <v>45980</v>
      </c>
      <c r="D159" s="70">
        <v>45983</v>
      </c>
      <c r="E159" s="67" t="s">
        <v>383</v>
      </c>
      <c r="F159" s="67" t="s">
        <v>384</v>
      </c>
      <c r="G159" s="67">
        <v>4</v>
      </c>
    </row>
    <row r="160" spans="1:7">
      <c r="A160" s="67" t="s">
        <v>551</v>
      </c>
      <c r="B160" s="67" t="s">
        <v>304</v>
      </c>
      <c r="C160" s="70">
        <v>45980</v>
      </c>
      <c r="D160" s="70">
        <v>45998</v>
      </c>
      <c r="E160" s="67" t="s">
        <v>383</v>
      </c>
      <c r="F160" s="67" t="s">
        <v>384</v>
      </c>
      <c r="G160" s="67"/>
    </row>
    <row r="161" spans="1:7">
      <c r="A161" s="67" t="s">
        <v>552</v>
      </c>
      <c r="B161" s="67" t="s">
        <v>308</v>
      </c>
      <c r="C161" s="70">
        <v>45980</v>
      </c>
      <c r="D161" s="70">
        <v>45980</v>
      </c>
      <c r="E161" s="67" t="s">
        <v>398</v>
      </c>
      <c r="F161" s="67" t="s">
        <v>394</v>
      </c>
      <c r="G161" s="67"/>
    </row>
    <row r="162" spans="1:7">
      <c r="A162" s="67" t="s">
        <v>553</v>
      </c>
      <c r="B162" s="67" t="s">
        <v>92</v>
      </c>
      <c r="C162" s="70">
        <v>45982</v>
      </c>
      <c r="D162" s="70">
        <v>45982</v>
      </c>
      <c r="E162" s="67" t="s">
        <v>398</v>
      </c>
      <c r="F162" s="67" t="s">
        <v>386</v>
      </c>
      <c r="G162" s="67">
        <v>2</v>
      </c>
    </row>
    <row r="163" spans="1:7">
      <c r="A163" s="67" t="s">
        <v>554</v>
      </c>
      <c r="B163" s="67" t="s">
        <v>106</v>
      </c>
      <c r="C163" s="70">
        <v>45982</v>
      </c>
      <c r="D163" s="70">
        <v>45986</v>
      </c>
      <c r="E163" s="67" t="s">
        <v>398</v>
      </c>
      <c r="F163" s="67" t="s">
        <v>386</v>
      </c>
      <c r="G163" s="67">
        <v>4</v>
      </c>
    </row>
    <row r="164" spans="1:7">
      <c r="A164" s="67" t="s">
        <v>555</v>
      </c>
      <c r="B164" s="67" t="s">
        <v>75</v>
      </c>
      <c r="C164" s="70">
        <v>45983</v>
      </c>
      <c r="D164" s="70">
        <v>46019</v>
      </c>
      <c r="E164" s="67" t="s">
        <v>390</v>
      </c>
      <c r="F164" s="67" t="s">
        <v>384</v>
      </c>
      <c r="G164" s="67">
        <v>5</v>
      </c>
    </row>
    <row r="165" spans="1:7">
      <c r="A165" s="67" t="s">
        <v>556</v>
      </c>
      <c r="B165" s="67" t="s">
        <v>116</v>
      </c>
      <c r="C165" s="70">
        <v>45983</v>
      </c>
      <c r="D165" s="70">
        <v>45995</v>
      </c>
      <c r="E165" s="67" t="s">
        <v>390</v>
      </c>
      <c r="F165" s="67" t="s">
        <v>386</v>
      </c>
      <c r="G165" s="67">
        <v>3</v>
      </c>
    </row>
    <row r="166" spans="1:7">
      <c r="A166" s="67" t="s">
        <v>557</v>
      </c>
      <c r="B166" s="67" t="s">
        <v>118</v>
      </c>
      <c r="C166" s="70">
        <v>45983</v>
      </c>
      <c r="D166" s="70">
        <v>45989</v>
      </c>
      <c r="E166" s="67" t="s">
        <v>404</v>
      </c>
      <c r="F166" s="67" t="s">
        <v>396</v>
      </c>
      <c r="G166" s="67"/>
    </row>
    <row r="167" spans="1:7">
      <c r="A167" s="67" t="s">
        <v>558</v>
      </c>
      <c r="B167" s="67" t="s">
        <v>304</v>
      </c>
      <c r="C167" s="70">
        <v>45983</v>
      </c>
      <c r="D167" s="70">
        <v>45984</v>
      </c>
      <c r="E167" s="67" t="s">
        <v>404</v>
      </c>
      <c r="F167" s="67" t="s">
        <v>384</v>
      </c>
      <c r="G167" s="67">
        <v>5</v>
      </c>
    </row>
    <row r="168" spans="1:7">
      <c r="A168" s="67" t="s">
        <v>559</v>
      </c>
      <c r="B168" s="67" t="s">
        <v>110</v>
      </c>
      <c r="C168" s="70">
        <v>45984</v>
      </c>
      <c r="D168" s="70">
        <v>45985</v>
      </c>
      <c r="E168" s="67" t="s">
        <v>404</v>
      </c>
      <c r="F168" s="67" t="s">
        <v>392</v>
      </c>
      <c r="G168" s="67"/>
    </row>
    <row r="169" spans="1:7">
      <c r="A169" s="67" t="s">
        <v>560</v>
      </c>
      <c r="B169" s="67" t="s">
        <v>92</v>
      </c>
      <c r="C169" s="70">
        <v>45985</v>
      </c>
      <c r="D169" s="70">
        <v>45985</v>
      </c>
      <c r="E169" s="67" t="s">
        <v>398</v>
      </c>
      <c r="F169" s="67" t="s">
        <v>384</v>
      </c>
      <c r="G169" s="67"/>
    </row>
    <row r="170" spans="1:7">
      <c r="A170" s="67" t="s">
        <v>561</v>
      </c>
      <c r="B170" s="67" t="s">
        <v>274</v>
      </c>
      <c r="C170" s="70">
        <v>45985</v>
      </c>
      <c r="D170" s="70">
        <v>45996</v>
      </c>
      <c r="E170" s="67" t="s">
        <v>390</v>
      </c>
      <c r="F170" s="67" t="s">
        <v>408</v>
      </c>
      <c r="G170" s="67"/>
    </row>
    <row r="171" spans="1:7">
      <c r="A171" s="67" t="s">
        <v>562</v>
      </c>
      <c r="B171" s="67" t="s">
        <v>150</v>
      </c>
      <c r="C171" s="70">
        <v>45986</v>
      </c>
      <c r="D171" s="70">
        <v>45993</v>
      </c>
      <c r="E171" s="67" t="s">
        <v>390</v>
      </c>
      <c r="F171" s="67" t="s">
        <v>408</v>
      </c>
      <c r="G171" s="67"/>
    </row>
    <row r="172" spans="1:7">
      <c r="A172" s="67" t="s">
        <v>563</v>
      </c>
      <c r="B172" s="67" t="s">
        <v>194</v>
      </c>
      <c r="C172" s="70">
        <v>45986</v>
      </c>
      <c r="D172" s="70">
        <v>45994</v>
      </c>
      <c r="E172" s="67" t="s">
        <v>390</v>
      </c>
      <c r="F172" s="67" t="s">
        <v>388</v>
      </c>
      <c r="G172" s="67">
        <v>2</v>
      </c>
    </row>
    <row r="173" spans="1:7">
      <c r="A173" s="67" t="s">
        <v>564</v>
      </c>
      <c r="B173" s="67" t="s">
        <v>282</v>
      </c>
      <c r="C173" s="70">
        <v>45986</v>
      </c>
      <c r="D173" s="70">
        <v>45987</v>
      </c>
      <c r="E173" s="67" t="s">
        <v>390</v>
      </c>
      <c r="F173" s="67" t="s">
        <v>392</v>
      </c>
      <c r="G173" s="67"/>
    </row>
    <row r="174" spans="1:7">
      <c r="A174" s="67" t="s">
        <v>565</v>
      </c>
      <c r="B174" s="67" t="s">
        <v>318</v>
      </c>
      <c r="C174" s="70">
        <v>45986</v>
      </c>
      <c r="D174" s="70">
        <v>45986</v>
      </c>
      <c r="E174" s="67" t="s">
        <v>404</v>
      </c>
      <c r="F174" s="67" t="s">
        <v>384</v>
      </c>
      <c r="G174" s="67">
        <v>3</v>
      </c>
    </row>
    <row r="175" spans="1:7">
      <c r="A175" s="67" t="s">
        <v>566</v>
      </c>
      <c r="B175" s="67" t="s">
        <v>106</v>
      </c>
      <c r="C175" s="70">
        <v>45987</v>
      </c>
      <c r="D175" s="70">
        <v>45987</v>
      </c>
      <c r="E175" s="67" t="s">
        <v>390</v>
      </c>
      <c r="F175" s="67" t="s">
        <v>386</v>
      </c>
      <c r="G175" s="67">
        <v>3</v>
      </c>
    </row>
    <row r="176" spans="1:7">
      <c r="A176" s="67" t="s">
        <v>567</v>
      </c>
      <c r="B176" s="67" t="s">
        <v>110</v>
      </c>
      <c r="C176" s="70">
        <v>45987</v>
      </c>
      <c r="D176" s="70">
        <v>45993</v>
      </c>
      <c r="E176" s="67" t="s">
        <v>404</v>
      </c>
      <c r="F176" s="67" t="s">
        <v>388</v>
      </c>
      <c r="G176" s="67">
        <v>3</v>
      </c>
    </row>
    <row r="177" spans="1:7">
      <c r="A177" s="67" t="s">
        <v>568</v>
      </c>
      <c r="B177" s="67" t="s">
        <v>166</v>
      </c>
      <c r="C177" s="70">
        <v>45987</v>
      </c>
      <c r="D177" s="70">
        <v>46008</v>
      </c>
      <c r="E177" s="67" t="s">
        <v>390</v>
      </c>
      <c r="F177" s="67" t="s">
        <v>384</v>
      </c>
      <c r="G177" s="67"/>
    </row>
    <row r="178" spans="1:7">
      <c r="A178" s="67" t="s">
        <v>569</v>
      </c>
      <c r="B178" s="67" t="s">
        <v>150</v>
      </c>
      <c r="C178" s="70">
        <v>45988</v>
      </c>
      <c r="D178" s="70">
        <v>45996</v>
      </c>
      <c r="E178" s="67" t="s">
        <v>404</v>
      </c>
      <c r="F178" s="67" t="s">
        <v>396</v>
      </c>
      <c r="G178" s="67">
        <v>3</v>
      </c>
    </row>
    <row r="179" spans="1:7">
      <c r="A179" s="67" t="s">
        <v>570</v>
      </c>
      <c r="B179" s="67" t="s">
        <v>202</v>
      </c>
      <c r="C179" s="70">
        <v>45988</v>
      </c>
      <c r="D179" s="70">
        <v>45998</v>
      </c>
      <c r="E179" s="67" t="s">
        <v>390</v>
      </c>
      <c r="F179" s="67" t="s">
        <v>388</v>
      </c>
      <c r="G179" s="67">
        <v>4</v>
      </c>
    </row>
    <row r="180" spans="1:7">
      <c r="A180" s="67" t="s">
        <v>571</v>
      </c>
      <c r="B180" s="67" t="s">
        <v>14</v>
      </c>
      <c r="C180" s="70">
        <v>45989</v>
      </c>
      <c r="D180" s="70">
        <v>45990</v>
      </c>
      <c r="E180" s="67" t="s">
        <v>404</v>
      </c>
      <c r="F180" s="67" t="s">
        <v>386</v>
      </c>
      <c r="G180" s="67">
        <v>4</v>
      </c>
    </row>
    <row r="181" spans="1:7">
      <c r="A181" s="67" t="s">
        <v>572</v>
      </c>
      <c r="B181" s="67" t="s">
        <v>148</v>
      </c>
      <c r="C181" s="70">
        <v>45989</v>
      </c>
      <c r="D181" s="70">
        <v>46000</v>
      </c>
      <c r="E181" s="67" t="s">
        <v>404</v>
      </c>
      <c r="F181" s="67" t="s">
        <v>408</v>
      </c>
      <c r="G181" s="67">
        <v>4</v>
      </c>
    </row>
    <row r="182" spans="1:7">
      <c r="A182" s="67" t="s">
        <v>573</v>
      </c>
      <c r="B182" s="67" t="s">
        <v>166</v>
      </c>
      <c r="C182" s="70">
        <v>45989</v>
      </c>
      <c r="D182" s="70">
        <v>45990</v>
      </c>
      <c r="E182" s="67" t="s">
        <v>383</v>
      </c>
      <c r="F182" s="67" t="s">
        <v>386</v>
      </c>
      <c r="G182" s="67">
        <v>4</v>
      </c>
    </row>
    <row r="183" spans="1:7">
      <c r="A183" s="67" t="s">
        <v>574</v>
      </c>
      <c r="B183" s="67" t="s">
        <v>328</v>
      </c>
      <c r="C183" s="70">
        <v>45989</v>
      </c>
      <c r="D183" s="70">
        <v>45998</v>
      </c>
      <c r="E183" s="67" t="s">
        <v>390</v>
      </c>
      <c r="F183" s="67" t="s">
        <v>388</v>
      </c>
      <c r="G183" s="67">
        <v>4</v>
      </c>
    </row>
    <row r="184" spans="1:7">
      <c r="A184" s="67" t="s">
        <v>575</v>
      </c>
      <c r="B184" s="67" t="s">
        <v>136</v>
      </c>
      <c r="C184" s="70">
        <v>45990</v>
      </c>
      <c r="D184" s="70">
        <v>45990</v>
      </c>
      <c r="E184" s="67" t="s">
        <v>383</v>
      </c>
      <c r="F184" s="67" t="s">
        <v>386</v>
      </c>
      <c r="G184" s="67">
        <v>5</v>
      </c>
    </row>
    <row r="185" spans="1:7">
      <c r="A185" s="67" t="s">
        <v>576</v>
      </c>
      <c r="B185" s="67" t="s">
        <v>196</v>
      </c>
      <c r="C185" s="70">
        <v>45990</v>
      </c>
      <c r="D185" s="70">
        <v>45991</v>
      </c>
      <c r="E185" s="67" t="s">
        <v>398</v>
      </c>
      <c r="F185" s="67" t="s">
        <v>396</v>
      </c>
      <c r="G185" s="67"/>
    </row>
    <row r="186" spans="1:7">
      <c r="A186" s="67" t="s">
        <v>577</v>
      </c>
      <c r="B186" s="67" t="s">
        <v>276</v>
      </c>
      <c r="C186" s="70">
        <v>45991</v>
      </c>
      <c r="D186" s="70">
        <v>45996</v>
      </c>
      <c r="E186" s="67" t="s">
        <v>383</v>
      </c>
      <c r="F186" s="67" t="s">
        <v>386</v>
      </c>
      <c r="G186" s="67"/>
    </row>
    <row r="187" spans="1:7">
      <c r="A187" s="67" t="s">
        <v>578</v>
      </c>
      <c r="B187" s="67" t="s">
        <v>71</v>
      </c>
      <c r="C187" s="70">
        <v>45992</v>
      </c>
      <c r="D187" s="70">
        <v>45995</v>
      </c>
      <c r="E187" s="67" t="s">
        <v>383</v>
      </c>
      <c r="F187" s="67" t="s">
        <v>384</v>
      </c>
      <c r="G187" s="67">
        <v>5</v>
      </c>
    </row>
    <row r="188" spans="1:7">
      <c r="A188" s="67" t="s">
        <v>579</v>
      </c>
      <c r="B188" s="67" t="s">
        <v>126</v>
      </c>
      <c r="C188" s="70">
        <v>45992</v>
      </c>
      <c r="D188" s="70">
        <v>45992</v>
      </c>
      <c r="E188" s="67" t="s">
        <v>383</v>
      </c>
      <c r="F188" s="67" t="s">
        <v>384</v>
      </c>
      <c r="G188" s="67">
        <v>5</v>
      </c>
    </row>
    <row r="189" spans="1:7">
      <c r="A189" s="67" t="s">
        <v>580</v>
      </c>
      <c r="B189" s="67" t="s">
        <v>218</v>
      </c>
      <c r="C189" s="70">
        <v>45992</v>
      </c>
      <c r="D189" s="70">
        <v>45992</v>
      </c>
      <c r="E189" s="67" t="s">
        <v>398</v>
      </c>
      <c r="F189" s="67" t="s">
        <v>388</v>
      </c>
      <c r="G189" s="67">
        <v>4</v>
      </c>
    </row>
    <row r="190" spans="1:7">
      <c r="A190" s="67" t="s">
        <v>581</v>
      </c>
      <c r="B190" s="67" t="s">
        <v>196</v>
      </c>
      <c r="C190" s="70">
        <v>45993</v>
      </c>
      <c r="D190" s="70">
        <v>46001</v>
      </c>
      <c r="E190" s="67" t="s">
        <v>383</v>
      </c>
      <c r="F190" s="67" t="s">
        <v>384</v>
      </c>
      <c r="G190" s="67"/>
    </row>
    <row r="191" spans="1:7">
      <c r="A191" s="67" t="s">
        <v>582</v>
      </c>
      <c r="B191" s="67" t="s">
        <v>304</v>
      </c>
      <c r="C191" s="70">
        <v>45993</v>
      </c>
      <c r="D191" s="70">
        <v>46031</v>
      </c>
      <c r="E191" s="67" t="s">
        <v>383</v>
      </c>
      <c r="F191" s="67" t="s">
        <v>384</v>
      </c>
      <c r="G191" s="67"/>
    </row>
    <row r="192" spans="1:7">
      <c r="A192" s="67" t="s">
        <v>583</v>
      </c>
      <c r="B192" s="67" t="s">
        <v>14</v>
      </c>
      <c r="C192" s="70">
        <v>45994</v>
      </c>
      <c r="D192" s="70">
        <v>45997</v>
      </c>
      <c r="E192" s="67" t="s">
        <v>404</v>
      </c>
      <c r="F192" s="67" t="s">
        <v>392</v>
      </c>
      <c r="G192" s="67">
        <v>3</v>
      </c>
    </row>
    <row r="193" spans="1:7">
      <c r="A193" s="67" t="s">
        <v>584</v>
      </c>
      <c r="B193" s="67" t="s">
        <v>116</v>
      </c>
      <c r="C193" s="70">
        <v>45994</v>
      </c>
      <c r="D193" s="70">
        <v>46006</v>
      </c>
      <c r="E193" s="67" t="s">
        <v>390</v>
      </c>
      <c r="F193" s="67" t="s">
        <v>408</v>
      </c>
      <c r="G193" s="67"/>
    </row>
    <row r="194" spans="1:7">
      <c r="A194" s="67" t="s">
        <v>585</v>
      </c>
      <c r="B194" s="67" t="s">
        <v>300</v>
      </c>
      <c r="C194" s="70">
        <v>45994</v>
      </c>
      <c r="D194" s="70">
        <v>45995</v>
      </c>
      <c r="E194" s="67" t="s">
        <v>404</v>
      </c>
      <c r="F194" s="67" t="s">
        <v>408</v>
      </c>
      <c r="G194" s="67"/>
    </row>
    <row r="195" spans="1:7">
      <c r="A195" s="67" t="s">
        <v>586</v>
      </c>
      <c r="B195" s="67" t="s">
        <v>14</v>
      </c>
      <c r="C195" s="70">
        <v>45995</v>
      </c>
      <c r="D195" s="70">
        <v>46005</v>
      </c>
      <c r="E195" s="67" t="s">
        <v>383</v>
      </c>
      <c r="F195" s="67" t="s">
        <v>394</v>
      </c>
      <c r="G195" s="67"/>
    </row>
    <row r="196" spans="1:7">
      <c r="A196" s="67" t="s">
        <v>587</v>
      </c>
      <c r="B196" s="67" t="s">
        <v>196</v>
      </c>
      <c r="C196" s="70">
        <v>45995</v>
      </c>
      <c r="D196" s="70">
        <v>45999</v>
      </c>
      <c r="E196" s="67" t="s">
        <v>383</v>
      </c>
      <c r="F196" s="67" t="s">
        <v>386</v>
      </c>
      <c r="G196" s="67"/>
    </row>
    <row r="197" spans="1:7">
      <c r="A197" s="67" t="s">
        <v>588</v>
      </c>
      <c r="B197" s="67" t="s">
        <v>320</v>
      </c>
      <c r="C197" s="70">
        <v>45995</v>
      </c>
      <c r="D197" s="70">
        <v>45995</v>
      </c>
      <c r="E197" s="67" t="s">
        <v>404</v>
      </c>
      <c r="F197" s="67" t="s">
        <v>388</v>
      </c>
      <c r="G197" s="67"/>
    </row>
    <row r="198" spans="1:7">
      <c r="A198" s="67" t="s">
        <v>589</v>
      </c>
      <c r="B198" s="67" t="s">
        <v>194</v>
      </c>
      <c r="C198" s="70">
        <v>45996</v>
      </c>
      <c r="D198" s="70">
        <v>45996</v>
      </c>
      <c r="E198" s="67" t="s">
        <v>404</v>
      </c>
      <c r="F198" s="67" t="s">
        <v>392</v>
      </c>
      <c r="G198" s="67">
        <v>2</v>
      </c>
    </row>
    <row r="199" spans="1:7">
      <c r="A199" s="67" t="s">
        <v>590</v>
      </c>
      <c r="B199" s="67" t="s">
        <v>186</v>
      </c>
      <c r="C199" s="70">
        <v>45997</v>
      </c>
      <c r="D199" s="70">
        <v>46000</v>
      </c>
      <c r="E199" s="67" t="s">
        <v>383</v>
      </c>
      <c r="F199" s="67" t="s">
        <v>388</v>
      </c>
      <c r="G199" s="67">
        <v>4</v>
      </c>
    </row>
    <row r="200" spans="1:7">
      <c r="A200" s="67" t="s">
        <v>591</v>
      </c>
      <c r="B200" s="67" t="s">
        <v>304</v>
      </c>
      <c r="C200" s="70">
        <v>45997</v>
      </c>
      <c r="D200" s="70">
        <v>46016</v>
      </c>
      <c r="E200" s="67" t="s">
        <v>390</v>
      </c>
      <c r="F200" s="67" t="s">
        <v>388</v>
      </c>
      <c r="G200" s="67">
        <v>2</v>
      </c>
    </row>
    <row r="201" spans="1:7">
      <c r="A201" s="67" t="s">
        <v>592</v>
      </c>
      <c r="B201" s="67" t="s">
        <v>336</v>
      </c>
      <c r="C201" s="70">
        <v>45997</v>
      </c>
      <c r="D201" s="70">
        <v>46008</v>
      </c>
      <c r="E201" s="67" t="s">
        <v>383</v>
      </c>
      <c r="F201" s="67" t="s">
        <v>396</v>
      </c>
      <c r="G201" s="67">
        <v>4</v>
      </c>
    </row>
    <row r="202" spans="1:7">
      <c r="A202" s="67" t="s">
        <v>593</v>
      </c>
      <c r="B202" s="67" t="s">
        <v>51</v>
      </c>
      <c r="C202" s="70">
        <v>45998</v>
      </c>
      <c r="D202" s="70">
        <v>46018</v>
      </c>
      <c r="E202" s="67" t="s">
        <v>383</v>
      </c>
      <c r="F202" s="67" t="s">
        <v>388</v>
      </c>
      <c r="G202" s="67">
        <v>4</v>
      </c>
    </row>
    <row r="203" spans="1:7">
      <c r="A203" s="67" t="s">
        <v>594</v>
      </c>
      <c r="B203" s="67" t="s">
        <v>304</v>
      </c>
      <c r="C203" s="70">
        <v>45998</v>
      </c>
      <c r="D203" s="70">
        <v>45999</v>
      </c>
      <c r="E203" s="67" t="s">
        <v>398</v>
      </c>
      <c r="F203" s="67" t="s">
        <v>396</v>
      </c>
      <c r="G203" s="67">
        <v>3</v>
      </c>
    </row>
    <row r="204" spans="1:7">
      <c r="A204" s="67" t="s">
        <v>595</v>
      </c>
      <c r="B204" s="67" t="s">
        <v>92</v>
      </c>
      <c r="C204" s="70">
        <v>45999</v>
      </c>
      <c r="D204" s="70">
        <v>46000</v>
      </c>
      <c r="E204" s="67" t="s">
        <v>390</v>
      </c>
      <c r="F204" s="67" t="s">
        <v>384</v>
      </c>
      <c r="G204" s="67"/>
    </row>
    <row r="205" spans="1:7">
      <c r="A205" s="67" t="s">
        <v>596</v>
      </c>
      <c r="B205" s="67" t="s">
        <v>276</v>
      </c>
      <c r="C205" s="70">
        <v>45999</v>
      </c>
      <c r="D205" s="70">
        <v>46015</v>
      </c>
      <c r="E205" s="67" t="s">
        <v>383</v>
      </c>
      <c r="F205" s="67" t="s">
        <v>396</v>
      </c>
      <c r="G205" s="67"/>
    </row>
    <row r="206" spans="1:7">
      <c r="A206" s="67" t="s">
        <v>597</v>
      </c>
      <c r="B206" s="67" t="s">
        <v>336</v>
      </c>
      <c r="C206" s="70">
        <v>45999</v>
      </c>
      <c r="D206" s="70">
        <v>46015</v>
      </c>
      <c r="E206" s="67" t="s">
        <v>383</v>
      </c>
      <c r="F206" s="67" t="s">
        <v>384</v>
      </c>
      <c r="G206" s="67">
        <v>4</v>
      </c>
    </row>
    <row r="207" spans="1:7">
      <c r="A207" s="67" t="s">
        <v>598</v>
      </c>
      <c r="B207" s="67" t="s">
        <v>196</v>
      </c>
      <c r="C207" s="70">
        <v>46000</v>
      </c>
      <c r="D207" s="70">
        <v>46001</v>
      </c>
      <c r="E207" s="67" t="s">
        <v>398</v>
      </c>
      <c r="F207" s="67" t="s">
        <v>384</v>
      </c>
      <c r="G207" s="67"/>
    </row>
    <row r="208" spans="1:7">
      <c r="A208" s="67" t="s">
        <v>599</v>
      </c>
      <c r="B208" s="67" t="s">
        <v>302</v>
      </c>
      <c r="C208" s="70">
        <v>46000</v>
      </c>
      <c r="D208" s="70">
        <v>46008</v>
      </c>
      <c r="E208" s="67" t="s">
        <v>383</v>
      </c>
      <c r="F208" s="67" t="s">
        <v>392</v>
      </c>
      <c r="G208" s="67"/>
    </row>
    <row r="209" spans="1:7">
      <c r="A209" s="67" t="s">
        <v>600</v>
      </c>
      <c r="B209" s="67" t="s">
        <v>320</v>
      </c>
      <c r="C209" s="70">
        <v>46000</v>
      </c>
      <c r="D209" s="70">
        <v>46000</v>
      </c>
      <c r="E209" s="67" t="s">
        <v>398</v>
      </c>
      <c r="F209" s="67" t="s">
        <v>396</v>
      </c>
      <c r="G209" s="67"/>
    </row>
    <row r="210" spans="1:7">
      <c r="A210" s="67" t="s">
        <v>601</v>
      </c>
      <c r="B210" s="67" t="s">
        <v>320</v>
      </c>
      <c r="C210" s="70">
        <v>46000</v>
      </c>
      <c r="D210" s="70">
        <v>46000</v>
      </c>
      <c r="E210" s="67" t="s">
        <v>390</v>
      </c>
      <c r="F210" s="67" t="s">
        <v>396</v>
      </c>
      <c r="G210" s="67">
        <v>3</v>
      </c>
    </row>
    <row r="211" spans="1:7">
      <c r="A211" s="67" t="s">
        <v>602</v>
      </c>
      <c r="B211" s="67" t="s">
        <v>228</v>
      </c>
      <c r="C211" s="70">
        <v>46001</v>
      </c>
      <c r="D211" s="70">
        <v>46001</v>
      </c>
      <c r="E211" s="67" t="s">
        <v>383</v>
      </c>
      <c r="F211" s="67" t="s">
        <v>392</v>
      </c>
      <c r="G211" s="67">
        <v>5</v>
      </c>
    </row>
    <row r="212" spans="1:7">
      <c r="A212" s="67" t="s">
        <v>603</v>
      </c>
      <c r="B212" s="67" t="s">
        <v>280</v>
      </c>
      <c r="C212" s="70">
        <v>46001</v>
      </c>
      <c r="D212" s="70">
        <v>46005</v>
      </c>
      <c r="E212" s="67" t="s">
        <v>404</v>
      </c>
      <c r="F212" s="67" t="s">
        <v>394</v>
      </c>
      <c r="G212" s="67">
        <v>3</v>
      </c>
    </row>
    <row r="213" spans="1:7">
      <c r="A213" s="67" t="s">
        <v>604</v>
      </c>
      <c r="B213" s="67" t="s">
        <v>300</v>
      </c>
      <c r="C213" s="70">
        <v>46001</v>
      </c>
      <c r="D213" s="70">
        <v>46016</v>
      </c>
      <c r="E213" s="67" t="s">
        <v>383</v>
      </c>
      <c r="F213" s="67" t="s">
        <v>392</v>
      </c>
      <c r="G213" s="67"/>
    </row>
    <row r="214" spans="1:7">
      <c r="A214" s="67" t="s">
        <v>605</v>
      </c>
      <c r="B214" s="67" t="s">
        <v>304</v>
      </c>
      <c r="C214" s="70">
        <v>46001</v>
      </c>
      <c r="D214" s="70">
        <v>46004</v>
      </c>
      <c r="E214" s="67" t="s">
        <v>383</v>
      </c>
      <c r="F214" s="67" t="s">
        <v>408</v>
      </c>
      <c r="G214" s="67">
        <v>3</v>
      </c>
    </row>
    <row r="215" spans="1:7">
      <c r="A215" s="67" t="s">
        <v>606</v>
      </c>
      <c r="B215" s="67" t="s">
        <v>59</v>
      </c>
      <c r="C215" s="70">
        <v>46002</v>
      </c>
      <c r="D215" s="70">
        <v>46003</v>
      </c>
      <c r="E215" s="67" t="s">
        <v>404</v>
      </c>
      <c r="F215" s="67" t="s">
        <v>392</v>
      </c>
      <c r="G215" s="67">
        <v>3</v>
      </c>
    </row>
    <row r="216" spans="1:7">
      <c r="A216" s="67" t="s">
        <v>607</v>
      </c>
      <c r="B216" s="67" t="s">
        <v>172</v>
      </c>
      <c r="C216" s="70">
        <v>46002</v>
      </c>
      <c r="D216" s="70">
        <v>46008</v>
      </c>
      <c r="E216" s="67" t="s">
        <v>404</v>
      </c>
      <c r="F216" s="67" t="s">
        <v>394</v>
      </c>
      <c r="G216" s="67">
        <v>5</v>
      </c>
    </row>
    <row r="217" spans="1:7">
      <c r="A217" s="67" t="s">
        <v>608</v>
      </c>
      <c r="B217" s="67" t="s">
        <v>196</v>
      </c>
      <c r="C217" s="70">
        <v>46002</v>
      </c>
      <c r="D217" s="70">
        <v>46006</v>
      </c>
      <c r="E217" s="67" t="s">
        <v>383</v>
      </c>
      <c r="F217" s="67" t="s">
        <v>396</v>
      </c>
      <c r="G217" s="67"/>
    </row>
    <row r="218" spans="1:7">
      <c r="A218" s="67" t="s">
        <v>609</v>
      </c>
      <c r="B218" s="67" t="s">
        <v>234</v>
      </c>
      <c r="C218" s="70">
        <v>46002</v>
      </c>
      <c r="D218" s="70">
        <v>46018</v>
      </c>
      <c r="E218" s="67" t="s">
        <v>390</v>
      </c>
      <c r="F218" s="67" t="s">
        <v>388</v>
      </c>
      <c r="G218" s="67">
        <v>4</v>
      </c>
    </row>
    <row r="219" spans="1:7">
      <c r="A219" s="67" t="s">
        <v>610</v>
      </c>
      <c r="B219" s="67" t="s">
        <v>260</v>
      </c>
      <c r="C219" s="70">
        <v>46002</v>
      </c>
      <c r="D219" s="70">
        <v>46005</v>
      </c>
      <c r="E219" s="67" t="s">
        <v>383</v>
      </c>
      <c r="F219" s="67" t="s">
        <v>386</v>
      </c>
      <c r="G219" s="67">
        <v>4</v>
      </c>
    </row>
    <row r="220" spans="1:7">
      <c r="A220" s="67" t="s">
        <v>611</v>
      </c>
      <c r="B220" s="67" t="s">
        <v>198</v>
      </c>
      <c r="C220" s="70">
        <v>46003</v>
      </c>
      <c r="D220" s="70">
        <v>46026</v>
      </c>
      <c r="E220" s="67" t="s">
        <v>383</v>
      </c>
      <c r="F220" s="67" t="s">
        <v>396</v>
      </c>
      <c r="G220" s="67"/>
    </row>
    <row r="221" spans="1:7">
      <c r="A221" s="67" t="s">
        <v>612</v>
      </c>
      <c r="B221" s="67" t="s">
        <v>340</v>
      </c>
      <c r="C221" s="70">
        <v>46003</v>
      </c>
      <c r="D221" s="70">
        <v>46004</v>
      </c>
      <c r="E221" s="67" t="s">
        <v>390</v>
      </c>
      <c r="F221" s="67" t="s">
        <v>386</v>
      </c>
      <c r="G221" s="67"/>
    </row>
    <row r="222" spans="1:7">
      <c r="A222" s="67" t="s">
        <v>613</v>
      </c>
      <c r="B222" s="67" t="s">
        <v>150</v>
      </c>
      <c r="C222" s="70">
        <v>46004</v>
      </c>
      <c r="D222" s="70">
        <v>46017</v>
      </c>
      <c r="E222" s="67" t="s">
        <v>383</v>
      </c>
      <c r="F222" s="67" t="s">
        <v>388</v>
      </c>
      <c r="G222" s="67"/>
    </row>
    <row r="223" spans="1:7">
      <c r="A223" s="67" t="s">
        <v>614</v>
      </c>
      <c r="B223" s="67" t="s">
        <v>124</v>
      </c>
      <c r="C223" s="70">
        <v>46005</v>
      </c>
      <c r="D223" s="70">
        <v>46005</v>
      </c>
      <c r="E223" s="67" t="s">
        <v>398</v>
      </c>
      <c r="F223" s="67" t="s">
        <v>386</v>
      </c>
      <c r="G223" s="67">
        <v>2</v>
      </c>
    </row>
    <row r="224" spans="1:7">
      <c r="A224" s="67" t="s">
        <v>615</v>
      </c>
      <c r="B224" s="67" t="s">
        <v>200</v>
      </c>
      <c r="C224" s="70">
        <v>46005</v>
      </c>
      <c r="D224" s="70">
        <v>46010</v>
      </c>
      <c r="E224" s="67" t="s">
        <v>404</v>
      </c>
      <c r="F224" s="67" t="s">
        <v>384</v>
      </c>
      <c r="G224" s="67"/>
    </row>
    <row r="225" spans="1:7">
      <c r="A225" s="67" t="s">
        <v>616</v>
      </c>
      <c r="B225" s="67" t="s">
        <v>202</v>
      </c>
      <c r="C225" s="70">
        <v>46005</v>
      </c>
      <c r="D225" s="70">
        <v>46011</v>
      </c>
      <c r="E225" s="67" t="s">
        <v>383</v>
      </c>
      <c r="F225" s="67" t="s">
        <v>408</v>
      </c>
      <c r="G225" s="67"/>
    </row>
    <row r="226" spans="1:7">
      <c r="A226" s="67" t="s">
        <v>617</v>
      </c>
      <c r="B226" s="67" t="s">
        <v>188</v>
      </c>
      <c r="C226" s="70">
        <v>46006</v>
      </c>
      <c r="D226" s="70">
        <v>46006</v>
      </c>
      <c r="E226" s="67" t="s">
        <v>383</v>
      </c>
      <c r="F226" s="67" t="s">
        <v>384</v>
      </c>
      <c r="G226" s="67">
        <v>1</v>
      </c>
    </row>
    <row r="227" spans="1:7">
      <c r="A227" s="67" t="s">
        <v>618</v>
      </c>
      <c r="B227" s="67" t="s">
        <v>320</v>
      </c>
      <c r="C227" s="70">
        <v>46006</v>
      </c>
      <c r="D227" s="70">
        <v>46006</v>
      </c>
      <c r="E227" s="67" t="s">
        <v>383</v>
      </c>
      <c r="F227" s="67" t="s">
        <v>388</v>
      </c>
      <c r="G227" s="67"/>
    </row>
    <row r="228" spans="1:7">
      <c r="A228" s="67" t="s">
        <v>619</v>
      </c>
      <c r="B228" s="67" t="s">
        <v>328</v>
      </c>
      <c r="C228" s="70">
        <v>46006</v>
      </c>
      <c r="D228" s="70">
        <v>46013</v>
      </c>
      <c r="E228" s="67" t="s">
        <v>383</v>
      </c>
      <c r="F228" s="67" t="s">
        <v>386</v>
      </c>
      <c r="G228" s="67">
        <v>4</v>
      </c>
    </row>
    <row r="229" spans="1:7">
      <c r="A229" s="67" t="s">
        <v>620</v>
      </c>
      <c r="B229" s="67" t="s">
        <v>252</v>
      </c>
      <c r="C229" s="70">
        <v>46007</v>
      </c>
      <c r="D229" s="70">
        <v>46024</v>
      </c>
      <c r="E229" s="67" t="s">
        <v>383</v>
      </c>
      <c r="F229" s="67" t="s">
        <v>392</v>
      </c>
      <c r="G229" s="67">
        <v>4</v>
      </c>
    </row>
    <row r="230" spans="1:7">
      <c r="A230" s="67" t="s">
        <v>621</v>
      </c>
      <c r="B230" s="67" t="s">
        <v>116</v>
      </c>
      <c r="C230" s="70">
        <v>46008</v>
      </c>
      <c r="D230" s="70">
        <v>46035</v>
      </c>
      <c r="E230" s="67" t="s">
        <v>383</v>
      </c>
      <c r="F230" s="67" t="s">
        <v>386</v>
      </c>
      <c r="G230" s="67">
        <v>4</v>
      </c>
    </row>
    <row r="231" spans="1:7">
      <c r="A231" s="67" t="s">
        <v>622</v>
      </c>
      <c r="B231" s="67" t="s">
        <v>166</v>
      </c>
      <c r="C231" s="70">
        <v>46008</v>
      </c>
      <c r="D231" s="70">
        <v>46013</v>
      </c>
      <c r="E231" s="67" t="s">
        <v>390</v>
      </c>
      <c r="F231" s="67" t="s">
        <v>388</v>
      </c>
      <c r="G231" s="67">
        <v>4</v>
      </c>
    </row>
    <row r="232" spans="1:7">
      <c r="A232" s="67" t="s">
        <v>623</v>
      </c>
      <c r="B232" s="67" t="s">
        <v>196</v>
      </c>
      <c r="C232" s="70">
        <v>46008</v>
      </c>
      <c r="D232" s="70">
        <v>46009</v>
      </c>
      <c r="E232" s="67" t="s">
        <v>404</v>
      </c>
      <c r="F232" s="67" t="s">
        <v>386</v>
      </c>
      <c r="G232" s="67"/>
    </row>
    <row r="233" spans="1:7">
      <c r="A233" s="67" t="s">
        <v>624</v>
      </c>
      <c r="B233" s="67" t="s">
        <v>98</v>
      </c>
      <c r="C233" s="70">
        <v>46009</v>
      </c>
      <c r="D233" s="70">
        <v>46009</v>
      </c>
      <c r="E233" s="67" t="s">
        <v>404</v>
      </c>
      <c r="F233" s="67" t="s">
        <v>394</v>
      </c>
      <c r="G233" s="67">
        <v>4</v>
      </c>
    </row>
    <row r="234" spans="1:7">
      <c r="A234" s="67" t="s">
        <v>625</v>
      </c>
      <c r="B234" s="67" t="s">
        <v>152</v>
      </c>
      <c r="C234" s="70">
        <v>46009</v>
      </c>
      <c r="D234" s="70">
        <v>46028</v>
      </c>
      <c r="E234" s="67" t="s">
        <v>383</v>
      </c>
      <c r="F234" s="67" t="s">
        <v>392</v>
      </c>
      <c r="G234" s="67">
        <v>3</v>
      </c>
    </row>
    <row r="235" spans="1:7">
      <c r="A235" s="67" t="s">
        <v>626</v>
      </c>
      <c r="B235" s="67" t="s">
        <v>71</v>
      </c>
      <c r="C235" s="70">
        <v>46010</v>
      </c>
      <c r="D235" s="70">
        <v>46016</v>
      </c>
      <c r="E235" s="67" t="s">
        <v>383</v>
      </c>
      <c r="F235" s="67" t="s">
        <v>384</v>
      </c>
      <c r="G235" s="67">
        <v>3</v>
      </c>
    </row>
    <row r="236" spans="1:7">
      <c r="A236" s="67" t="s">
        <v>627</v>
      </c>
      <c r="B236" s="67" t="s">
        <v>75</v>
      </c>
      <c r="C236" s="70">
        <v>46010</v>
      </c>
      <c r="D236" s="70">
        <v>46011</v>
      </c>
      <c r="E236" s="67" t="s">
        <v>383</v>
      </c>
      <c r="F236" s="67" t="s">
        <v>384</v>
      </c>
      <c r="G236" s="67">
        <v>5</v>
      </c>
    </row>
    <row r="237" spans="1:7">
      <c r="A237" s="67" t="s">
        <v>628</v>
      </c>
      <c r="B237" s="67" t="s">
        <v>172</v>
      </c>
      <c r="C237" s="70">
        <v>46010</v>
      </c>
      <c r="D237" s="70">
        <v>46040</v>
      </c>
      <c r="E237" s="67" t="s">
        <v>383</v>
      </c>
      <c r="F237" s="67" t="s">
        <v>384</v>
      </c>
      <c r="G237" s="67"/>
    </row>
    <row r="238" spans="1:7">
      <c r="A238" s="67" t="s">
        <v>629</v>
      </c>
      <c r="B238" s="67" t="s">
        <v>282</v>
      </c>
      <c r="C238" s="70">
        <v>46010</v>
      </c>
      <c r="D238" s="70">
        <v>46010</v>
      </c>
      <c r="E238" s="67" t="s">
        <v>398</v>
      </c>
      <c r="F238" s="67" t="s">
        <v>408</v>
      </c>
      <c r="G238" s="67"/>
    </row>
    <row r="239" spans="1:7">
      <c r="A239" s="67" t="s">
        <v>630</v>
      </c>
      <c r="B239" s="67" t="s">
        <v>292</v>
      </c>
      <c r="C239" s="70">
        <v>46010</v>
      </c>
      <c r="D239" s="70">
        <v>46036</v>
      </c>
      <c r="E239" s="67" t="s">
        <v>390</v>
      </c>
      <c r="F239" s="67" t="s">
        <v>396</v>
      </c>
      <c r="G239" s="67">
        <v>3</v>
      </c>
    </row>
    <row r="240" spans="1:7">
      <c r="A240" s="67" t="s">
        <v>631</v>
      </c>
      <c r="B240" s="67" t="s">
        <v>334</v>
      </c>
      <c r="C240" s="70">
        <v>46010</v>
      </c>
      <c r="D240" s="70">
        <v>46011</v>
      </c>
      <c r="E240" s="67" t="s">
        <v>383</v>
      </c>
      <c r="F240" s="67" t="s">
        <v>384</v>
      </c>
      <c r="G240" s="67">
        <v>2</v>
      </c>
    </row>
    <row r="241" spans="1:7">
      <c r="A241" s="67" t="s">
        <v>632</v>
      </c>
      <c r="B241" s="67" t="s">
        <v>250</v>
      </c>
      <c r="C241" s="70">
        <v>46011</v>
      </c>
      <c r="D241" s="70">
        <v>46020</v>
      </c>
      <c r="E241" s="67" t="s">
        <v>404</v>
      </c>
      <c r="F241" s="67" t="s">
        <v>388</v>
      </c>
      <c r="G241" s="67"/>
    </row>
    <row r="242" spans="1:7">
      <c r="A242" s="67" t="s">
        <v>633</v>
      </c>
      <c r="B242" s="67" t="s">
        <v>304</v>
      </c>
      <c r="C242" s="70">
        <v>46011</v>
      </c>
      <c r="D242" s="70">
        <v>46027</v>
      </c>
      <c r="E242" s="67" t="s">
        <v>383</v>
      </c>
      <c r="F242" s="67" t="s">
        <v>388</v>
      </c>
      <c r="G242" s="67"/>
    </row>
    <row r="243" spans="1:7">
      <c r="A243" s="67" t="s">
        <v>634</v>
      </c>
      <c r="B243" s="67" t="s">
        <v>98</v>
      </c>
      <c r="C243" s="70">
        <v>46012</v>
      </c>
      <c r="D243" s="70">
        <v>46038</v>
      </c>
      <c r="E243" s="67" t="s">
        <v>390</v>
      </c>
      <c r="F243" s="67" t="s">
        <v>386</v>
      </c>
      <c r="G243" s="67">
        <v>5</v>
      </c>
    </row>
    <row r="244" spans="1:7">
      <c r="A244" s="67" t="s">
        <v>635</v>
      </c>
      <c r="B244" s="67" t="s">
        <v>112</v>
      </c>
      <c r="C244" s="70">
        <v>46012</v>
      </c>
      <c r="D244" s="70">
        <v>46012</v>
      </c>
      <c r="E244" s="67" t="s">
        <v>404</v>
      </c>
      <c r="F244" s="67" t="s">
        <v>388</v>
      </c>
      <c r="G244" s="67"/>
    </row>
    <row r="245" spans="1:7">
      <c r="A245" s="67" t="s">
        <v>636</v>
      </c>
      <c r="B245" s="67" t="s">
        <v>184</v>
      </c>
      <c r="C245" s="70">
        <v>46012</v>
      </c>
      <c r="D245" s="70">
        <v>46021</v>
      </c>
      <c r="E245" s="67" t="s">
        <v>383</v>
      </c>
      <c r="F245" s="67" t="s">
        <v>384</v>
      </c>
      <c r="G245" s="67">
        <v>5</v>
      </c>
    </row>
    <row r="246" spans="1:7">
      <c r="A246" s="67" t="s">
        <v>637</v>
      </c>
      <c r="B246" s="67" t="s">
        <v>226</v>
      </c>
      <c r="C246" s="70">
        <v>46013</v>
      </c>
      <c r="D246" s="70">
        <v>46013</v>
      </c>
      <c r="E246" s="67" t="s">
        <v>390</v>
      </c>
      <c r="F246" s="67" t="s">
        <v>392</v>
      </c>
      <c r="G246" s="67"/>
    </row>
    <row r="247" spans="1:7">
      <c r="A247" s="67" t="s">
        <v>638</v>
      </c>
      <c r="B247" s="67" t="s">
        <v>304</v>
      </c>
      <c r="C247" s="70">
        <v>46013</v>
      </c>
      <c r="D247" s="70">
        <v>46041</v>
      </c>
      <c r="E247" s="67" t="s">
        <v>390</v>
      </c>
      <c r="F247" s="67" t="s">
        <v>384</v>
      </c>
      <c r="G247" s="67">
        <v>2</v>
      </c>
    </row>
    <row r="248" spans="1:7">
      <c r="A248" s="67" t="s">
        <v>639</v>
      </c>
      <c r="B248" s="67" t="s">
        <v>14</v>
      </c>
      <c r="C248" s="70">
        <v>46014</v>
      </c>
      <c r="D248" s="70">
        <v>46037</v>
      </c>
      <c r="E248" s="67" t="s">
        <v>390</v>
      </c>
      <c r="F248" s="67" t="s">
        <v>386</v>
      </c>
      <c r="G248" s="67"/>
    </row>
    <row r="249" spans="1:7">
      <c r="A249" s="67" t="s">
        <v>640</v>
      </c>
      <c r="B249" s="67" t="s">
        <v>202</v>
      </c>
      <c r="C249" s="70">
        <v>46015</v>
      </c>
      <c r="D249" s="70">
        <v>46020</v>
      </c>
      <c r="E249" s="67" t="s">
        <v>390</v>
      </c>
      <c r="F249" s="67" t="s">
        <v>384</v>
      </c>
      <c r="G249" s="67"/>
    </row>
    <row r="250" spans="1:7">
      <c r="A250" s="67" t="s">
        <v>641</v>
      </c>
      <c r="B250" s="67" t="s">
        <v>246</v>
      </c>
      <c r="C250" s="70">
        <v>46015</v>
      </c>
      <c r="D250" s="70">
        <v>46049</v>
      </c>
      <c r="E250" s="67" t="s">
        <v>390</v>
      </c>
      <c r="F250" s="67" t="s">
        <v>394</v>
      </c>
      <c r="G250" s="67">
        <v>5</v>
      </c>
    </row>
    <row r="251" spans="1:7">
      <c r="A251" s="67" t="s">
        <v>642</v>
      </c>
      <c r="B251" s="67" t="s">
        <v>264</v>
      </c>
      <c r="C251" s="70">
        <v>46015</v>
      </c>
      <c r="D251" s="70">
        <v>46015</v>
      </c>
      <c r="E251" s="67" t="s">
        <v>398</v>
      </c>
      <c r="F251" s="67" t="s">
        <v>388</v>
      </c>
      <c r="G251" s="67"/>
    </row>
    <row r="252" spans="1:7">
      <c r="A252" s="67" t="s">
        <v>643</v>
      </c>
      <c r="B252" s="67" t="s">
        <v>270</v>
      </c>
      <c r="C252" s="70">
        <v>46015</v>
      </c>
      <c r="D252" s="70">
        <v>46024</v>
      </c>
      <c r="E252" s="67" t="s">
        <v>390</v>
      </c>
      <c r="F252" s="67" t="s">
        <v>386</v>
      </c>
      <c r="G252" s="67">
        <v>4</v>
      </c>
    </row>
    <row r="253" spans="1:7">
      <c r="A253" s="67" t="s">
        <v>644</v>
      </c>
      <c r="B253" s="67" t="s">
        <v>276</v>
      </c>
      <c r="C253" s="70">
        <v>46015</v>
      </c>
      <c r="D253" s="70">
        <v>46020</v>
      </c>
      <c r="E253" s="67" t="s">
        <v>390</v>
      </c>
      <c r="F253" s="67" t="s">
        <v>388</v>
      </c>
      <c r="G253" s="67">
        <v>1</v>
      </c>
    </row>
    <row r="254" spans="1:7">
      <c r="A254" s="67" t="s">
        <v>645</v>
      </c>
      <c r="B254" s="67" t="s">
        <v>35</v>
      </c>
      <c r="C254" s="70">
        <v>46016</v>
      </c>
      <c r="D254" s="70">
        <v>46023</v>
      </c>
      <c r="E254" s="67" t="s">
        <v>383</v>
      </c>
      <c r="F254" s="67" t="s">
        <v>396</v>
      </c>
      <c r="G254" s="67">
        <v>3</v>
      </c>
    </row>
    <row r="255" spans="1:7">
      <c r="A255" s="67" t="s">
        <v>646</v>
      </c>
      <c r="B255" s="67" t="s">
        <v>150</v>
      </c>
      <c r="C255" s="70">
        <v>46016</v>
      </c>
      <c r="D255" s="70">
        <v>46020</v>
      </c>
      <c r="E255" s="67" t="s">
        <v>390</v>
      </c>
      <c r="F255" s="67" t="s">
        <v>384</v>
      </c>
      <c r="G255" s="67"/>
    </row>
    <row r="256" spans="1:7">
      <c r="A256" s="67" t="s">
        <v>647</v>
      </c>
      <c r="B256" s="67" t="s">
        <v>168</v>
      </c>
      <c r="C256" s="70">
        <v>46016</v>
      </c>
      <c r="D256" s="70">
        <v>46016</v>
      </c>
      <c r="E256" s="67" t="s">
        <v>398</v>
      </c>
      <c r="F256" s="67" t="s">
        <v>386</v>
      </c>
      <c r="G256" s="67">
        <v>4</v>
      </c>
    </row>
    <row r="257" spans="1:7">
      <c r="A257" s="67" t="s">
        <v>648</v>
      </c>
      <c r="B257" s="67" t="s">
        <v>196</v>
      </c>
      <c r="C257" s="70">
        <v>46016</v>
      </c>
      <c r="D257" s="70">
        <v>46020</v>
      </c>
      <c r="E257" s="67" t="s">
        <v>383</v>
      </c>
      <c r="F257" s="67" t="s">
        <v>384</v>
      </c>
      <c r="G257" s="67">
        <v>5</v>
      </c>
    </row>
    <row r="258" spans="1:7">
      <c r="A258" s="67" t="s">
        <v>649</v>
      </c>
      <c r="B258" s="67" t="s">
        <v>200</v>
      </c>
      <c r="C258" s="70">
        <v>46016</v>
      </c>
      <c r="D258" s="70">
        <v>46030</v>
      </c>
      <c r="E258" s="67" t="s">
        <v>390</v>
      </c>
      <c r="F258" s="67" t="s">
        <v>388</v>
      </c>
      <c r="G258" s="67">
        <v>3</v>
      </c>
    </row>
    <row r="259" spans="1:7">
      <c r="A259" s="67" t="s">
        <v>650</v>
      </c>
      <c r="B259" s="67" t="s">
        <v>252</v>
      </c>
      <c r="C259" s="70">
        <v>46016</v>
      </c>
      <c r="D259" s="70">
        <v>46018</v>
      </c>
      <c r="E259" s="67" t="s">
        <v>383</v>
      </c>
      <c r="F259" s="67" t="s">
        <v>394</v>
      </c>
      <c r="G259" s="67">
        <v>4</v>
      </c>
    </row>
    <row r="260" spans="1:7">
      <c r="A260" s="67" t="s">
        <v>651</v>
      </c>
      <c r="B260" s="67" t="s">
        <v>304</v>
      </c>
      <c r="C260" s="70">
        <v>46016</v>
      </c>
      <c r="D260" s="70">
        <v>46043</v>
      </c>
      <c r="E260" s="67" t="s">
        <v>390</v>
      </c>
      <c r="F260" s="67" t="s">
        <v>388</v>
      </c>
      <c r="G260" s="67"/>
    </row>
    <row r="261" spans="1:7">
      <c r="A261" s="67" t="s">
        <v>652</v>
      </c>
      <c r="B261" s="67" t="s">
        <v>57</v>
      </c>
      <c r="C261" s="70">
        <v>46017</v>
      </c>
      <c r="D261" s="70">
        <v>46026</v>
      </c>
      <c r="E261" s="67" t="s">
        <v>383</v>
      </c>
      <c r="F261" s="67" t="s">
        <v>392</v>
      </c>
      <c r="G261" s="67">
        <v>4</v>
      </c>
    </row>
    <row r="262" spans="1:7">
      <c r="A262" s="67" t="s">
        <v>653</v>
      </c>
      <c r="B262" s="67" t="s">
        <v>71</v>
      </c>
      <c r="C262" s="70">
        <v>46017</v>
      </c>
      <c r="D262" s="70">
        <v>46026</v>
      </c>
      <c r="E262" s="67" t="s">
        <v>390</v>
      </c>
      <c r="F262" s="67" t="s">
        <v>386</v>
      </c>
      <c r="G262" s="67">
        <v>5</v>
      </c>
    </row>
    <row r="263" spans="1:7">
      <c r="A263" s="67" t="s">
        <v>654</v>
      </c>
      <c r="B263" s="67" t="s">
        <v>318</v>
      </c>
      <c r="C263" s="70">
        <v>46018</v>
      </c>
      <c r="D263" s="70">
        <v>46024</v>
      </c>
      <c r="E263" s="67" t="s">
        <v>383</v>
      </c>
      <c r="F263" s="67" t="s">
        <v>386</v>
      </c>
      <c r="G263" s="67"/>
    </row>
    <row r="264" spans="1:7">
      <c r="A264" s="67" t="s">
        <v>655</v>
      </c>
      <c r="B264" s="67" t="s">
        <v>106</v>
      </c>
      <c r="C264" s="70">
        <v>46019</v>
      </c>
      <c r="D264" s="70">
        <v>46022</v>
      </c>
      <c r="E264" s="67" t="s">
        <v>404</v>
      </c>
      <c r="F264" s="67" t="s">
        <v>392</v>
      </c>
      <c r="G264" s="67">
        <v>4</v>
      </c>
    </row>
    <row r="265" spans="1:7">
      <c r="A265" s="67" t="s">
        <v>656</v>
      </c>
      <c r="B265" s="67" t="s">
        <v>122</v>
      </c>
      <c r="C265" s="70">
        <v>46019</v>
      </c>
      <c r="D265" s="70">
        <v>46046</v>
      </c>
      <c r="E265" s="67" t="s">
        <v>390</v>
      </c>
      <c r="F265" s="67" t="s">
        <v>396</v>
      </c>
      <c r="G265" s="67">
        <v>2</v>
      </c>
    </row>
    <row r="266" spans="1:7">
      <c r="A266" s="67" t="s">
        <v>657</v>
      </c>
      <c r="B266" s="67" t="s">
        <v>196</v>
      </c>
      <c r="C266" s="70">
        <v>46019</v>
      </c>
      <c r="D266" s="70">
        <v>46038</v>
      </c>
      <c r="E266" s="67" t="s">
        <v>383</v>
      </c>
      <c r="F266" s="67" t="s">
        <v>392</v>
      </c>
      <c r="G266" s="67"/>
    </row>
    <row r="267" spans="1:7">
      <c r="A267" s="67" t="s">
        <v>658</v>
      </c>
      <c r="B267" s="67" t="s">
        <v>152</v>
      </c>
      <c r="C267" s="70">
        <v>46020</v>
      </c>
      <c r="D267" s="70">
        <v>46022</v>
      </c>
      <c r="E267" s="67" t="s">
        <v>383</v>
      </c>
      <c r="F267" s="67" t="s">
        <v>386</v>
      </c>
      <c r="G267" s="67"/>
    </row>
    <row r="268" spans="1:7">
      <c r="A268" s="67" t="s">
        <v>659</v>
      </c>
      <c r="B268" s="67" t="s">
        <v>214</v>
      </c>
      <c r="C268" s="70">
        <v>46020</v>
      </c>
      <c r="D268" s="70">
        <v>46024</v>
      </c>
      <c r="E268" s="67" t="s">
        <v>390</v>
      </c>
      <c r="F268" s="67" t="s">
        <v>394</v>
      </c>
      <c r="G268" s="67">
        <v>3</v>
      </c>
    </row>
    <row r="269" spans="1:7">
      <c r="A269" s="67" t="s">
        <v>660</v>
      </c>
      <c r="B269" s="67" t="s">
        <v>47</v>
      </c>
      <c r="C269" s="70">
        <v>46021</v>
      </c>
      <c r="D269" s="70">
        <v>46021</v>
      </c>
      <c r="E269" s="67" t="s">
        <v>383</v>
      </c>
      <c r="F269" s="67" t="s">
        <v>396</v>
      </c>
      <c r="G269" s="67"/>
    </row>
    <row r="270" spans="1:7">
      <c r="A270" s="67" t="s">
        <v>661</v>
      </c>
      <c r="B270" s="67" t="s">
        <v>136</v>
      </c>
      <c r="C270" s="70">
        <v>46021</v>
      </c>
      <c r="D270" s="70">
        <v>46036</v>
      </c>
      <c r="E270" s="67" t="s">
        <v>383</v>
      </c>
      <c r="F270" s="67" t="s">
        <v>388</v>
      </c>
      <c r="G270" s="67">
        <v>2</v>
      </c>
    </row>
    <row r="271" spans="1:7">
      <c r="A271" s="67" t="s">
        <v>662</v>
      </c>
      <c r="B271" s="67" t="s">
        <v>148</v>
      </c>
      <c r="C271" s="70">
        <v>46021</v>
      </c>
      <c r="D271" s="70">
        <v>46045</v>
      </c>
      <c r="E271" s="67" t="s">
        <v>390</v>
      </c>
      <c r="F271" s="67" t="s">
        <v>396</v>
      </c>
      <c r="G271" s="67">
        <v>5</v>
      </c>
    </row>
    <row r="272" spans="1:7">
      <c r="A272" s="67" t="s">
        <v>663</v>
      </c>
      <c r="B272" s="67" t="s">
        <v>254</v>
      </c>
      <c r="C272" s="70">
        <v>46021</v>
      </c>
      <c r="D272" s="70">
        <v>46026</v>
      </c>
      <c r="E272" s="67" t="s">
        <v>383</v>
      </c>
      <c r="F272" s="67" t="s">
        <v>408</v>
      </c>
      <c r="G272" s="67">
        <v>4</v>
      </c>
    </row>
    <row r="273" spans="1:7">
      <c r="A273" s="67" t="s">
        <v>664</v>
      </c>
      <c r="B273" s="67" t="s">
        <v>334</v>
      </c>
      <c r="C273" s="70">
        <v>46021</v>
      </c>
      <c r="D273" s="70">
        <v>46026</v>
      </c>
      <c r="E273" s="67" t="s">
        <v>383</v>
      </c>
      <c r="F273" s="67" t="s">
        <v>408</v>
      </c>
      <c r="G273" s="67"/>
    </row>
    <row r="274" spans="1:7">
      <c r="A274" s="67" t="s">
        <v>665</v>
      </c>
      <c r="B274" s="67" t="s">
        <v>126</v>
      </c>
      <c r="C274" s="70">
        <v>46022</v>
      </c>
      <c r="D274" s="70">
        <v>46022</v>
      </c>
      <c r="E274" s="67" t="s">
        <v>390</v>
      </c>
      <c r="F274" s="67" t="s">
        <v>384</v>
      </c>
      <c r="G274" s="67"/>
    </row>
    <row r="275" spans="1:7">
      <c r="A275" s="67" t="s">
        <v>666</v>
      </c>
      <c r="B275" s="67" t="s">
        <v>144</v>
      </c>
      <c r="C275" s="70">
        <v>46022</v>
      </c>
      <c r="D275" s="70">
        <v>46032</v>
      </c>
      <c r="E275" s="67" t="s">
        <v>383</v>
      </c>
      <c r="F275" s="67" t="s">
        <v>408</v>
      </c>
      <c r="G275" s="67">
        <v>4</v>
      </c>
    </row>
    <row r="276" spans="1:7">
      <c r="A276" s="67" t="s">
        <v>667</v>
      </c>
      <c r="B276" s="67" t="s">
        <v>254</v>
      </c>
      <c r="C276" s="70">
        <v>46022</v>
      </c>
      <c r="D276" s="70">
        <v>46035</v>
      </c>
      <c r="E276" s="67" t="s">
        <v>383</v>
      </c>
      <c r="F276" s="67" t="s">
        <v>392</v>
      </c>
      <c r="G276" s="67"/>
    </row>
    <row r="277" spans="1:7">
      <c r="A277" s="67" t="s">
        <v>668</v>
      </c>
      <c r="B277" s="67" t="s">
        <v>254</v>
      </c>
      <c r="C277" s="70">
        <v>46022</v>
      </c>
      <c r="D277" s="70">
        <v>46035</v>
      </c>
      <c r="E277" s="67" t="s">
        <v>404</v>
      </c>
      <c r="F277" s="67" t="s">
        <v>396</v>
      </c>
      <c r="G277" s="67">
        <v>5</v>
      </c>
    </row>
    <row r="278" spans="1:7">
      <c r="A278" s="67" t="s">
        <v>669</v>
      </c>
      <c r="B278" s="67" t="s">
        <v>160</v>
      </c>
      <c r="C278" s="70">
        <v>46023</v>
      </c>
      <c r="D278" s="70">
        <v>46023</v>
      </c>
      <c r="E278" s="67" t="s">
        <v>390</v>
      </c>
      <c r="F278" s="67" t="s">
        <v>388</v>
      </c>
      <c r="G278" s="67">
        <v>4</v>
      </c>
    </row>
    <row r="279" spans="1:7">
      <c r="A279" s="67" t="s">
        <v>670</v>
      </c>
      <c r="B279" s="67" t="s">
        <v>196</v>
      </c>
      <c r="C279" s="70">
        <v>46023</v>
      </c>
      <c r="D279" s="70">
        <v>46060</v>
      </c>
      <c r="E279" s="67" t="s">
        <v>383</v>
      </c>
      <c r="F279" s="67" t="s">
        <v>408</v>
      </c>
      <c r="G279" s="67"/>
    </row>
    <row r="280" spans="1:7">
      <c r="A280" s="67" t="s">
        <v>671</v>
      </c>
      <c r="B280" s="67" t="s">
        <v>286</v>
      </c>
      <c r="C280" s="70">
        <v>46023</v>
      </c>
      <c r="D280" s="70">
        <v>46036</v>
      </c>
      <c r="E280" s="67" t="s">
        <v>383</v>
      </c>
      <c r="F280" s="67" t="s">
        <v>384</v>
      </c>
      <c r="G280" s="67"/>
    </row>
    <row r="281" spans="1:7">
      <c r="A281" s="67" t="s">
        <v>672</v>
      </c>
      <c r="B281" s="67" t="s">
        <v>71</v>
      </c>
      <c r="C281" s="70">
        <v>46024</v>
      </c>
      <c r="D281" s="70">
        <v>46027</v>
      </c>
      <c r="E281" s="67" t="s">
        <v>383</v>
      </c>
      <c r="F281" s="67" t="s">
        <v>386</v>
      </c>
      <c r="G281" s="67"/>
    </row>
    <row r="282" spans="1:7">
      <c r="A282" s="67" t="s">
        <v>673</v>
      </c>
      <c r="B282" s="67" t="s">
        <v>71</v>
      </c>
      <c r="C282" s="70">
        <v>46024</v>
      </c>
      <c r="D282" s="70">
        <v>46024</v>
      </c>
      <c r="E282" s="67" t="s">
        <v>404</v>
      </c>
      <c r="F282" s="67" t="s">
        <v>396</v>
      </c>
      <c r="G282" s="67">
        <v>4</v>
      </c>
    </row>
    <row r="283" spans="1:7">
      <c r="A283" s="67" t="s">
        <v>674</v>
      </c>
      <c r="B283" s="67" t="s">
        <v>126</v>
      </c>
      <c r="C283" s="70">
        <v>46025</v>
      </c>
      <c r="D283" s="70">
        <v>46026</v>
      </c>
      <c r="E283" s="67" t="s">
        <v>404</v>
      </c>
      <c r="F283" s="67" t="s">
        <v>384</v>
      </c>
      <c r="G283" s="67">
        <v>3</v>
      </c>
    </row>
    <row r="284" spans="1:7">
      <c r="A284" s="67" t="s">
        <v>675</v>
      </c>
      <c r="B284" s="67" t="s">
        <v>184</v>
      </c>
      <c r="C284" s="70">
        <v>46025</v>
      </c>
      <c r="D284" s="70">
        <v>46025</v>
      </c>
      <c r="E284" s="67" t="s">
        <v>404</v>
      </c>
      <c r="F284" s="67" t="s">
        <v>392</v>
      </c>
      <c r="G284" s="67">
        <v>4</v>
      </c>
    </row>
    <row r="285" spans="1:7">
      <c r="A285" s="67" t="s">
        <v>676</v>
      </c>
      <c r="B285" s="67" t="s">
        <v>334</v>
      </c>
      <c r="C285" s="70">
        <v>46025</v>
      </c>
      <c r="D285" s="70">
        <v>46025</v>
      </c>
      <c r="E285" s="67" t="s">
        <v>404</v>
      </c>
      <c r="F285" s="67" t="s">
        <v>394</v>
      </c>
      <c r="G285" s="67"/>
    </row>
    <row r="286" spans="1:7">
      <c r="A286" s="67" t="s">
        <v>677</v>
      </c>
      <c r="B286" s="67" t="s">
        <v>14</v>
      </c>
      <c r="C286" s="70">
        <v>46026</v>
      </c>
      <c r="D286" s="70">
        <v>46026</v>
      </c>
      <c r="E286" s="67" t="s">
        <v>398</v>
      </c>
      <c r="F286" s="67" t="s">
        <v>408</v>
      </c>
      <c r="G286" s="67">
        <v>2</v>
      </c>
    </row>
    <row r="287" spans="1:7">
      <c r="A287" s="67" t="s">
        <v>678</v>
      </c>
      <c r="B287" s="67" t="s">
        <v>150</v>
      </c>
      <c r="C287" s="70">
        <v>46027</v>
      </c>
      <c r="D287" s="70">
        <v>46045</v>
      </c>
      <c r="E287" s="67" t="s">
        <v>390</v>
      </c>
      <c r="F287" s="67" t="s">
        <v>396</v>
      </c>
      <c r="G287" s="67">
        <v>3</v>
      </c>
    </row>
    <row r="288" spans="1:7">
      <c r="A288" s="67" t="s">
        <v>679</v>
      </c>
      <c r="B288" s="67" t="s">
        <v>202</v>
      </c>
      <c r="C288" s="70">
        <v>46027</v>
      </c>
      <c r="D288" s="70">
        <v>46058</v>
      </c>
      <c r="E288" s="67" t="s">
        <v>390</v>
      </c>
      <c r="F288" s="67" t="s">
        <v>396</v>
      </c>
      <c r="G288" s="67"/>
    </row>
    <row r="289" spans="1:7">
      <c r="A289" s="67" t="s">
        <v>680</v>
      </c>
      <c r="B289" s="67" t="s">
        <v>292</v>
      </c>
      <c r="C289" s="70">
        <v>46027</v>
      </c>
      <c r="D289" s="70">
        <v>46029</v>
      </c>
      <c r="E289" s="67" t="s">
        <v>383</v>
      </c>
      <c r="F289" s="67" t="s">
        <v>396</v>
      </c>
      <c r="G289" s="67">
        <v>4</v>
      </c>
    </row>
    <row r="290" spans="1:7">
      <c r="A290" s="67" t="s">
        <v>681</v>
      </c>
      <c r="B290" s="67" t="s">
        <v>148</v>
      </c>
      <c r="C290" s="70">
        <v>46028</v>
      </c>
      <c r="D290" s="70">
        <v>46037</v>
      </c>
      <c r="E290" s="67" t="s">
        <v>390</v>
      </c>
      <c r="F290" s="67" t="s">
        <v>384</v>
      </c>
      <c r="G290" s="67"/>
    </row>
    <row r="291" spans="1:7">
      <c r="A291" s="67" t="s">
        <v>682</v>
      </c>
      <c r="B291" s="67" t="s">
        <v>230</v>
      </c>
      <c r="C291" s="70">
        <v>46028</v>
      </c>
      <c r="D291" s="70">
        <v>46031</v>
      </c>
      <c r="E291" s="67" t="s">
        <v>383</v>
      </c>
      <c r="F291" s="67" t="s">
        <v>388</v>
      </c>
      <c r="G291" s="67"/>
    </row>
    <row r="292" spans="1:7">
      <c r="A292" s="67" t="s">
        <v>683</v>
      </c>
      <c r="B292" s="67" t="s">
        <v>35</v>
      </c>
      <c r="C292" s="70">
        <v>46029</v>
      </c>
      <c r="D292" s="70">
        <v>46076</v>
      </c>
      <c r="E292" s="67" t="s">
        <v>383</v>
      </c>
      <c r="F292" s="67" t="s">
        <v>388</v>
      </c>
      <c r="G292" s="67"/>
    </row>
    <row r="293" spans="1:7">
      <c r="A293" s="67" t="s">
        <v>684</v>
      </c>
      <c r="B293" s="67" t="s">
        <v>51</v>
      </c>
      <c r="C293" s="70">
        <v>46029</v>
      </c>
      <c r="D293" s="70">
        <v>46031</v>
      </c>
      <c r="E293" s="67" t="s">
        <v>390</v>
      </c>
      <c r="F293" s="67" t="s">
        <v>396</v>
      </c>
      <c r="G293" s="67">
        <v>5</v>
      </c>
    </row>
    <row r="294" spans="1:7">
      <c r="A294" s="67" t="s">
        <v>685</v>
      </c>
      <c r="B294" s="67" t="s">
        <v>266</v>
      </c>
      <c r="C294" s="70">
        <v>46030</v>
      </c>
      <c r="D294" s="70">
        <v>46031</v>
      </c>
      <c r="E294" s="67" t="s">
        <v>383</v>
      </c>
      <c r="F294" s="67" t="s">
        <v>408</v>
      </c>
      <c r="G294" s="67"/>
    </row>
    <row r="295" spans="1:7">
      <c r="A295" s="67" t="s">
        <v>686</v>
      </c>
      <c r="B295" s="67" t="s">
        <v>226</v>
      </c>
      <c r="C295" s="70">
        <v>46031</v>
      </c>
      <c r="D295" s="70">
        <v>46047</v>
      </c>
      <c r="E295" s="67" t="s">
        <v>383</v>
      </c>
      <c r="F295" s="67" t="s">
        <v>408</v>
      </c>
      <c r="G295" s="67">
        <v>3</v>
      </c>
    </row>
    <row r="296" spans="1:7">
      <c r="A296" s="67" t="s">
        <v>687</v>
      </c>
      <c r="B296" s="67" t="s">
        <v>266</v>
      </c>
      <c r="C296" s="70">
        <v>46031</v>
      </c>
      <c r="D296" s="70">
        <v>46033</v>
      </c>
      <c r="E296" s="67" t="s">
        <v>404</v>
      </c>
      <c r="F296" s="67" t="s">
        <v>408</v>
      </c>
      <c r="G296" s="67">
        <v>4</v>
      </c>
    </row>
    <row r="297" spans="1:7">
      <c r="A297" s="67" t="s">
        <v>688</v>
      </c>
      <c r="B297" s="67" t="s">
        <v>14</v>
      </c>
      <c r="C297" s="70">
        <v>46032</v>
      </c>
      <c r="D297" s="70">
        <v>46048</v>
      </c>
      <c r="E297" s="67" t="s">
        <v>383</v>
      </c>
      <c r="F297" s="67" t="s">
        <v>394</v>
      </c>
      <c r="G297" s="67">
        <v>4</v>
      </c>
    </row>
    <row r="298" spans="1:7">
      <c r="A298" s="67" t="s">
        <v>689</v>
      </c>
      <c r="B298" s="67" t="s">
        <v>110</v>
      </c>
      <c r="C298" s="70">
        <v>46032</v>
      </c>
      <c r="D298" s="70">
        <v>46032</v>
      </c>
      <c r="E298" s="67" t="s">
        <v>390</v>
      </c>
      <c r="F298" s="67" t="s">
        <v>396</v>
      </c>
      <c r="G298" s="67"/>
    </row>
    <row r="299" spans="1:7">
      <c r="A299" s="67" t="s">
        <v>690</v>
      </c>
      <c r="B299" s="67" t="s">
        <v>238</v>
      </c>
      <c r="C299" s="70">
        <v>46032</v>
      </c>
      <c r="D299" s="70">
        <v>46067</v>
      </c>
      <c r="E299" s="67" t="s">
        <v>383</v>
      </c>
      <c r="F299" s="67" t="s">
        <v>386</v>
      </c>
      <c r="G299" s="67"/>
    </row>
    <row r="300" spans="1:7">
      <c r="A300" s="67" t="s">
        <v>691</v>
      </c>
      <c r="B300" s="67" t="s">
        <v>92</v>
      </c>
      <c r="C300" s="70">
        <v>46033</v>
      </c>
      <c r="D300" s="70">
        <v>46038</v>
      </c>
      <c r="E300" s="67" t="s">
        <v>383</v>
      </c>
      <c r="F300" s="67" t="s">
        <v>388</v>
      </c>
      <c r="G300" s="67">
        <v>3</v>
      </c>
    </row>
    <row r="301" spans="1:7">
      <c r="A301" s="67" t="s">
        <v>692</v>
      </c>
      <c r="B301" s="67" t="s">
        <v>14</v>
      </c>
      <c r="C301" s="70">
        <v>46034</v>
      </c>
      <c r="D301" s="70">
        <v>46034</v>
      </c>
      <c r="E301" s="67" t="s">
        <v>390</v>
      </c>
      <c r="F301" s="67" t="s">
        <v>388</v>
      </c>
      <c r="G301" s="67">
        <v>3</v>
      </c>
    </row>
    <row r="302" spans="1:7">
      <c r="A302" s="67" t="s">
        <v>693</v>
      </c>
      <c r="B302" s="67" t="s">
        <v>198</v>
      </c>
      <c r="C302" s="70">
        <v>46035</v>
      </c>
      <c r="D302" s="70">
        <v>46040</v>
      </c>
      <c r="E302" s="67" t="s">
        <v>404</v>
      </c>
      <c r="F302" s="67" t="s">
        <v>396</v>
      </c>
      <c r="G302" s="67"/>
    </row>
    <row r="303" spans="1:7">
      <c r="A303" s="67" t="s">
        <v>694</v>
      </c>
      <c r="B303" s="67" t="s">
        <v>200</v>
      </c>
      <c r="C303" s="70">
        <v>46035</v>
      </c>
      <c r="D303" s="70">
        <v>46040</v>
      </c>
      <c r="E303" s="67" t="s">
        <v>383</v>
      </c>
      <c r="F303" s="67" t="s">
        <v>408</v>
      </c>
      <c r="G303" s="67"/>
    </row>
    <row r="304" spans="1:7">
      <c r="A304" s="67" t="s">
        <v>695</v>
      </c>
      <c r="B304" s="67" t="s">
        <v>292</v>
      </c>
      <c r="C304" s="70">
        <v>46035</v>
      </c>
      <c r="D304" s="70">
        <v>46039</v>
      </c>
      <c r="E304" s="67" t="s">
        <v>383</v>
      </c>
      <c r="F304" s="67" t="s">
        <v>392</v>
      </c>
      <c r="G304" s="67"/>
    </row>
    <row r="305" spans="1:7">
      <c r="A305" s="67" t="s">
        <v>696</v>
      </c>
      <c r="B305" s="67" t="s">
        <v>156</v>
      </c>
      <c r="C305" s="70">
        <v>46036</v>
      </c>
      <c r="D305" s="70">
        <v>46047</v>
      </c>
      <c r="E305" s="67" t="s">
        <v>383</v>
      </c>
      <c r="F305" s="67" t="s">
        <v>396</v>
      </c>
      <c r="G305" s="67"/>
    </row>
    <row r="306" spans="1:7">
      <c r="A306" s="67" t="s">
        <v>697</v>
      </c>
      <c r="B306" s="67" t="s">
        <v>200</v>
      </c>
      <c r="C306" s="70">
        <v>46036</v>
      </c>
      <c r="D306" s="70">
        <v>46036</v>
      </c>
      <c r="E306" s="67" t="s">
        <v>404</v>
      </c>
      <c r="F306" s="67" t="s">
        <v>384</v>
      </c>
      <c r="G306" s="67"/>
    </row>
    <row r="307" spans="1:7">
      <c r="A307" s="67" t="s">
        <v>698</v>
      </c>
      <c r="B307" s="67" t="s">
        <v>320</v>
      </c>
      <c r="C307" s="70">
        <v>46036</v>
      </c>
      <c r="D307" s="70">
        <v>46043</v>
      </c>
      <c r="E307" s="67" t="s">
        <v>404</v>
      </c>
      <c r="F307" s="67" t="s">
        <v>394</v>
      </c>
      <c r="G307" s="67"/>
    </row>
    <row r="308" spans="1:7">
      <c r="A308" s="67" t="s">
        <v>699</v>
      </c>
      <c r="B308" s="67" t="s">
        <v>336</v>
      </c>
      <c r="C308" s="70">
        <v>46037</v>
      </c>
      <c r="D308" s="70">
        <v>46061</v>
      </c>
      <c r="E308" s="67" t="s">
        <v>390</v>
      </c>
      <c r="F308" s="67" t="s">
        <v>384</v>
      </c>
      <c r="G308" s="67">
        <v>3</v>
      </c>
    </row>
    <row r="309" spans="1:7">
      <c r="A309" s="67" t="s">
        <v>700</v>
      </c>
      <c r="B309" s="67" t="s">
        <v>44</v>
      </c>
      <c r="C309" s="70">
        <v>46039</v>
      </c>
      <c r="D309" s="70">
        <v>46050</v>
      </c>
      <c r="E309" s="67" t="s">
        <v>390</v>
      </c>
      <c r="F309" s="67" t="s">
        <v>384</v>
      </c>
      <c r="G309" s="67">
        <v>5</v>
      </c>
    </row>
    <row r="310" spans="1:7">
      <c r="A310" s="67" t="s">
        <v>701</v>
      </c>
      <c r="B310" s="67" t="s">
        <v>312</v>
      </c>
      <c r="C310" s="70">
        <v>46041</v>
      </c>
      <c r="D310" s="70">
        <v>46071</v>
      </c>
      <c r="E310" s="67" t="s">
        <v>390</v>
      </c>
      <c r="F310" s="67" t="s">
        <v>388</v>
      </c>
      <c r="G310" s="67">
        <v>4</v>
      </c>
    </row>
    <row r="311" spans="1:7">
      <c r="A311" s="67" t="s">
        <v>702</v>
      </c>
      <c r="B311" s="67" t="s">
        <v>320</v>
      </c>
      <c r="C311" s="70">
        <v>46041</v>
      </c>
      <c r="D311" s="70">
        <v>46048</v>
      </c>
      <c r="E311" s="67" t="s">
        <v>390</v>
      </c>
      <c r="F311" s="67" t="s">
        <v>396</v>
      </c>
      <c r="G311" s="67"/>
    </row>
    <row r="312" spans="1:7">
      <c r="A312" s="67" t="s">
        <v>703</v>
      </c>
      <c r="B312" s="67" t="s">
        <v>14</v>
      </c>
      <c r="C312" s="70">
        <v>46042</v>
      </c>
      <c r="D312" s="70">
        <v>46042</v>
      </c>
      <c r="E312" s="67" t="s">
        <v>398</v>
      </c>
      <c r="F312" s="67" t="s">
        <v>396</v>
      </c>
      <c r="G312" s="67"/>
    </row>
    <row r="313" spans="1:7">
      <c r="A313" s="67" t="s">
        <v>704</v>
      </c>
      <c r="B313" s="67" t="s">
        <v>124</v>
      </c>
      <c r="C313" s="70">
        <v>46043</v>
      </c>
      <c r="D313" s="70">
        <v>46044</v>
      </c>
      <c r="E313" s="67" t="s">
        <v>404</v>
      </c>
      <c r="F313" s="67" t="s">
        <v>408</v>
      </c>
      <c r="G313" s="67"/>
    </row>
    <row r="314" spans="1:7">
      <c r="A314" s="67" t="s">
        <v>705</v>
      </c>
      <c r="B314" s="67" t="s">
        <v>244</v>
      </c>
      <c r="C314" s="70">
        <v>46043</v>
      </c>
      <c r="D314" s="70">
        <v>46059</v>
      </c>
      <c r="E314" s="67" t="s">
        <v>404</v>
      </c>
      <c r="F314" s="67" t="s">
        <v>388</v>
      </c>
      <c r="G314" s="67">
        <v>4</v>
      </c>
    </row>
    <row r="315" spans="1:7">
      <c r="A315" s="67" t="s">
        <v>706</v>
      </c>
      <c r="B315" s="67" t="s">
        <v>148</v>
      </c>
      <c r="C315" s="70">
        <v>46044</v>
      </c>
      <c r="D315" s="70">
        <v>46045</v>
      </c>
      <c r="E315" s="67" t="s">
        <v>390</v>
      </c>
      <c r="F315" s="67" t="s">
        <v>394</v>
      </c>
      <c r="G315" s="67">
        <v>5</v>
      </c>
    </row>
    <row r="316" spans="1:7">
      <c r="A316" s="67" t="s">
        <v>707</v>
      </c>
      <c r="B316" s="67" t="s">
        <v>98</v>
      </c>
      <c r="C316" s="70">
        <v>46045</v>
      </c>
      <c r="D316" s="70">
        <v>46058</v>
      </c>
      <c r="E316" s="67" t="s">
        <v>383</v>
      </c>
      <c r="F316" s="67" t="s">
        <v>396</v>
      </c>
      <c r="G316" s="67">
        <v>4</v>
      </c>
    </row>
    <row r="317" spans="1:7">
      <c r="A317" s="67" t="s">
        <v>708</v>
      </c>
      <c r="B317" s="67" t="s">
        <v>124</v>
      </c>
      <c r="C317" s="70">
        <v>46045</v>
      </c>
      <c r="D317" s="70">
        <v>46052</v>
      </c>
      <c r="E317" s="67" t="s">
        <v>383</v>
      </c>
      <c r="F317" s="67" t="s">
        <v>388</v>
      </c>
      <c r="G317" s="67">
        <v>1</v>
      </c>
    </row>
    <row r="318" spans="1:7">
      <c r="A318" s="67" t="s">
        <v>709</v>
      </c>
      <c r="B318" s="67" t="s">
        <v>14</v>
      </c>
      <c r="C318" s="70">
        <v>46046</v>
      </c>
      <c r="D318" s="70">
        <v>46059</v>
      </c>
      <c r="E318" s="67" t="s">
        <v>383</v>
      </c>
      <c r="F318" s="67" t="s">
        <v>396</v>
      </c>
      <c r="G318" s="67"/>
    </row>
    <row r="319" spans="1:7">
      <c r="A319" s="67" t="s">
        <v>710</v>
      </c>
      <c r="B319" s="67" t="s">
        <v>108</v>
      </c>
      <c r="C319" s="70">
        <v>46046</v>
      </c>
      <c r="D319" s="70">
        <v>46058</v>
      </c>
      <c r="E319" s="67" t="s">
        <v>383</v>
      </c>
      <c r="F319" s="67" t="s">
        <v>392</v>
      </c>
      <c r="G319" s="67"/>
    </row>
    <row r="320" spans="1:7">
      <c r="A320" s="67" t="s">
        <v>711</v>
      </c>
      <c r="B320" s="67" t="s">
        <v>202</v>
      </c>
      <c r="C320" s="70">
        <v>46046</v>
      </c>
      <c r="D320" s="70">
        <v>46051</v>
      </c>
      <c r="E320" s="67" t="s">
        <v>383</v>
      </c>
      <c r="F320" s="67" t="s">
        <v>396</v>
      </c>
      <c r="G320" s="67"/>
    </row>
    <row r="321" spans="1:7">
      <c r="A321" s="67" t="s">
        <v>712</v>
      </c>
      <c r="B321" s="67" t="s">
        <v>14</v>
      </c>
      <c r="C321" s="70">
        <v>46047</v>
      </c>
      <c r="D321" s="70">
        <v>46052</v>
      </c>
      <c r="E321" s="67" t="s">
        <v>383</v>
      </c>
      <c r="F321" s="67" t="s">
        <v>396</v>
      </c>
      <c r="G321" s="67">
        <v>3</v>
      </c>
    </row>
    <row r="322" spans="1:7">
      <c r="A322" s="67" t="s">
        <v>713</v>
      </c>
      <c r="B322" s="67" t="s">
        <v>71</v>
      </c>
      <c r="C322" s="70">
        <v>46047</v>
      </c>
      <c r="D322" s="70">
        <v>46053</v>
      </c>
      <c r="E322" s="67" t="s">
        <v>390</v>
      </c>
      <c r="F322" s="67" t="s">
        <v>388</v>
      </c>
      <c r="G322" s="67">
        <v>3</v>
      </c>
    </row>
    <row r="323" spans="1:7">
      <c r="A323" s="67" t="s">
        <v>714</v>
      </c>
      <c r="B323" s="67" t="s">
        <v>94</v>
      </c>
      <c r="C323" s="70">
        <v>46047</v>
      </c>
      <c r="D323" s="70">
        <v>46050</v>
      </c>
      <c r="E323" s="67" t="s">
        <v>383</v>
      </c>
      <c r="F323" s="67" t="s">
        <v>384</v>
      </c>
      <c r="G323" s="67"/>
    </row>
    <row r="324" spans="1:7">
      <c r="A324" s="67" t="s">
        <v>715</v>
      </c>
      <c r="B324" s="67" t="s">
        <v>122</v>
      </c>
      <c r="C324" s="70">
        <v>46047</v>
      </c>
      <c r="D324" s="70">
        <v>46050</v>
      </c>
      <c r="E324" s="67" t="s">
        <v>383</v>
      </c>
      <c r="F324" s="67" t="s">
        <v>394</v>
      </c>
      <c r="G324" s="67"/>
    </row>
    <row r="325" spans="1:7">
      <c r="A325" s="67" t="s">
        <v>716</v>
      </c>
      <c r="B325" s="67" t="s">
        <v>178</v>
      </c>
      <c r="C325" s="70">
        <v>46047</v>
      </c>
      <c r="D325" s="70">
        <v>46052</v>
      </c>
      <c r="E325" s="67" t="s">
        <v>404</v>
      </c>
      <c r="F325" s="67" t="s">
        <v>388</v>
      </c>
      <c r="G325" s="67"/>
    </row>
    <row r="326" spans="1:7">
      <c r="A326" s="67" t="s">
        <v>717</v>
      </c>
      <c r="B326" s="67" t="s">
        <v>184</v>
      </c>
      <c r="C326" s="70">
        <v>46047</v>
      </c>
      <c r="D326" s="70">
        <v>46051</v>
      </c>
      <c r="E326" s="67" t="s">
        <v>404</v>
      </c>
      <c r="F326" s="67" t="s">
        <v>386</v>
      </c>
      <c r="G326" s="67">
        <v>2</v>
      </c>
    </row>
    <row r="327" spans="1:7">
      <c r="A327" s="67" t="s">
        <v>718</v>
      </c>
      <c r="B327" s="67" t="s">
        <v>202</v>
      </c>
      <c r="C327" s="70">
        <v>46047</v>
      </c>
      <c r="D327" s="70">
        <v>46060</v>
      </c>
      <c r="E327" s="67" t="s">
        <v>383</v>
      </c>
      <c r="F327" s="67" t="s">
        <v>392</v>
      </c>
      <c r="G327" s="67">
        <v>3</v>
      </c>
    </row>
    <row r="328" spans="1:7">
      <c r="A328" s="67" t="s">
        <v>719</v>
      </c>
      <c r="B328" s="67" t="s">
        <v>230</v>
      </c>
      <c r="C328" s="70">
        <v>46047</v>
      </c>
      <c r="D328" s="70">
        <v>46068</v>
      </c>
      <c r="E328" s="67" t="s">
        <v>383</v>
      </c>
      <c r="F328" s="67" t="s">
        <v>388</v>
      </c>
      <c r="G328" s="67"/>
    </row>
    <row r="329" spans="1:7">
      <c r="A329" s="67" t="s">
        <v>720</v>
      </c>
      <c r="B329" s="67" t="s">
        <v>81</v>
      </c>
      <c r="C329" s="70">
        <v>46048</v>
      </c>
      <c r="D329" s="70">
        <v>46056</v>
      </c>
      <c r="E329" s="67" t="s">
        <v>390</v>
      </c>
      <c r="F329" s="67" t="s">
        <v>392</v>
      </c>
      <c r="G329" s="67"/>
    </row>
    <row r="330" spans="1:7">
      <c r="A330" s="67" t="s">
        <v>721</v>
      </c>
      <c r="B330" s="67" t="s">
        <v>320</v>
      </c>
      <c r="C330" s="70">
        <v>46048</v>
      </c>
      <c r="D330" s="70">
        <v>46058</v>
      </c>
      <c r="E330" s="67" t="s">
        <v>390</v>
      </c>
      <c r="F330" s="67" t="s">
        <v>388</v>
      </c>
      <c r="G330" s="67"/>
    </row>
    <row r="331" spans="1:7">
      <c r="A331" s="67" t="s">
        <v>722</v>
      </c>
      <c r="B331" s="67" t="s">
        <v>306</v>
      </c>
      <c r="C331" s="70">
        <v>46049</v>
      </c>
      <c r="D331" s="70">
        <v>46049</v>
      </c>
      <c r="E331" s="67" t="s">
        <v>383</v>
      </c>
      <c r="F331" s="67" t="s">
        <v>388</v>
      </c>
      <c r="G331" s="67">
        <v>5</v>
      </c>
    </row>
    <row r="332" spans="1:7">
      <c r="A332" s="67" t="s">
        <v>723</v>
      </c>
      <c r="B332" s="67" t="s">
        <v>124</v>
      </c>
      <c r="C332" s="70">
        <v>46050</v>
      </c>
      <c r="D332" s="70">
        <v>46068</v>
      </c>
      <c r="E332" s="67" t="s">
        <v>383</v>
      </c>
      <c r="F332" s="67" t="s">
        <v>408</v>
      </c>
      <c r="G332" s="67"/>
    </row>
    <row r="333" spans="1:7">
      <c r="A333" s="67" t="s">
        <v>724</v>
      </c>
      <c r="B333" s="67" t="s">
        <v>312</v>
      </c>
      <c r="C333" s="70">
        <v>46050</v>
      </c>
      <c r="D333" s="70">
        <v>46068</v>
      </c>
      <c r="E333" s="67" t="s">
        <v>390</v>
      </c>
      <c r="F333" s="67" t="s">
        <v>386</v>
      </c>
      <c r="G333" s="67">
        <v>4</v>
      </c>
    </row>
    <row r="334" spans="1:7">
      <c r="A334" s="67" t="s">
        <v>725</v>
      </c>
      <c r="B334" s="67" t="s">
        <v>14</v>
      </c>
      <c r="C334" s="70">
        <v>46051</v>
      </c>
      <c r="D334" s="70">
        <v>46067</v>
      </c>
      <c r="E334" s="67" t="s">
        <v>383</v>
      </c>
      <c r="F334" s="67" t="s">
        <v>396</v>
      </c>
      <c r="G334" s="67"/>
    </row>
    <row r="335" spans="1:7">
      <c r="A335" s="67" t="s">
        <v>726</v>
      </c>
      <c r="B335" s="67" t="s">
        <v>200</v>
      </c>
      <c r="C335" s="70">
        <v>46051</v>
      </c>
      <c r="D335" s="70">
        <v>46055</v>
      </c>
      <c r="E335" s="67" t="s">
        <v>383</v>
      </c>
      <c r="F335" s="67" t="s">
        <v>384</v>
      </c>
      <c r="G335" s="67"/>
    </row>
    <row r="336" spans="1:7">
      <c r="A336" s="67" t="s">
        <v>727</v>
      </c>
      <c r="B336" s="67" t="s">
        <v>292</v>
      </c>
      <c r="C336" s="70">
        <v>46051</v>
      </c>
      <c r="D336" s="70">
        <v>46057</v>
      </c>
      <c r="E336" s="67" t="s">
        <v>390</v>
      </c>
      <c r="F336" s="67" t="s">
        <v>408</v>
      </c>
      <c r="G336" s="67"/>
    </row>
    <row r="337" spans="1:7">
      <c r="A337" s="67" t="s">
        <v>728</v>
      </c>
      <c r="B337" s="67" t="s">
        <v>110</v>
      </c>
      <c r="C337" s="70">
        <v>46052</v>
      </c>
      <c r="D337" s="70">
        <v>46053</v>
      </c>
      <c r="E337" s="67" t="s">
        <v>404</v>
      </c>
      <c r="F337" s="67" t="s">
        <v>386</v>
      </c>
      <c r="G337" s="67"/>
    </row>
    <row r="338" spans="1:7">
      <c r="A338" s="67" t="s">
        <v>729</v>
      </c>
      <c r="B338" s="67" t="s">
        <v>310</v>
      </c>
      <c r="C338" s="70">
        <v>46052</v>
      </c>
      <c r="D338" s="70">
        <v>46052</v>
      </c>
      <c r="E338" s="67" t="s">
        <v>383</v>
      </c>
      <c r="F338" s="67" t="s">
        <v>388</v>
      </c>
      <c r="G338" s="67">
        <v>3</v>
      </c>
    </row>
    <row r="339" spans="1:7">
      <c r="A339" s="67" t="s">
        <v>730</v>
      </c>
      <c r="B339" s="67" t="s">
        <v>51</v>
      </c>
      <c r="C339" s="70">
        <v>46053</v>
      </c>
      <c r="D339" s="70">
        <v>46066</v>
      </c>
      <c r="E339" s="67" t="s">
        <v>404</v>
      </c>
      <c r="F339" s="67" t="s">
        <v>392</v>
      </c>
      <c r="G339" s="67"/>
    </row>
    <row r="340" spans="1:7">
      <c r="A340" s="67" t="s">
        <v>731</v>
      </c>
      <c r="B340" s="67" t="s">
        <v>200</v>
      </c>
      <c r="C340" s="70">
        <v>46053</v>
      </c>
      <c r="D340" s="70">
        <v>46054</v>
      </c>
      <c r="E340" s="67" t="s">
        <v>404</v>
      </c>
      <c r="F340" s="67" t="s">
        <v>396</v>
      </c>
      <c r="G340" s="67"/>
    </row>
    <row r="341" spans="1:7">
      <c r="A341" s="67" t="s">
        <v>732</v>
      </c>
      <c r="B341" s="67" t="s">
        <v>226</v>
      </c>
      <c r="C341" s="70">
        <v>46053</v>
      </c>
      <c r="D341" s="70">
        <v>46067</v>
      </c>
      <c r="E341" s="67" t="s">
        <v>383</v>
      </c>
      <c r="F341" s="67" t="s">
        <v>384</v>
      </c>
      <c r="G341" s="67"/>
    </row>
    <row r="342" spans="1:7">
      <c r="A342" s="67" t="s">
        <v>733</v>
      </c>
      <c r="B342" s="67" t="s">
        <v>246</v>
      </c>
      <c r="C342" s="70">
        <v>46053</v>
      </c>
      <c r="D342" s="70">
        <v>46058</v>
      </c>
      <c r="E342" s="67" t="s">
        <v>383</v>
      </c>
      <c r="F342" s="67" t="s">
        <v>396</v>
      </c>
      <c r="G342" s="67"/>
    </row>
    <row r="343" spans="1:7">
      <c r="A343" s="67" t="s">
        <v>734</v>
      </c>
      <c r="B343" s="67" t="s">
        <v>14</v>
      </c>
      <c r="C343" s="70">
        <v>46054</v>
      </c>
      <c r="D343" s="70">
        <v>46060</v>
      </c>
      <c r="E343" s="67" t="s">
        <v>398</v>
      </c>
      <c r="F343" s="67" t="s">
        <v>408</v>
      </c>
      <c r="G343" s="67">
        <v>4</v>
      </c>
    </row>
    <row r="344" spans="1:7">
      <c r="A344" s="67" t="s">
        <v>735</v>
      </c>
      <c r="B344" s="67" t="s">
        <v>54</v>
      </c>
      <c r="C344" s="70">
        <v>46054</v>
      </c>
      <c r="D344" s="70">
        <v>46104</v>
      </c>
      <c r="E344" s="67" t="s">
        <v>390</v>
      </c>
      <c r="F344" s="67" t="s">
        <v>394</v>
      </c>
      <c r="G344" s="67">
        <v>3</v>
      </c>
    </row>
    <row r="345" spans="1:7">
      <c r="A345" s="67" t="s">
        <v>736</v>
      </c>
      <c r="B345" s="67" t="s">
        <v>180</v>
      </c>
      <c r="C345" s="70">
        <v>46054</v>
      </c>
      <c r="D345" s="70">
        <v>46063</v>
      </c>
      <c r="E345" s="67" t="s">
        <v>383</v>
      </c>
      <c r="F345" s="67" t="s">
        <v>392</v>
      </c>
      <c r="G345" s="67"/>
    </row>
    <row r="346" spans="1:7">
      <c r="A346" s="67" t="s">
        <v>737</v>
      </c>
      <c r="B346" s="67" t="s">
        <v>35</v>
      </c>
      <c r="C346" s="70">
        <v>46055</v>
      </c>
      <c r="D346" s="70">
        <v>46055</v>
      </c>
      <c r="E346" s="67" t="s">
        <v>383</v>
      </c>
      <c r="F346" s="67" t="s">
        <v>408</v>
      </c>
      <c r="G346" s="67"/>
    </row>
    <row r="347" spans="1:7">
      <c r="A347" s="67" t="s">
        <v>738</v>
      </c>
      <c r="B347" s="67" t="s">
        <v>116</v>
      </c>
      <c r="C347" s="70">
        <v>46055</v>
      </c>
      <c r="D347" s="70">
        <v>46056</v>
      </c>
      <c r="E347" s="67" t="s">
        <v>383</v>
      </c>
      <c r="F347" s="67" t="s">
        <v>392</v>
      </c>
      <c r="G347" s="67">
        <v>3</v>
      </c>
    </row>
    <row r="348" spans="1:7">
      <c r="A348" s="67" t="s">
        <v>739</v>
      </c>
      <c r="B348" s="67" t="s">
        <v>14</v>
      </c>
      <c r="C348" s="70">
        <v>46056</v>
      </c>
      <c r="D348" s="70">
        <v>46056</v>
      </c>
      <c r="E348" s="67" t="s">
        <v>383</v>
      </c>
      <c r="F348" s="67" t="s">
        <v>392</v>
      </c>
      <c r="G348" s="67"/>
    </row>
    <row r="349" spans="1:7">
      <c r="A349" s="67" t="s">
        <v>740</v>
      </c>
      <c r="B349" s="67" t="s">
        <v>59</v>
      </c>
      <c r="C349" s="70">
        <v>46056</v>
      </c>
      <c r="D349" s="70">
        <v>46061</v>
      </c>
      <c r="E349" s="67" t="s">
        <v>390</v>
      </c>
      <c r="F349" s="67" t="s">
        <v>392</v>
      </c>
      <c r="G349" s="67"/>
    </row>
    <row r="350" spans="1:7">
      <c r="A350" s="67" t="s">
        <v>741</v>
      </c>
      <c r="B350" s="67" t="s">
        <v>71</v>
      </c>
      <c r="C350" s="70">
        <v>46056</v>
      </c>
      <c r="D350" s="70">
        <v>46068</v>
      </c>
      <c r="E350" s="67" t="s">
        <v>383</v>
      </c>
      <c r="F350" s="67" t="s">
        <v>384</v>
      </c>
      <c r="G350" s="67"/>
    </row>
    <row r="351" spans="1:7">
      <c r="A351" s="67" t="s">
        <v>742</v>
      </c>
      <c r="B351" s="67" t="s">
        <v>71</v>
      </c>
      <c r="C351" s="70">
        <v>46056</v>
      </c>
      <c r="D351" s="70">
        <v>46062</v>
      </c>
      <c r="E351" s="67" t="s">
        <v>404</v>
      </c>
      <c r="F351" s="67" t="s">
        <v>388</v>
      </c>
      <c r="G351" s="67">
        <v>3</v>
      </c>
    </row>
    <row r="352" spans="1:7">
      <c r="A352" s="67" t="s">
        <v>743</v>
      </c>
      <c r="B352" s="67" t="s">
        <v>334</v>
      </c>
      <c r="C352" s="70">
        <v>46056</v>
      </c>
      <c r="D352" s="70">
        <v>46065</v>
      </c>
      <c r="E352" s="67" t="s">
        <v>383</v>
      </c>
      <c r="F352" s="67" t="s">
        <v>408</v>
      </c>
      <c r="G352" s="67">
        <v>3</v>
      </c>
    </row>
    <row r="353" spans="1:7">
      <c r="A353" s="67" t="s">
        <v>744</v>
      </c>
      <c r="B353" s="67" t="s">
        <v>300</v>
      </c>
      <c r="C353" s="70">
        <v>46057</v>
      </c>
      <c r="D353" s="70">
        <v>46057</v>
      </c>
      <c r="E353" s="67" t="s">
        <v>398</v>
      </c>
      <c r="F353" s="67" t="s">
        <v>388</v>
      </c>
      <c r="G353" s="67"/>
    </row>
    <row r="354" spans="1:7">
      <c r="A354" s="67" t="s">
        <v>745</v>
      </c>
      <c r="B354" s="67" t="s">
        <v>71</v>
      </c>
      <c r="C354" s="70">
        <v>46058</v>
      </c>
      <c r="D354" s="70">
        <v>46068</v>
      </c>
      <c r="E354" s="67" t="s">
        <v>383</v>
      </c>
      <c r="F354" s="67" t="s">
        <v>396</v>
      </c>
      <c r="G354" s="67">
        <v>4</v>
      </c>
    </row>
    <row r="355" spans="1:7">
      <c r="A355" s="67" t="s">
        <v>746</v>
      </c>
      <c r="B355" s="67" t="s">
        <v>214</v>
      </c>
      <c r="C355" s="70">
        <v>46058</v>
      </c>
      <c r="D355" s="70">
        <v>46060</v>
      </c>
      <c r="E355" s="67" t="s">
        <v>398</v>
      </c>
      <c r="F355" s="67" t="s">
        <v>408</v>
      </c>
      <c r="G355" s="67"/>
    </row>
    <row r="356" spans="1:7">
      <c r="A356" s="67" t="s">
        <v>747</v>
      </c>
      <c r="B356" s="67" t="s">
        <v>256</v>
      </c>
      <c r="C356" s="70">
        <v>46058</v>
      </c>
      <c r="D356" s="70">
        <v>46062</v>
      </c>
      <c r="E356" s="67" t="s">
        <v>404</v>
      </c>
      <c r="F356" s="67" t="s">
        <v>386</v>
      </c>
      <c r="G356" s="67">
        <v>5</v>
      </c>
    </row>
    <row r="357" spans="1:7">
      <c r="A357" s="67" t="s">
        <v>748</v>
      </c>
      <c r="B357" s="67" t="s">
        <v>276</v>
      </c>
      <c r="C357" s="70">
        <v>46058</v>
      </c>
      <c r="D357" s="70">
        <v>46059</v>
      </c>
      <c r="E357" s="67" t="s">
        <v>383</v>
      </c>
      <c r="F357" s="67" t="s">
        <v>388</v>
      </c>
      <c r="G357" s="67">
        <v>3</v>
      </c>
    </row>
    <row r="358" spans="1:7">
      <c r="A358" s="67" t="s">
        <v>749</v>
      </c>
      <c r="B358" s="67" t="s">
        <v>120</v>
      </c>
      <c r="C358" s="70">
        <v>46059</v>
      </c>
      <c r="D358" s="70">
        <v>46062</v>
      </c>
      <c r="E358" s="67" t="s">
        <v>383</v>
      </c>
      <c r="F358" s="67" t="s">
        <v>392</v>
      </c>
      <c r="G358" s="67"/>
    </row>
    <row r="359" spans="1:7">
      <c r="A359" s="67" t="s">
        <v>750</v>
      </c>
      <c r="B359" s="67" t="s">
        <v>260</v>
      </c>
      <c r="C359" s="70">
        <v>46059</v>
      </c>
      <c r="D359" s="70">
        <v>46063</v>
      </c>
      <c r="E359" s="67" t="s">
        <v>383</v>
      </c>
      <c r="F359" s="67" t="s">
        <v>408</v>
      </c>
      <c r="G359" s="67">
        <v>2</v>
      </c>
    </row>
    <row r="360" spans="1:7">
      <c r="A360" s="67" t="s">
        <v>751</v>
      </c>
      <c r="B360" s="67" t="s">
        <v>284</v>
      </c>
      <c r="C360" s="70">
        <v>46059</v>
      </c>
      <c r="D360" s="70">
        <v>46065</v>
      </c>
      <c r="E360" s="67" t="s">
        <v>383</v>
      </c>
      <c r="F360" s="67" t="s">
        <v>408</v>
      </c>
      <c r="G360" s="67"/>
    </row>
    <row r="361" spans="1:7">
      <c r="A361" s="67" t="s">
        <v>752</v>
      </c>
      <c r="B361" s="67" t="s">
        <v>336</v>
      </c>
      <c r="C361" s="70">
        <v>46059</v>
      </c>
      <c r="D361" s="70">
        <v>46069</v>
      </c>
      <c r="E361" s="67" t="s">
        <v>404</v>
      </c>
      <c r="F361" s="67" t="s">
        <v>392</v>
      </c>
      <c r="G361" s="67"/>
    </row>
    <row r="362" spans="1:7">
      <c r="A362" s="67" t="s">
        <v>753</v>
      </c>
      <c r="B362" s="67" t="s">
        <v>14</v>
      </c>
      <c r="C362" s="70">
        <v>46060</v>
      </c>
      <c r="D362" s="70">
        <v>46065</v>
      </c>
      <c r="E362" s="67" t="s">
        <v>383</v>
      </c>
      <c r="F362" s="67" t="s">
        <v>396</v>
      </c>
      <c r="G362" s="67">
        <v>4</v>
      </c>
    </row>
    <row r="363" spans="1:7">
      <c r="A363" s="67" t="s">
        <v>754</v>
      </c>
      <c r="B363" s="67" t="s">
        <v>124</v>
      </c>
      <c r="C363" s="70">
        <v>46060</v>
      </c>
      <c r="D363" s="70">
        <v>46078</v>
      </c>
      <c r="E363" s="67" t="s">
        <v>390</v>
      </c>
      <c r="F363" s="67" t="s">
        <v>386</v>
      </c>
      <c r="G363" s="67"/>
    </row>
    <row r="364" spans="1:7">
      <c r="A364" s="67" t="s">
        <v>755</v>
      </c>
      <c r="B364" s="67" t="s">
        <v>260</v>
      </c>
      <c r="C364" s="70">
        <v>46060</v>
      </c>
      <c r="D364" s="70">
        <v>46065</v>
      </c>
      <c r="E364" s="67" t="s">
        <v>383</v>
      </c>
      <c r="F364" s="67" t="s">
        <v>408</v>
      </c>
      <c r="G364" s="67">
        <v>4</v>
      </c>
    </row>
    <row r="365" spans="1:7">
      <c r="A365" s="67" t="s">
        <v>756</v>
      </c>
      <c r="B365" s="67" t="s">
        <v>288</v>
      </c>
      <c r="C365" s="70">
        <v>46061</v>
      </c>
      <c r="D365" s="70">
        <v>46061</v>
      </c>
      <c r="E365" s="67" t="s">
        <v>383</v>
      </c>
      <c r="F365" s="67" t="s">
        <v>408</v>
      </c>
      <c r="G365" s="67">
        <v>4</v>
      </c>
    </row>
    <row r="366" spans="1:7">
      <c r="A366" s="67" t="s">
        <v>757</v>
      </c>
      <c r="B366" s="67" t="s">
        <v>152</v>
      </c>
      <c r="C366" s="70">
        <v>46062</v>
      </c>
      <c r="D366" s="70">
        <v>46068</v>
      </c>
      <c r="E366" s="67" t="s">
        <v>390</v>
      </c>
      <c r="F366" s="67" t="s">
        <v>386</v>
      </c>
      <c r="G366" s="67">
        <v>3</v>
      </c>
    </row>
    <row r="367" spans="1:7">
      <c r="A367" s="67" t="s">
        <v>758</v>
      </c>
      <c r="B367" s="67" t="s">
        <v>92</v>
      </c>
      <c r="C367" s="70">
        <v>46064</v>
      </c>
      <c r="D367" s="70">
        <v>46079</v>
      </c>
      <c r="E367" s="67" t="s">
        <v>383</v>
      </c>
      <c r="F367" s="67" t="s">
        <v>408</v>
      </c>
      <c r="G367" s="67"/>
    </row>
    <row r="368" spans="1:7">
      <c r="A368" s="67" t="s">
        <v>759</v>
      </c>
      <c r="B368" s="67" t="s">
        <v>124</v>
      </c>
      <c r="C368" s="70">
        <v>46064</v>
      </c>
      <c r="D368" s="70">
        <v>46100</v>
      </c>
      <c r="E368" s="67" t="s">
        <v>383</v>
      </c>
      <c r="F368" s="67" t="s">
        <v>392</v>
      </c>
      <c r="G368" s="67"/>
    </row>
    <row r="369" spans="1:7">
      <c r="A369" s="67" t="s">
        <v>760</v>
      </c>
      <c r="B369" s="67" t="s">
        <v>170</v>
      </c>
      <c r="C369" s="70">
        <v>46064</v>
      </c>
      <c r="D369" s="70">
        <v>46070</v>
      </c>
      <c r="E369" s="67" t="s">
        <v>383</v>
      </c>
      <c r="F369" s="67" t="s">
        <v>386</v>
      </c>
      <c r="G369" s="67">
        <v>5</v>
      </c>
    </row>
    <row r="370" spans="1:7">
      <c r="A370" s="67" t="s">
        <v>761</v>
      </c>
      <c r="B370" s="67" t="s">
        <v>57</v>
      </c>
      <c r="C370" s="70">
        <v>46065</v>
      </c>
      <c r="D370" s="70">
        <v>46077</v>
      </c>
      <c r="E370" s="67" t="s">
        <v>390</v>
      </c>
      <c r="F370" s="67" t="s">
        <v>384</v>
      </c>
      <c r="G370" s="67"/>
    </row>
    <row r="371" spans="1:7">
      <c r="A371" s="67" t="s">
        <v>762</v>
      </c>
      <c r="B371" s="67" t="s">
        <v>122</v>
      </c>
      <c r="C371" s="70">
        <v>46065</v>
      </c>
      <c r="D371" s="70">
        <v>46067</v>
      </c>
      <c r="E371" s="67" t="s">
        <v>390</v>
      </c>
      <c r="F371" s="67" t="s">
        <v>396</v>
      </c>
      <c r="G371" s="67"/>
    </row>
    <row r="372" spans="1:7">
      <c r="A372" s="67" t="s">
        <v>763</v>
      </c>
      <c r="B372" s="67" t="s">
        <v>122</v>
      </c>
      <c r="C372" s="70">
        <v>46065</v>
      </c>
      <c r="D372" s="70">
        <v>46067</v>
      </c>
      <c r="E372" s="67" t="s">
        <v>404</v>
      </c>
      <c r="F372" s="67" t="s">
        <v>408</v>
      </c>
      <c r="G372" s="67">
        <v>4</v>
      </c>
    </row>
    <row r="373" spans="1:7">
      <c r="A373" s="67" t="s">
        <v>764</v>
      </c>
      <c r="B373" s="67" t="s">
        <v>220</v>
      </c>
      <c r="C373" s="70">
        <v>46065</v>
      </c>
      <c r="D373" s="70">
        <v>46096</v>
      </c>
      <c r="E373" s="67" t="s">
        <v>383</v>
      </c>
      <c r="F373" s="67" t="s">
        <v>388</v>
      </c>
      <c r="G373" s="67"/>
    </row>
    <row r="374" spans="1:7">
      <c r="A374" s="67" t="s">
        <v>765</v>
      </c>
      <c r="B374" s="67" t="s">
        <v>14</v>
      </c>
      <c r="C374" s="70">
        <v>46067</v>
      </c>
      <c r="D374" s="70">
        <v>46068</v>
      </c>
      <c r="E374" s="67" t="s">
        <v>390</v>
      </c>
      <c r="F374" s="67" t="s">
        <v>386</v>
      </c>
      <c r="G374" s="67">
        <v>2</v>
      </c>
    </row>
    <row r="375" spans="1:7">
      <c r="A375" s="67" t="s">
        <v>766</v>
      </c>
      <c r="B375" s="67" t="s">
        <v>14</v>
      </c>
      <c r="C375" s="70">
        <v>46067</v>
      </c>
      <c r="D375" s="70">
        <v>46095</v>
      </c>
      <c r="E375" s="67" t="s">
        <v>390</v>
      </c>
      <c r="F375" s="67" t="s">
        <v>384</v>
      </c>
      <c r="G375" s="67">
        <v>5</v>
      </c>
    </row>
    <row r="376" spans="1:7">
      <c r="A376" s="67" t="s">
        <v>767</v>
      </c>
      <c r="B376" s="67" t="s">
        <v>71</v>
      </c>
      <c r="C376" s="70">
        <v>46067</v>
      </c>
      <c r="D376" s="70">
        <v>46067</v>
      </c>
      <c r="E376" s="67" t="s">
        <v>383</v>
      </c>
      <c r="F376" s="67" t="s">
        <v>408</v>
      </c>
      <c r="G376" s="67">
        <v>4</v>
      </c>
    </row>
    <row r="377" spans="1:7">
      <c r="A377" s="67" t="s">
        <v>768</v>
      </c>
      <c r="B377" s="67" t="s">
        <v>188</v>
      </c>
      <c r="C377" s="70">
        <v>46067</v>
      </c>
      <c r="D377" s="70">
        <v>46067</v>
      </c>
      <c r="E377" s="67" t="s">
        <v>398</v>
      </c>
      <c r="F377" s="67" t="s">
        <v>396</v>
      </c>
      <c r="G377" s="67">
        <v>2</v>
      </c>
    </row>
    <row r="378" spans="1:7">
      <c r="A378" s="67" t="s">
        <v>769</v>
      </c>
      <c r="B378" s="67" t="s">
        <v>244</v>
      </c>
      <c r="C378" s="70">
        <v>46067</v>
      </c>
      <c r="D378" s="70">
        <v>46073</v>
      </c>
      <c r="E378" s="67" t="s">
        <v>390</v>
      </c>
      <c r="F378" s="67" t="s">
        <v>396</v>
      </c>
      <c r="G378" s="67">
        <v>5</v>
      </c>
    </row>
    <row r="379" spans="1:7">
      <c r="A379" s="67" t="s">
        <v>770</v>
      </c>
      <c r="B379" s="67" t="s">
        <v>320</v>
      </c>
      <c r="C379" s="70">
        <v>46067</v>
      </c>
      <c r="D379" s="70">
        <v>46078</v>
      </c>
      <c r="E379" s="67" t="s">
        <v>383</v>
      </c>
      <c r="F379" s="67" t="s">
        <v>388</v>
      </c>
      <c r="G379" s="67"/>
    </row>
    <row r="380" spans="1:7">
      <c r="A380" s="67" t="s">
        <v>771</v>
      </c>
      <c r="B380" s="67" t="s">
        <v>240</v>
      </c>
      <c r="C380" s="70">
        <v>46068</v>
      </c>
      <c r="D380" s="70">
        <v>46068</v>
      </c>
      <c r="E380" s="67" t="s">
        <v>404</v>
      </c>
      <c r="F380" s="67" t="s">
        <v>386</v>
      </c>
      <c r="G380" s="67"/>
    </row>
    <row r="381" spans="1:7">
      <c r="A381" s="67" t="s">
        <v>772</v>
      </c>
      <c r="B381" s="67" t="s">
        <v>302</v>
      </c>
      <c r="C381" s="70">
        <v>46068</v>
      </c>
      <c r="D381" s="70">
        <v>46077</v>
      </c>
      <c r="E381" s="67" t="s">
        <v>404</v>
      </c>
      <c r="F381" s="67" t="s">
        <v>386</v>
      </c>
      <c r="G381" s="67">
        <v>3</v>
      </c>
    </row>
    <row r="382" spans="1:7">
      <c r="A382" s="67" t="s">
        <v>773</v>
      </c>
      <c r="B382" s="67" t="s">
        <v>334</v>
      </c>
      <c r="C382" s="70">
        <v>46068</v>
      </c>
      <c r="D382" s="70">
        <v>46110</v>
      </c>
      <c r="E382" s="67" t="s">
        <v>383</v>
      </c>
      <c r="F382" s="67" t="s">
        <v>408</v>
      </c>
      <c r="G382" s="67">
        <v>4</v>
      </c>
    </row>
    <row r="383" spans="1:7">
      <c r="A383" s="67" t="s">
        <v>774</v>
      </c>
      <c r="B383" s="67" t="s">
        <v>14</v>
      </c>
      <c r="C383" s="70">
        <v>46069</v>
      </c>
      <c r="D383" s="70">
        <v>46070</v>
      </c>
      <c r="E383" s="67" t="s">
        <v>404</v>
      </c>
      <c r="F383" s="67" t="s">
        <v>394</v>
      </c>
      <c r="G383" s="67">
        <v>2</v>
      </c>
    </row>
    <row r="384" spans="1:7">
      <c r="A384" s="67" t="s">
        <v>775</v>
      </c>
      <c r="B384" s="67" t="s">
        <v>246</v>
      </c>
      <c r="C384" s="70">
        <v>46069</v>
      </c>
      <c r="D384" s="70">
        <v>46070</v>
      </c>
      <c r="E384" s="67" t="s">
        <v>390</v>
      </c>
      <c r="F384" s="67" t="s">
        <v>388</v>
      </c>
      <c r="G384" s="67">
        <v>4</v>
      </c>
    </row>
    <row r="385" spans="1:7">
      <c r="A385" s="67" t="s">
        <v>776</v>
      </c>
      <c r="B385" s="67" t="s">
        <v>264</v>
      </c>
      <c r="C385" s="70">
        <v>46069</v>
      </c>
      <c r="D385" s="70">
        <v>46070</v>
      </c>
      <c r="E385" s="67" t="s">
        <v>398</v>
      </c>
      <c r="F385" s="67" t="s">
        <v>392</v>
      </c>
      <c r="G385" s="67"/>
    </row>
    <row r="386" spans="1:7">
      <c r="A386" s="67" t="s">
        <v>777</v>
      </c>
      <c r="B386" s="67" t="s">
        <v>292</v>
      </c>
      <c r="C386" s="70">
        <v>46069</v>
      </c>
      <c r="D386" s="70">
        <v>46070</v>
      </c>
      <c r="E386" s="67" t="s">
        <v>390</v>
      </c>
      <c r="F386" s="67" t="s">
        <v>394</v>
      </c>
      <c r="G386" s="67">
        <v>4</v>
      </c>
    </row>
    <row r="387" spans="1:7">
      <c r="A387" s="67" t="s">
        <v>778</v>
      </c>
      <c r="B387" s="67" t="s">
        <v>162</v>
      </c>
      <c r="C387" s="70">
        <v>46070</v>
      </c>
      <c r="D387" s="70">
        <v>46085</v>
      </c>
      <c r="E387" s="67" t="s">
        <v>390</v>
      </c>
      <c r="F387" s="67" t="s">
        <v>384</v>
      </c>
      <c r="G387" s="67"/>
    </row>
    <row r="388" spans="1:7">
      <c r="A388" s="67" t="s">
        <v>779</v>
      </c>
      <c r="B388" s="67" t="s">
        <v>192</v>
      </c>
      <c r="C388" s="70">
        <v>46070</v>
      </c>
      <c r="D388" s="70">
        <v>46079</v>
      </c>
      <c r="E388" s="67" t="s">
        <v>390</v>
      </c>
      <c r="F388" s="67" t="s">
        <v>396</v>
      </c>
      <c r="G388" s="67">
        <v>4</v>
      </c>
    </row>
    <row r="389" spans="1:7">
      <c r="A389" s="67" t="s">
        <v>780</v>
      </c>
      <c r="B389" s="67" t="s">
        <v>254</v>
      </c>
      <c r="C389" s="70">
        <v>46070</v>
      </c>
      <c r="D389" s="70">
        <v>46070</v>
      </c>
      <c r="E389" s="67" t="s">
        <v>383</v>
      </c>
      <c r="F389" s="67" t="s">
        <v>394</v>
      </c>
      <c r="G389" s="67">
        <v>4</v>
      </c>
    </row>
    <row r="390" spans="1:7">
      <c r="A390" s="67" t="s">
        <v>781</v>
      </c>
      <c r="B390" s="67" t="s">
        <v>122</v>
      </c>
      <c r="C390" s="70">
        <v>46072</v>
      </c>
      <c r="D390" s="70">
        <v>46072</v>
      </c>
      <c r="E390" s="67" t="s">
        <v>383</v>
      </c>
      <c r="F390" s="67" t="s">
        <v>384</v>
      </c>
      <c r="G390" s="67">
        <v>3</v>
      </c>
    </row>
    <row r="391" spans="1:7">
      <c r="A391" s="67" t="s">
        <v>782</v>
      </c>
      <c r="B391" s="67" t="s">
        <v>188</v>
      </c>
      <c r="C391" s="70">
        <v>46072</v>
      </c>
      <c r="D391" s="70">
        <v>46076</v>
      </c>
      <c r="E391" s="67" t="s">
        <v>383</v>
      </c>
      <c r="F391" s="67" t="s">
        <v>386</v>
      </c>
      <c r="G391" s="67"/>
    </row>
    <row r="392" spans="1:7">
      <c r="A392" s="67" t="s">
        <v>783</v>
      </c>
      <c r="B392" s="67" t="s">
        <v>44</v>
      </c>
      <c r="C392" s="70">
        <v>46073</v>
      </c>
      <c r="D392" s="70">
        <v>46077</v>
      </c>
      <c r="E392" s="67" t="s">
        <v>383</v>
      </c>
      <c r="F392" s="67" t="s">
        <v>396</v>
      </c>
      <c r="G392" s="67">
        <v>5</v>
      </c>
    </row>
    <row r="393" spans="1:7">
      <c r="A393" s="67" t="s">
        <v>784</v>
      </c>
      <c r="B393" s="67" t="s">
        <v>218</v>
      </c>
      <c r="C393" s="70">
        <v>46073</v>
      </c>
      <c r="D393" s="70">
        <v>46083</v>
      </c>
      <c r="E393" s="67" t="s">
        <v>383</v>
      </c>
      <c r="F393" s="67" t="s">
        <v>384</v>
      </c>
      <c r="G393" s="67">
        <v>5</v>
      </c>
    </row>
    <row r="394" spans="1:7">
      <c r="A394" s="67" t="s">
        <v>785</v>
      </c>
      <c r="B394" s="67" t="s">
        <v>256</v>
      </c>
      <c r="C394" s="70">
        <v>46073</v>
      </c>
      <c r="D394" s="70">
        <v>46078</v>
      </c>
      <c r="E394" s="67" t="s">
        <v>383</v>
      </c>
      <c r="F394" s="67" t="s">
        <v>384</v>
      </c>
      <c r="G394" s="67"/>
    </row>
    <row r="395" spans="1:7">
      <c r="A395" s="67" t="s">
        <v>786</v>
      </c>
      <c r="B395" s="67" t="s">
        <v>308</v>
      </c>
      <c r="C395" s="70">
        <v>46074</v>
      </c>
      <c r="D395" s="70">
        <v>46093</v>
      </c>
      <c r="E395" s="67" t="s">
        <v>383</v>
      </c>
      <c r="F395" s="67" t="s">
        <v>394</v>
      </c>
      <c r="G395" s="67"/>
    </row>
    <row r="396" spans="1:7">
      <c r="A396" s="67" t="s">
        <v>787</v>
      </c>
      <c r="B396" s="67" t="s">
        <v>336</v>
      </c>
      <c r="C396" s="70">
        <v>46074</v>
      </c>
      <c r="D396" s="70">
        <v>46084</v>
      </c>
      <c r="E396" s="67" t="s">
        <v>390</v>
      </c>
      <c r="F396" s="67" t="s">
        <v>388</v>
      </c>
      <c r="G396" s="67"/>
    </row>
    <row r="397" spans="1:7">
      <c r="A397" s="67" t="s">
        <v>788</v>
      </c>
      <c r="B397" s="67" t="s">
        <v>180</v>
      </c>
      <c r="C397" s="70">
        <v>46075</v>
      </c>
      <c r="D397" s="70">
        <v>46075</v>
      </c>
      <c r="E397" s="67" t="s">
        <v>390</v>
      </c>
      <c r="F397" s="67" t="s">
        <v>392</v>
      </c>
      <c r="G397" s="67">
        <v>4</v>
      </c>
    </row>
    <row r="398" spans="1:7">
      <c r="A398" s="67" t="s">
        <v>789</v>
      </c>
      <c r="B398" s="67" t="s">
        <v>244</v>
      </c>
      <c r="C398" s="70">
        <v>46076</v>
      </c>
      <c r="D398" s="70">
        <v>46078</v>
      </c>
      <c r="E398" s="67" t="s">
        <v>383</v>
      </c>
      <c r="F398" s="67" t="s">
        <v>388</v>
      </c>
      <c r="G398" s="67"/>
    </row>
    <row r="399" spans="1:7">
      <c r="A399" s="67" t="s">
        <v>790</v>
      </c>
      <c r="B399" s="67" t="s">
        <v>266</v>
      </c>
      <c r="C399" s="70">
        <v>46076</v>
      </c>
      <c r="D399" s="70">
        <v>46090</v>
      </c>
      <c r="E399" s="67" t="s">
        <v>383</v>
      </c>
      <c r="F399" s="67" t="s">
        <v>386</v>
      </c>
      <c r="G399" s="67"/>
    </row>
    <row r="400" spans="1:7">
      <c r="A400" s="67" t="s">
        <v>791</v>
      </c>
      <c r="B400" s="67" t="s">
        <v>286</v>
      </c>
      <c r="C400" s="70">
        <v>46076</v>
      </c>
      <c r="D400" s="70">
        <v>46080</v>
      </c>
      <c r="E400" s="67" t="s">
        <v>383</v>
      </c>
      <c r="F400" s="67" t="s">
        <v>396</v>
      </c>
      <c r="G400" s="67"/>
    </row>
    <row r="401" spans="1:7">
      <c r="A401" s="67" t="s">
        <v>792</v>
      </c>
      <c r="B401" s="67" t="s">
        <v>300</v>
      </c>
      <c r="C401" s="70">
        <v>46076</v>
      </c>
      <c r="D401" s="70">
        <v>46082</v>
      </c>
      <c r="E401" s="67" t="s">
        <v>404</v>
      </c>
      <c r="F401" s="67" t="s">
        <v>388</v>
      </c>
      <c r="G401" s="67"/>
    </row>
    <row r="402" spans="1:7">
      <c r="A402" s="67" t="s">
        <v>793</v>
      </c>
      <c r="B402" s="67" t="s">
        <v>258</v>
      </c>
      <c r="C402" s="70">
        <v>46078</v>
      </c>
      <c r="D402" s="70">
        <v>46092</v>
      </c>
      <c r="E402" s="67" t="s">
        <v>383</v>
      </c>
      <c r="F402" s="67" t="s">
        <v>386</v>
      </c>
      <c r="G402" s="67"/>
    </row>
    <row r="403" spans="1:7">
      <c r="A403" s="67" t="s">
        <v>794</v>
      </c>
      <c r="B403" s="67" t="s">
        <v>336</v>
      </c>
      <c r="C403" s="70">
        <v>46079</v>
      </c>
      <c r="D403" s="70">
        <v>46079</v>
      </c>
      <c r="E403" s="67" t="s">
        <v>390</v>
      </c>
      <c r="F403" s="67" t="s">
        <v>408</v>
      </c>
      <c r="G403" s="67">
        <v>5</v>
      </c>
    </row>
    <row r="404" spans="1:7">
      <c r="A404" s="67" t="s">
        <v>795</v>
      </c>
      <c r="B404" s="67" t="s">
        <v>234</v>
      </c>
      <c r="C404" s="70">
        <v>46080</v>
      </c>
      <c r="D404" s="70">
        <v>46082</v>
      </c>
      <c r="E404" s="67" t="s">
        <v>383</v>
      </c>
      <c r="F404" s="67" t="s">
        <v>396</v>
      </c>
      <c r="G404" s="67"/>
    </row>
    <row r="405" spans="1:7">
      <c r="A405" s="67" t="s">
        <v>796</v>
      </c>
      <c r="B405" s="67" t="s">
        <v>14</v>
      </c>
      <c r="C405" s="70">
        <v>46081</v>
      </c>
      <c r="D405" s="70">
        <v>46085</v>
      </c>
      <c r="E405" s="67" t="s">
        <v>398</v>
      </c>
      <c r="F405" s="67" t="s">
        <v>388</v>
      </c>
      <c r="G405" s="67">
        <v>3</v>
      </c>
    </row>
    <row r="406" spans="1:7">
      <c r="A406" s="67" t="s">
        <v>797</v>
      </c>
      <c r="B406" s="67" t="s">
        <v>122</v>
      </c>
      <c r="C406" s="70">
        <v>46081</v>
      </c>
      <c r="D406" s="70">
        <v>46112</v>
      </c>
      <c r="E406" s="67" t="s">
        <v>383</v>
      </c>
      <c r="F406" s="67" t="s">
        <v>408</v>
      </c>
      <c r="G406" s="67">
        <v>4</v>
      </c>
    </row>
    <row r="407" spans="1:7">
      <c r="A407" s="67" t="s">
        <v>798</v>
      </c>
      <c r="B407" s="67" t="s">
        <v>14</v>
      </c>
      <c r="C407" s="70">
        <v>46082</v>
      </c>
      <c r="D407" s="70">
        <v>46085</v>
      </c>
      <c r="E407" s="67" t="s">
        <v>404</v>
      </c>
      <c r="F407" s="67" t="s">
        <v>396</v>
      </c>
      <c r="G407" s="67"/>
    </row>
    <row r="408" spans="1:7">
      <c r="A408" s="67" t="s">
        <v>799</v>
      </c>
      <c r="B408" s="67" t="s">
        <v>116</v>
      </c>
      <c r="C408" s="70">
        <v>46082</v>
      </c>
      <c r="D408" s="70">
        <v>46088</v>
      </c>
      <c r="E408" s="67" t="s">
        <v>383</v>
      </c>
      <c r="F408" s="67" t="s">
        <v>386</v>
      </c>
      <c r="G408" s="67">
        <v>4</v>
      </c>
    </row>
    <row r="409" spans="1:7">
      <c r="A409" s="67" t="s">
        <v>800</v>
      </c>
      <c r="B409" s="67" t="s">
        <v>334</v>
      </c>
      <c r="C409" s="70">
        <v>46082</v>
      </c>
      <c r="D409" s="70">
        <v>46092</v>
      </c>
      <c r="E409" s="67" t="s">
        <v>390</v>
      </c>
      <c r="F409" s="67" t="s">
        <v>384</v>
      </c>
      <c r="G409" s="67"/>
    </row>
    <row r="410" spans="1:7">
      <c r="A410" s="67" t="s">
        <v>801</v>
      </c>
      <c r="B410" s="67" t="s">
        <v>14</v>
      </c>
      <c r="C410" s="70">
        <v>46083</v>
      </c>
      <c r="D410" s="70">
        <v>46083</v>
      </c>
      <c r="E410" s="67" t="s">
        <v>383</v>
      </c>
      <c r="F410" s="67" t="s">
        <v>384</v>
      </c>
      <c r="G410" s="67">
        <v>2</v>
      </c>
    </row>
    <row r="411" spans="1:7">
      <c r="A411" s="67" t="s">
        <v>802</v>
      </c>
      <c r="B411" s="67" t="s">
        <v>14</v>
      </c>
      <c r="C411" s="70">
        <v>46083</v>
      </c>
      <c r="D411" s="70">
        <v>46089</v>
      </c>
      <c r="E411" s="67" t="s">
        <v>404</v>
      </c>
      <c r="F411" s="67" t="s">
        <v>386</v>
      </c>
      <c r="G411" s="67">
        <v>3</v>
      </c>
    </row>
    <row r="412" spans="1:7">
      <c r="A412" s="67" t="s">
        <v>803</v>
      </c>
      <c r="B412" s="67" t="s">
        <v>116</v>
      </c>
      <c r="C412" s="70">
        <v>46083</v>
      </c>
      <c r="D412" s="70">
        <v>46093</v>
      </c>
      <c r="E412" s="67" t="s">
        <v>390</v>
      </c>
      <c r="F412" s="67" t="s">
        <v>408</v>
      </c>
      <c r="G412" s="67"/>
    </row>
    <row r="413" spans="1:7">
      <c r="A413" s="67" t="s">
        <v>804</v>
      </c>
      <c r="B413" s="67" t="s">
        <v>156</v>
      </c>
      <c r="C413" s="70">
        <v>46084</v>
      </c>
      <c r="D413" s="70">
        <v>46127</v>
      </c>
      <c r="E413" s="67" t="s">
        <v>390</v>
      </c>
      <c r="F413" s="67" t="s">
        <v>386</v>
      </c>
      <c r="G413" s="67"/>
    </row>
    <row r="414" spans="1:7">
      <c r="A414" s="67" t="s">
        <v>805</v>
      </c>
      <c r="B414" s="67" t="s">
        <v>35</v>
      </c>
      <c r="C414" s="70">
        <v>46085</v>
      </c>
      <c r="D414" s="70">
        <v>46085</v>
      </c>
      <c r="E414" s="67" t="s">
        <v>383</v>
      </c>
      <c r="F414" s="67" t="s">
        <v>392</v>
      </c>
      <c r="G414" s="67"/>
    </row>
    <row r="415" spans="1:7">
      <c r="A415" s="67" t="s">
        <v>806</v>
      </c>
      <c r="B415" s="67" t="s">
        <v>284</v>
      </c>
      <c r="C415" s="70">
        <v>46085</v>
      </c>
      <c r="D415" s="70">
        <v>46088</v>
      </c>
      <c r="E415" s="67" t="s">
        <v>390</v>
      </c>
      <c r="F415" s="67" t="s">
        <v>408</v>
      </c>
      <c r="G415" s="67">
        <v>4</v>
      </c>
    </row>
    <row r="416" spans="1:7">
      <c r="A416" s="67" t="s">
        <v>807</v>
      </c>
      <c r="B416" s="67" t="s">
        <v>130</v>
      </c>
      <c r="C416" s="70">
        <v>46087</v>
      </c>
      <c r="D416" s="70">
        <v>46091</v>
      </c>
      <c r="E416" s="67" t="s">
        <v>398</v>
      </c>
      <c r="F416" s="67" t="s">
        <v>396</v>
      </c>
      <c r="G416" s="67"/>
    </row>
    <row r="417" spans="1:7">
      <c r="A417" s="67" t="s">
        <v>808</v>
      </c>
      <c r="B417" s="67" t="s">
        <v>282</v>
      </c>
      <c r="C417" s="70">
        <v>46087</v>
      </c>
      <c r="D417" s="70">
        <v>46098</v>
      </c>
      <c r="E417" s="67" t="s">
        <v>383</v>
      </c>
      <c r="F417" s="67" t="s">
        <v>396</v>
      </c>
      <c r="G417" s="67">
        <v>5</v>
      </c>
    </row>
    <row r="418" spans="1:7">
      <c r="A418" s="67" t="s">
        <v>809</v>
      </c>
      <c r="B418" s="67" t="s">
        <v>59</v>
      </c>
      <c r="C418" s="70">
        <v>46088</v>
      </c>
      <c r="D418" s="70">
        <v>46090</v>
      </c>
      <c r="E418" s="67" t="s">
        <v>390</v>
      </c>
      <c r="F418" s="67" t="s">
        <v>386</v>
      </c>
      <c r="G418" s="67"/>
    </row>
    <row r="419" spans="1:7">
      <c r="A419" s="67" t="s">
        <v>810</v>
      </c>
      <c r="B419" s="67" t="s">
        <v>148</v>
      </c>
      <c r="C419" s="70">
        <v>46089</v>
      </c>
      <c r="D419" s="70">
        <v>46107</v>
      </c>
      <c r="E419" s="67" t="s">
        <v>383</v>
      </c>
      <c r="F419" s="67" t="s">
        <v>392</v>
      </c>
      <c r="G419" s="67"/>
    </row>
    <row r="420" spans="1:7">
      <c r="A420" s="67" t="s">
        <v>811</v>
      </c>
      <c r="B420" s="67" t="s">
        <v>282</v>
      </c>
      <c r="C420" s="70">
        <v>46089</v>
      </c>
      <c r="D420" s="70">
        <v>46091</v>
      </c>
      <c r="E420" s="67" t="s">
        <v>383</v>
      </c>
      <c r="F420" s="67" t="s">
        <v>384</v>
      </c>
      <c r="G420" s="67">
        <v>4</v>
      </c>
    </row>
    <row r="421" spans="1:7">
      <c r="A421" s="67" t="s">
        <v>812</v>
      </c>
      <c r="B421" s="67" t="s">
        <v>292</v>
      </c>
      <c r="C421" s="70">
        <v>46089</v>
      </c>
      <c r="D421" s="70">
        <v>46105</v>
      </c>
      <c r="E421" s="67" t="s">
        <v>390</v>
      </c>
      <c r="F421" s="67" t="s">
        <v>394</v>
      </c>
      <c r="G421" s="67"/>
    </row>
    <row r="422" spans="1:7">
      <c r="A422" s="67" t="s">
        <v>813</v>
      </c>
      <c r="B422" s="67" t="s">
        <v>116</v>
      </c>
      <c r="C422" s="70">
        <v>46090</v>
      </c>
      <c r="D422" s="70">
        <v>46096</v>
      </c>
      <c r="E422" s="67" t="s">
        <v>404</v>
      </c>
      <c r="F422" s="67" t="s">
        <v>394</v>
      </c>
      <c r="G422" s="67"/>
    </row>
    <row r="423" spans="1:7">
      <c r="A423" s="67" t="s">
        <v>814</v>
      </c>
      <c r="B423" s="67" t="s">
        <v>136</v>
      </c>
      <c r="C423" s="70">
        <v>46090</v>
      </c>
      <c r="D423" s="70">
        <v>46091</v>
      </c>
      <c r="E423" s="67" t="s">
        <v>390</v>
      </c>
      <c r="F423" s="67" t="s">
        <v>388</v>
      </c>
      <c r="G423" s="67"/>
    </row>
    <row r="424" spans="1:7">
      <c r="A424" s="67" t="s">
        <v>815</v>
      </c>
      <c r="B424" s="67" t="s">
        <v>300</v>
      </c>
      <c r="C424" s="70">
        <v>46090</v>
      </c>
      <c r="D424" s="70">
        <v>46094</v>
      </c>
      <c r="E424" s="67" t="s">
        <v>383</v>
      </c>
      <c r="F424" s="67" t="s">
        <v>384</v>
      </c>
      <c r="G424" s="67">
        <v>4</v>
      </c>
    </row>
    <row r="425" spans="1:7">
      <c r="A425" s="67" t="s">
        <v>816</v>
      </c>
      <c r="B425" s="67" t="s">
        <v>226</v>
      </c>
      <c r="C425" s="70">
        <v>46091</v>
      </c>
      <c r="D425" s="70">
        <v>46093</v>
      </c>
      <c r="E425" s="67" t="s">
        <v>383</v>
      </c>
      <c r="F425" s="67" t="s">
        <v>396</v>
      </c>
      <c r="G425" s="67">
        <v>4</v>
      </c>
    </row>
    <row r="426" spans="1:7">
      <c r="A426" s="67" t="s">
        <v>817</v>
      </c>
      <c r="B426" s="67" t="s">
        <v>81</v>
      </c>
      <c r="C426" s="70">
        <v>46092</v>
      </c>
      <c r="D426" s="70">
        <v>46096</v>
      </c>
      <c r="E426" s="67" t="s">
        <v>383</v>
      </c>
      <c r="F426" s="67" t="s">
        <v>386</v>
      </c>
      <c r="G426" s="67">
        <v>3</v>
      </c>
    </row>
    <row r="427" spans="1:7">
      <c r="A427" s="67" t="s">
        <v>818</v>
      </c>
      <c r="B427" s="67" t="s">
        <v>166</v>
      </c>
      <c r="C427" s="70">
        <v>46092</v>
      </c>
      <c r="D427" s="70">
        <v>46104</v>
      </c>
      <c r="E427" s="67" t="s">
        <v>383</v>
      </c>
      <c r="F427" s="67" t="s">
        <v>384</v>
      </c>
      <c r="G427" s="67">
        <v>5</v>
      </c>
    </row>
    <row r="428" spans="1:7">
      <c r="A428" s="67" t="s">
        <v>819</v>
      </c>
      <c r="B428" s="67" t="s">
        <v>166</v>
      </c>
      <c r="C428" s="70">
        <v>46092</v>
      </c>
      <c r="D428" s="70">
        <v>46107</v>
      </c>
      <c r="E428" s="67" t="s">
        <v>383</v>
      </c>
      <c r="F428" s="67" t="s">
        <v>394</v>
      </c>
      <c r="G428" s="67">
        <v>4</v>
      </c>
    </row>
    <row r="429" spans="1:7">
      <c r="A429" s="67" t="s">
        <v>820</v>
      </c>
      <c r="B429" s="67" t="s">
        <v>71</v>
      </c>
      <c r="C429" s="70">
        <v>46094</v>
      </c>
      <c r="D429" s="70">
        <v>46095</v>
      </c>
      <c r="E429" s="67" t="s">
        <v>390</v>
      </c>
      <c r="F429" s="67" t="s">
        <v>394</v>
      </c>
      <c r="G429" s="67">
        <v>3</v>
      </c>
    </row>
    <row r="430" spans="1:7">
      <c r="A430" s="67" t="s">
        <v>821</v>
      </c>
      <c r="B430" s="67" t="s">
        <v>152</v>
      </c>
      <c r="C430" s="70">
        <v>46095</v>
      </c>
      <c r="D430" s="70">
        <v>46096</v>
      </c>
      <c r="E430" s="67" t="s">
        <v>383</v>
      </c>
      <c r="F430" s="67" t="s">
        <v>408</v>
      </c>
      <c r="G430" s="67">
        <v>3</v>
      </c>
    </row>
    <row r="431" spans="1:7">
      <c r="A431" s="67" t="s">
        <v>822</v>
      </c>
      <c r="B431" s="67" t="s">
        <v>166</v>
      </c>
      <c r="C431" s="70">
        <v>46095</v>
      </c>
      <c r="D431" s="70">
        <v>46109</v>
      </c>
      <c r="E431" s="67" t="s">
        <v>383</v>
      </c>
      <c r="F431" s="67" t="s">
        <v>392</v>
      </c>
      <c r="G431" s="67"/>
    </row>
    <row r="432" spans="1:7">
      <c r="A432" s="67" t="s">
        <v>823</v>
      </c>
      <c r="B432" s="67" t="s">
        <v>234</v>
      </c>
      <c r="C432" s="70">
        <v>46095</v>
      </c>
      <c r="D432" s="70">
        <v>46098</v>
      </c>
      <c r="E432" s="67" t="s">
        <v>404</v>
      </c>
      <c r="F432" s="67" t="s">
        <v>394</v>
      </c>
      <c r="G432" s="67">
        <v>3</v>
      </c>
    </row>
    <row r="433" spans="1:7">
      <c r="A433" s="67" t="s">
        <v>824</v>
      </c>
      <c r="B433" s="67" t="s">
        <v>182</v>
      </c>
      <c r="C433" s="70">
        <v>46097</v>
      </c>
      <c r="D433" s="70">
        <v>46123</v>
      </c>
      <c r="E433" s="67" t="s">
        <v>390</v>
      </c>
      <c r="F433" s="67" t="s">
        <v>386</v>
      </c>
      <c r="G433" s="67"/>
    </row>
    <row r="434" spans="1:7">
      <c r="A434" s="67" t="s">
        <v>825</v>
      </c>
      <c r="B434" s="67" t="s">
        <v>186</v>
      </c>
      <c r="C434" s="70">
        <v>46098</v>
      </c>
      <c r="D434" s="70">
        <v>46119</v>
      </c>
      <c r="E434" s="67" t="s">
        <v>383</v>
      </c>
      <c r="F434" s="67" t="s">
        <v>384</v>
      </c>
      <c r="G434" s="67"/>
    </row>
    <row r="435" spans="1:7">
      <c r="A435" s="67" t="s">
        <v>826</v>
      </c>
      <c r="B435" s="67" t="s">
        <v>284</v>
      </c>
      <c r="C435" s="70">
        <v>46098</v>
      </c>
      <c r="D435" s="70">
        <v>46115</v>
      </c>
      <c r="E435" s="67" t="s">
        <v>390</v>
      </c>
      <c r="F435" s="67" t="s">
        <v>396</v>
      </c>
      <c r="G435" s="67"/>
    </row>
    <row r="436" spans="1:7">
      <c r="A436" s="67" t="s">
        <v>827</v>
      </c>
      <c r="B436" s="67" t="s">
        <v>110</v>
      </c>
      <c r="C436" s="70">
        <v>46099</v>
      </c>
      <c r="D436" s="70">
        <v>46104</v>
      </c>
      <c r="E436" s="67" t="s">
        <v>383</v>
      </c>
      <c r="F436" s="67" t="s">
        <v>388</v>
      </c>
      <c r="G436" s="67"/>
    </row>
    <row r="437" spans="1:7">
      <c r="A437" s="67" t="s">
        <v>828</v>
      </c>
      <c r="B437" s="67" t="s">
        <v>320</v>
      </c>
      <c r="C437" s="70">
        <v>46099</v>
      </c>
      <c r="D437" s="70">
        <v>46101</v>
      </c>
      <c r="E437" s="67" t="s">
        <v>390</v>
      </c>
      <c r="F437" s="67" t="s">
        <v>388</v>
      </c>
      <c r="G437" s="67"/>
    </row>
    <row r="438" spans="1:7">
      <c r="A438" s="67" t="s">
        <v>829</v>
      </c>
      <c r="B438" s="67" t="s">
        <v>166</v>
      </c>
      <c r="C438" s="70">
        <v>46100</v>
      </c>
      <c r="D438" s="70">
        <v>46105</v>
      </c>
      <c r="E438" s="67" t="s">
        <v>390</v>
      </c>
      <c r="F438" s="67" t="s">
        <v>408</v>
      </c>
      <c r="G438" s="67"/>
    </row>
    <row r="439" spans="1:7">
      <c r="A439" s="67" t="s">
        <v>830</v>
      </c>
      <c r="B439" s="67" t="s">
        <v>172</v>
      </c>
      <c r="C439" s="70">
        <v>46100</v>
      </c>
      <c r="D439" s="70">
        <v>46101</v>
      </c>
      <c r="E439" s="67" t="s">
        <v>390</v>
      </c>
      <c r="F439" s="67" t="s">
        <v>384</v>
      </c>
      <c r="G439" s="67">
        <v>5</v>
      </c>
    </row>
    <row r="440" spans="1:7">
      <c r="A440" s="67" t="s">
        <v>831</v>
      </c>
      <c r="B440" s="67" t="s">
        <v>282</v>
      </c>
      <c r="C440" s="70">
        <v>46101</v>
      </c>
      <c r="D440" s="70">
        <v>46113</v>
      </c>
      <c r="E440" s="67" t="s">
        <v>390</v>
      </c>
      <c r="F440" s="67" t="s">
        <v>386</v>
      </c>
      <c r="G440" s="67"/>
    </row>
    <row r="441" spans="1:7">
      <c r="A441" s="67" t="s">
        <v>832</v>
      </c>
      <c r="B441" s="67" t="s">
        <v>184</v>
      </c>
      <c r="C441" s="70">
        <v>46103</v>
      </c>
      <c r="D441" s="70">
        <v>46106</v>
      </c>
      <c r="E441" s="67" t="s">
        <v>404</v>
      </c>
      <c r="F441" s="67" t="s">
        <v>392</v>
      </c>
      <c r="G441" s="67">
        <v>5</v>
      </c>
    </row>
    <row r="442" spans="1:7">
      <c r="A442" s="67" t="s">
        <v>833</v>
      </c>
      <c r="B442" s="67" t="s">
        <v>280</v>
      </c>
      <c r="C442" s="70">
        <v>46104</v>
      </c>
      <c r="D442" s="70">
        <v>46114</v>
      </c>
      <c r="E442" s="67" t="s">
        <v>383</v>
      </c>
      <c r="F442" s="67" t="s">
        <v>392</v>
      </c>
      <c r="G442" s="67"/>
    </row>
    <row r="443" spans="1:7">
      <c r="A443" s="67" t="s">
        <v>834</v>
      </c>
      <c r="B443" s="67" t="s">
        <v>110</v>
      </c>
      <c r="C443" s="70">
        <v>46105</v>
      </c>
      <c r="D443" s="70">
        <v>46114</v>
      </c>
      <c r="E443" s="67" t="s">
        <v>390</v>
      </c>
      <c r="F443" s="67" t="s">
        <v>384</v>
      </c>
      <c r="G443" s="67">
        <v>4</v>
      </c>
    </row>
    <row r="444" spans="1:7">
      <c r="A444" s="67" t="s">
        <v>835</v>
      </c>
      <c r="B444" s="67" t="s">
        <v>228</v>
      </c>
      <c r="C444" s="70">
        <v>46105</v>
      </c>
      <c r="D444" s="70">
        <v>46111</v>
      </c>
      <c r="E444" s="67" t="s">
        <v>383</v>
      </c>
      <c r="F444" s="67" t="s">
        <v>388</v>
      </c>
      <c r="G444" s="67">
        <v>3</v>
      </c>
    </row>
    <row r="445" spans="1:7">
      <c r="A445" s="67" t="s">
        <v>836</v>
      </c>
      <c r="B445" s="67" t="s">
        <v>300</v>
      </c>
      <c r="C445" s="70">
        <v>46105</v>
      </c>
      <c r="D445" s="70">
        <v>46160</v>
      </c>
      <c r="E445" s="67" t="s">
        <v>390</v>
      </c>
      <c r="F445" s="67" t="s">
        <v>392</v>
      </c>
      <c r="G445" s="67"/>
    </row>
    <row r="446" spans="1:7">
      <c r="A446" s="67" t="s">
        <v>837</v>
      </c>
      <c r="B446" s="67" t="s">
        <v>126</v>
      </c>
      <c r="C446" s="70">
        <v>46106</v>
      </c>
      <c r="D446" s="70">
        <v>46107</v>
      </c>
      <c r="E446" s="67" t="s">
        <v>404</v>
      </c>
      <c r="F446" s="67" t="s">
        <v>394</v>
      </c>
      <c r="G446" s="67">
        <v>3</v>
      </c>
    </row>
    <row r="447" spans="1:7">
      <c r="A447" s="67" t="s">
        <v>838</v>
      </c>
      <c r="B447" s="67" t="s">
        <v>272</v>
      </c>
      <c r="C447" s="70">
        <v>46106</v>
      </c>
      <c r="D447" s="70">
        <v>46140</v>
      </c>
      <c r="E447" s="67" t="s">
        <v>383</v>
      </c>
      <c r="F447" s="67" t="s">
        <v>392</v>
      </c>
      <c r="G447" s="67"/>
    </row>
    <row r="448" spans="1:7">
      <c r="A448" s="67" t="s">
        <v>839</v>
      </c>
      <c r="B448" s="67" t="s">
        <v>286</v>
      </c>
      <c r="C448" s="70">
        <v>46106</v>
      </c>
      <c r="D448" s="70">
        <v>46112</v>
      </c>
      <c r="E448" s="67" t="s">
        <v>390</v>
      </c>
      <c r="F448" s="67" t="s">
        <v>386</v>
      </c>
      <c r="G448" s="67">
        <v>4</v>
      </c>
    </row>
    <row r="449" spans="1:7">
      <c r="A449" s="67" t="s">
        <v>840</v>
      </c>
      <c r="B449" s="67" t="s">
        <v>110</v>
      </c>
      <c r="C449" s="70">
        <v>46107</v>
      </c>
      <c r="D449" s="70">
        <v>46117</v>
      </c>
      <c r="E449" s="67" t="s">
        <v>404</v>
      </c>
      <c r="F449" s="67" t="s">
        <v>386</v>
      </c>
      <c r="G449" s="67"/>
    </row>
    <row r="450" spans="1:7">
      <c r="A450" s="67" t="s">
        <v>841</v>
      </c>
      <c r="B450" s="67" t="s">
        <v>284</v>
      </c>
      <c r="C450" s="70">
        <v>46107</v>
      </c>
      <c r="D450" s="70">
        <v>46107</v>
      </c>
      <c r="E450" s="67" t="s">
        <v>404</v>
      </c>
      <c r="F450" s="67" t="s">
        <v>392</v>
      </c>
      <c r="G450" s="67"/>
    </row>
    <row r="451" spans="1:7">
      <c r="A451" s="67" t="s">
        <v>842</v>
      </c>
      <c r="B451" s="67" t="s">
        <v>250</v>
      </c>
      <c r="C451" s="70">
        <v>46109</v>
      </c>
      <c r="D451" s="70">
        <v>46111</v>
      </c>
      <c r="E451" s="67" t="s">
        <v>404</v>
      </c>
      <c r="F451" s="67" t="s">
        <v>386</v>
      </c>
      <c r="G451" s="67"/>
    </row>
    <row r="452" spans="1:7">
      <c r="A452" s="67" t="s">
        <v>843</v>
      </c>
      <c r="B452" s="67" t="s">
        <v>292</v>
      </c>
      <c r="C452" s="70">
        <v>46110</v>
      </c>
      <c r="D452" s="70">
        <v>46113</v>
      </c>
      <c r="E452" s="67" t="s">
        <v>398</v>
      </c>
      <c r="F452" s="67" t="s">
        <v>386</v>
      </c>
      <c r="G452" s="67"/>
    </row>
    <row r="453" spans="1:7">
      <c r="A453" s="67" t="s">
        <v>844</v>
      </c>
      <c r="B453" s="67" t="s">
        <v>246</v>
      </c>
      <c r="C453" s="70">
        <v>46111</v>
      </c>
      <c r="D453" s="70">
        <v>46113</v>
      </c>
      <c r="E453" s="67" t="s">
        <v>383</v>
      </c>
      <c r="F453" s="67" t="s">
        <v>408</v>
      </c>
      <c r="G453" s="67">
        <v>4</v>
      </c>
    </row>
    <row r="454" spans="1:7">
      <c r="A454" s="67" t="s">
        <v>845</v>
      </c>
      <c r="B454" s="67" t="s">
        <v>260</v>
      </c>
      <c r="C454" s="70">
        <v>46112</v>
      </c>
      <c r="D454" s="70">
        <v>46124</v>
      </c>
      <c r="E454" s="67" t="s">
        <v>390</v>
      </c>
      <c r="F454" s="67" t="s">
        <v>386</v>
      </c>
      <c r="G454" s="67"/>
    </row>
    <row r="455" spans="1:7">
      <c r="A455" s="67" t="s">
        <v>846</v>
      </c>
      <c r="B455" s="67" t="s">
        <v>120</v>
      </c>
      <c r="C455" s="70">
        <v>46113</v>
      </c>
      <c r="D455" s="70">
        <v>46113</v>
      </c>
      <c r="E455" s="67" t="s">
        <v>398</v>
      </c>
      <c r="F455" s="67" t="s">
        <v>408</v>
      </c>
      <c r="G455" s="67"/>
    </row>
    <row r="456" spans="1:7">
      <c r="A456" s="67" t="s">
        <v>847</v>
      </c>
      <c r="B456" s="67" t="s">
        <v>140</v>
      </c>
      <c r="C456" s="70">
        <v>46114</v>
      </c>
      <c r="D456" s="70">
        <v>46122</v>
      </c>
      <c r="E456" s="67" t="s">
        <v>398</v>
      </c>
      <c r="F456" s="67" t="s">
        <v>396</v>
      </c>
      <c r="G456" s="67">
        <v>5</v>
      </c>
    </row>
    <row r="457" spans="1:7">
      <c r="A457" s="67" t="s">
        <v>848</v>
      </c>
      <c r="B457" s="67" t="s">
        <v>218</v>
      </c>
      <c r="C457" s="70">
        <v>46114</v>
      </c>
      <c r="D457" s="70">
        <v>46120</v>
      </c>
      <c r="E457" s="67" t="s">
        <v>383</v>
      </c>
      <c r="F457" s="67" t="s">
        <v>408</v>
      </c>
      <c r="G457" s="67">
        <v>5</v>
      </c>
    </row>
    <row r="458" spans="1:7">
      <c r="A458" s="67" t="s">
        <v>849</v>
      </c>
      <c r="B458" s="67" t="s">
        <v>92</v>
      </c>
      <c r="C458" s="70">
        <v>46115</v>
      </c>
      <c r="D458" s="70">
        <v>46123</v>
      </c>
      <c r="E458" s="67" t="s">
        <v>390</v>
      </c>
      <c r="F458" s="67" t="s">
        <v>408</v>
      </c>
      <c r="G458" s="67"/>
    </row>
    <row r="459" spans="1:7">
      <c r="A459" s="67" t="s">
        <v>850</v>
      </c>
      <c r="B459" s="67" t="s">
        <v>118</v>
      </c>
      <c r="C459" s="70">
        <v>46116</v>
      </c>
      <c r="D459" s="70">
        <v>46133</v>
      </c>
      <c r="E459" s="67" t="s">
        <v>383</v>
      </c>
      <c r="F459" s="67" t="s">
        <v>394</v>
      </c>
      <c r="G459" s="67">
        <v>5</v>
      </c>
    </row>
    <row r="460" spans="1:7">
      <c r="A460" s="67" t="s">
        <v>851</v>
      </c>
      <c r="B460" s="67" t="s">
        <v>166</v>
      </c>
      <c r="C460" s="70">
        <v>46116</v>
      </c>
      <c r="D460" s="70">
        <v>46128</v>
      </c>
      <c r="E460" s="67" t="s">
        <v>390</v>
      </c>
      <c r="F460" s="67" t="s">
        <v>384</v>
      </c>
      <c r="G460" s="67">
        <v>5</v>
      </c>
    </row>
    <row r="461" spans="1:7">
      <c r="A461" s="67" t="s">
        <v>852</v>
      </c>
      <c r="B461" s="67" t="s">
        <v>240</v>
      </c>
      <c r="C461" s="70">
        <v>46116</v>
      </c>
      <c r="D461" s="70">
        <v>46188</v>
      </c>
      <c r="E461" s="67" t="s">
        <v>390</v>
      </c>
      <c r="F461" s="67" t="s">
        <v>388</v>
      </c>
      <c r="G461" s="67">
        <v>4</v>
      </c>
    </row>
    <row r="462" spans="1:7">
      <c r="A462" s="67" t="s">
        <v>853</v>
      </c>
      <c r="B462" s="67" t="s">
        <v>316</v>
      </c>
      <c r="C462" s="70">
        <v>46118</v>
      </c>
      <c r="D462" s="70">
        <v>46137</v>
      </c>
      <c r="E462" s="67" t="s">
        <v>383</v>
      </c>
      <c r="F462" s="67" t="s">
        <v>384</v>
      </c>
      <c r="G462" s="67">
        <v>4</v>
      </c>
    </row>
    <row r="463" spans="1:7">
      <c r="A463" s="67" t="s">
        <v>854</v>
      </c>
      <c r="B463" s="67" t="s">
        <v>35</v>
      </c>
      <c r="C463" s="70">
        <v>46120</v>
      </c>
      <c r="D463" s="70">
        <v>46132</v>
      </c>
      <c r="E463" s="67" t="s">
        <v>383</v>
      </c>
      <c r="F463" s="67" t="s">
        <v>388</v>
      </c>
      <c r="G463" s="67">
        <v>3</v>
      </c>
    </row>
    <row r="464" spans="1:7">
      <c r="A464" s="67" t="s">
        <v>855</v>
      </c>
      <c r="B464" s="67" t="s">
        <v>81</v>
      </c>
      <c r="C464" s="70">
        <v>46120</v>
      </c>
      <c r="D464" s="70">
        <v>46122</v>
      </c>
      <c r="E464" s="67" t="s">
        <v>404</v>
      </c>
      <c r="F464" s="67" t="s">
        <v>384</v>
      </c>
      <c r="G464" s="67">
        <v>5</v>
      </c>
    </row>
    <row r="465" spans="1:7">
      <c r="A465" s="67" t="s">
        <v>856</v>
      </c>
      <c r="B465" s="67" t="s">
        <v>198</v>
      </c>
      <c r="C465" s="70">
        <v>46121</v>
      </c>
      <c r="D465" s="70">
        <v>46123</v>
      </c>
      <c r="E465" s="67" t="s">
        <v>404</v>
      </c>
      <c r="F465" s="67" t="s">
        <v>392</v>
      </c>
      <c r="G465" s="67">
        <v>5</v>
      </c>
    </row>
    <row r="466" spans="1:7">
      <c r="A466" s="67" t="s">
        <v>857</v>
      </c>
      <c r="B466" s="67" t="s">
        <v>90</v>
      </c>
      <c r="C466" s="70">
        <v>46122</v>
      </c>
      <c r="D466" s="70">
        <v>46123</v>
      </c>
      <c r="E466" s="67" t="s">
        <v>398</v>
      </c>
      <c r="F466" s="67" t="s">
        <v>388</v>
      </c>
      <c r="G466" s="67">
        <v>4</v>
      </c>
    </row>
    <row r="467" spans="1:7">
      <c r="A467" s="67" t="s">
        <v>858</v>
      </c>
      <c r="B467" s="67" t="s">
        <v>136</v>
      </c>
      <c r="C467" s="70">
        <v>46122</v>
      </c>
      <c r="D467" s="70">
        <v>46141</v>
      </c>
      <c r="E467" s="67" t="s">
        <v>383</v>
      </c>
      <c r="F467" s="67" t="s">
        <v>396</v>
      </c>
      <c r="G467" s="67"/>
    </row>
    <row r="468" spans="1:7">
      <c r="A468" s="67" t="s">
        <v>859</v>
      </c>
      <c r="B468" s="67" t="s">
        <v>35</v>
      </c>
      <c r="C468" s="70">
        <v>46123</v>
      </c>
      <c r="D468" s="70">
        <v>46124</v>
      </c>
      <c r="E468" s="67" t="s">
        <v>390</v>
      </c>
      <c r="F468" s="67" t="s">
        <v>396</v>
      </c>
      <c r="G468" s="67"/>
    </row>
    <row r="469" spans="1:7">
      <c r="A469" s="67" t="s">
        <v>860</v>
      </c>
      <c r="B469" s="67" t="s">
        <v>122</v>
      </c>
      <c r="C469" s="70">
        <v>46123</v>
      </c>
      <c r="D469" s="70">
        <v>46141</v>
      </c>
      <c r="E469" s="67" t="s">
        <v>383</v>
      </c>
      <c r="F469" s="67" t="s">
        <v>394</v>
      </c>
      <c r="G469" s="67"/>
    </row>
    <row r="470" spans="1:7">
      <c r="A470" s="67" t="s">
        <v>861</v>
      </c>
      <c r="B470" s="67" t="s">
        <v>214</v>
      </c>
      <c r="C470" s="70">
        <v>46123</v>
      </c>
      <c r="D470" s="70">
        <v>46123</v>
      </c>
      <c r="E470" s="67" t="s">
        <v>398</v>
      </c>
      <c r="F470" s="67" t="s">
        <v>408</v>
      </c>
      <c r="G470" s="67">
        <v>3</v>
      </c>
    </row>
    <row r="471" spans="1:7">
      <c r="A471" s="67" t="s">
        <v>862</v>
      </c>
      <c r="B471" s="67" t="s">
        <v>236</v>
      </c>
      <c r="C471" s="70">
        <v>46123</v>
      </c>
      <c r="D471" s="70">
        <v>46180</v>
      </c>
      <c r="E471" s="67" t="s">
        <v>390</v>
      </c>
      <c r="F471" s="67" t="s">
        <v>386</v>
      </c>
      <c r="G471" s="67">
        <v>4</v>
      </c>
    </row>
    <row r="472" spans="1:7">
      <c r="A472" s="67" t="s">
        <v>863</v>
      </c>
      <c r="B472" s="67" t="s">
        <v>276</v>
      </c>
      <c r="C472" s="70">
        <v>46123</v>
      </c>
      <c r="D472" s="70">
        <v>46124</v>
      </c>
      <c r="E472" s="67" t="s">
        <v>390</v>
      </c>
      <c r="F472" s="67" t="s">
        <v>386</v>
      </c>
      <c r="G472" s="67">
        <v>4</v>
      </c>
    </row>
    <row r="473" spans="1:7">
      <c r="A473" s="67" t="s">
        <v>864</v>
      </c>
      <c r="B473" s="67" t="s">
        <v>152</v>
      </c>
      <c r="C473" s="70">
        <v>46125</v>
      </c>
      <c r="D473" s="70">
        <v>46126</v>
      </c>
      <c r="E473" s="67" t="s">
        <v>404</v>
      </c>
      <c r="F473" s="67" t="s">
        <v>408</v>
      </c>
      <c r="G473" s="67">
        <v>3</v>
      </c>
    </row>
    <row r="474" spans="1:7">
      <c r="A474" s="67" t="s">
        <v>865</v>
      </c>
      <c r="B474" s="67" t="s">
        <v>246</v>
      </c>
      <c r="C474" s="70">
        <v>46125</v>
      </c>
      <c r="D474" s="70">
        <v>46130</v>
      </c>
      <c r="E474" s="67" t="s">
        <v>383</v>
      </c>
      <c r="F474" s="67" t="s">
        <v>384</v>
      </c>
      <c r="G474" s="67">
        <v>5</v>
      </c>
    </row>
    <row r="475" spans="1:7">
      <c r="A475" s="67" t="s">
        <v>866</v>
      </c>
      <c r="B475" s="67" t="s">
        <v>122</v>
      </c>
      <c r="C475" s="70">
        <v>46126</v>
      </c>
      <c r="D475" s="70">
        <v>46135</v>
      </c>
      <c r="E475" s="67" t="s">
        <v>404</v>
      </c>
      <c r="F475" s="67" t="s">
        <v>392</v>
      </c>
      <c r="G475" s="67">
        <v>2</v>
      </c>
    </row>
    <row r="476" spans="1:7">
      <c r="A476" s="67" t="s">
        <v>867</v>
      </c>
      <c r="B476" s="67" t="s">
        <v>66</v>
      </c>
      <c r="C476" s="70">
        <v>46127</v>
      </c>
      <c r="D476" s="70">
        <v>46128</v>
      </c>
      <c r="E476" s="67" t="s">
        <v>404</v>
      </c>
      <c r="F476" s="67" t="s">
        <v>388</v>
      </c>
      <c r="G476" s="67"/>
    </row>
    <row r="477" spans="1:7">
      <c r="A477" s="67" t="s">
        <v>868</v>
      </c>
      <c r="B477" s="67" t="s">
        <v>210</v>
      </c>
      <c r="C477" s="70">
        <v>46127</v>
      </c>
      <c r="D477" s="70">
        <v>46147</v>
      </c>
      <c r="E477" s="67" t="s">
        <v>390</v>
      </c>
      <c r="F477" s="67" t="s">
        <v>384</v>
      </c>
      <c r="G477" s="67">
        <v>2</v>
      </c>
    </row>
    <row r="478" spans="1:7">
      <c r="A478" s="67" t="s">
        <v>869</v>
      </c>
      <c r="B478" s="67" t="s">
        <v>122</v>
      </c>
      <c r="C478" s="70">
        <v>46128</v>
      </c>
      <c r="D478" s="70">
        <v>46143</v>
      </c>
      <c r="E478" s="67" t="s">
        <v>404</v>
      </c>
      <c r="F478" s="67" t="s">
        <v>396</v>
      </c>
      <c r="G478" s="67"/>
    </row>
    <row r="479" spans="1:7">
      <c r="A479" s="67" t="s">
        <v>870</v>
      </c>
      <c r="B479" s="67" t="s">
        <v>246</v>
      </c>
      <c r="C479" s="70">
        <v>46128</v>
      </c>
      <c r="D479" s="70">
        <v>46130</v>
      </c>
      <c r="E479" s="67" t="s">
        <v>383</v>
      </c>
      <c r="F479" s="67" t="s">
        <v>386</v>
      </c>
      <c r="G479" s="67"/>
    </row>
    <row r="480" spans="1:7">
      <c r="A480" s="67" t="s">
        <v>871</v>
      </c>
      <c r="B480" s="67" t="s">
        <v>154</v>
      </c>
      <c r="C480" s="70">
        <v>46129</v>
      </c>
      <c r="D480" s="70">
        <v>46132</v>
      </c>
      <c r="E480" s="67" t="s">
        <v>383</v>
      </c>
      <c r="F480" s="67" t="s">
        <v>408</v>
      </c>
      <c r="G480" s="67"/>
    </row>
    <row r="481" spans="1:7">
      <c r="A481" s="67" t="s">
        <v>872</v>
      </c>
      <c r="B481" s="67" t="s">
        <v>246</v>
      </c>
      <c r="C481" s="70">
        <v>46129</v>
      </c>
      <c r="D481" s="70">
        <v>46142</v>
      </c>
      <c r="E481" s="67" t="s">
        <v>390</v>
      </c>
      <c r="F481" s="67" t="s">
        <v>384</v>
      </c>
      <c r="G481" s="67">
        <v>5</v>
      </c>
    </row>
    <row r="482" spans="1:7">
      <c r="A482" s="67" t="s">
        <v>873</v>
      </c>
      <c r="B482" s="67" t="s">
        <v>296</v>
      </c>
      <c r="C482" s="70">
        <v>46129</v>
      </c>
      <c r="D482" s="70">
        <v>46133</v>
      </c>
      <c r="E482" s="67" t="s">
        <v>383</v>
      </c>
      <c r="F482" s="67" t="s">
        <v>394</v>
      </c>
      <c r="G482" s="67"/>
    </row>
    <row r="483" spans="1:7">
      <c r="A483" s="67" t="s">
        <v>874</v>
      </c>
      <c r="B483" s="67" t="s">
        <v>284</v>
      </c>
      <c r="C483" s="70">
        <v>46130</v>
      </c>
      <c r="D483" s="70">
        <v>46133</v>
      </c>
      <c r="E483" s="67" t="s">
        <v>404</v>
      </c>
      <c r="F483" s="67" t="s">
        <v>386</v>
      </c>
      <c r="G483" s="67"/>
    </row>
    <row r="484" spans="1:7">
      <c r="A484" s="67" t="s">
        <v>875</v>
      </c>
      <c r="B484" s="67" t="s">
        <v>334</v>
      </c>
      <c r="C484" s="70">
        <v>46131</v>
      </c>
      <c r="D484" s="70">
        <v>46134</v>
      </c>
      <c r="E484" s="67" t="s">
        <v>404</v>
      </c>
      <c r="F484" s="67" t="s">
        <v>388</v>
      </c>
      <c r="G484" s="67"/>
    </row>
    <row r="485" spans="1:7">
      <c r="A485" s="67" t="s">
        <v>876</v>
      </c>
      <c r="B485" s="67" t="s">
        <v>254</v>
      </c>
      <c r="C485" s="70">
        <v>46132</v>
      </c>
      <c r="D485" s="70">
        <v>46132</v>
      </c>
      <c r="E485" s="67" t="s">
        <v>404</v>
      </c>
      <c r="F485" s="67" t="s">
        <v>396</v>
      </c>
      <c r="G485" s="67">
        <v>5</v>
      </c>
    </row>
    <row r="486" spans="1:7">
      <c r="A486" s="67" t="s">
        <v>877</v>
      </c>
      <c r="B486" s="67" t="s">
        <v>57</v>
      </c>
      <c r="C486" s="70">
        <v>46134</v>
      </c>
      <c r="D486" s="70">
        <v>46152</v>
      </c>
      <c r="E486" s="67" t="s">
        <v>390</v>
      </c>
      <c r="F486" s="67" t="s">
        <v>384</v>
      </c>
      <c r="G486" s="67">
        <v>3</v>
      </c>
    </row>
    <row r="487" spans="1:7">
      <c r="A487" s="67" t="s">
        <v>878</v>
      </c>
      <c r="B487" s="67" t="s">
        <v>150</v>
      </c>
      <c r="C487" s="70">
        <v>46134</v>
      </c>
      <c r="D487" s="70">
        <v>46135</v>
      </c>
      <c r="E487" s="67" t="s">
        <v>404</v>
      </c>
      <c r="F487" s="67" t="s">
        <v>392</v>
      </c>
      <c r="G487" s="67"/>
    </row>
    <row r="488" spans="1:7">
      <c r="A488" s="67" t="s">
        <v>879</v>
      </c>
      <c r="B488" s="67" t="s">
        <v>44</v>
      </c>
      <c r="C488" s="70">
        <v>46136</v>
      </c>
      <c r="D488" s="70">
        <v>46139</v>
      </c>
      <c r="E488" s="67" t="s">
        <v>383</v>
      </c>
      <c r="F488" s="67" t="s">
        <v>388</v>
      </c>
      <c r="G488" s="67">
        <v>5</v>
      </c>
    </row>
    <row r="489" spans="1:7">
      <c r="A489" s="67" t="s">
        <v>880</v>
      </c>
      <c r="B489" s="67" t="s">
        <v>148</v>
      </c>
      <c r="C489" s="70">
        <v>46136</v>
      </c>
      <c r="D489" s="70">
        <v>46136</v>
      </c>
      <c r="E489" s="67" t="s">
        <v>398</v>
      </c>
      <c r="F489" s="67" t="s">
        <v>386</v>
      </c>
      <c r="G489" s="67">
        <v>4</v>
      </c>
    </row>
    <row r="490" spans="1:7">
      <c r="A490" s="67" t="s">
        <v>881</v>
      </c>
      <c r="B490" s="67" t="s">
        <v>162</v>
      </c>
      <c r="C490" s="70">
        <v>46136</v>
      </c>
      <c r="D490" s="70">
        <v>46150</v>
      </c>
      <c r="E490" s="67" t="s">
        <v>383</v>
      </c>
      <c r="F490" s="67" t="s">
        <v>384</v>
      </c>
      <c r="G490" s="67">
        <v>4</v>
      </c>
    </row>
    <row r="491" spans="1:7">
      <c r="A491" s="67" t="s">
        <v>882</v>
      </c>
      <c r="B491" s="67" t="s">
        <v>35</v>
      </c>
      <c r="C491" s="70">
        <v>46137</v>
      </c>
      <c r="D491" s="70">
        <v>46140</v>
      </c>
      <c r="E491" s="67" t="s">
        <v>398</v>
      </c>
      <c r="F491" s="67" t="s">
        <v>384</v>
      </c>
      <c r="G491" s="67"/>
    </row>
    <row r="492" spans="1:7">
      <c r="A492" s="67" t="s">
        <v>883</v>
      </c>
      <c r="B492" s="67" t="s">
        <v>260</v>
      </c>
      <c r="C492" s="70">
        <v>46137</v>
      </c>
      <c r="D492" s="70">
        <v>46145</v>
      </c>
      <c r="E492" s="67" t="s">
        <v>390</v>
      </c>
      <c r="F492" s="67" t="s">
        <v>388</v>
      </c>
      <c r="G492" s="67"/>
    </row>
    <row r="493" spans="1:7">
      <c r="A493" s="67" t="s">
        <v>884</v>
      </c>
      <c r="B493" s="67" t="s">
        <v>296</v>
      </c>
      <c r="C493" s="70">
        <v>46137</v>
      </c>
      <c r="D493" s="70">
        <v>46138</v>
      </c>
      <c r="E493" s="67" t="s">
        <v>404</v>
      </c>
      <c r="F493" s="67" t="s">
        <v>396</v>
      </c>
      <c r="G493" s="67"/>
    </row>
    <row r="494" spans="1:7">
      <c r="A494" s="67" t="s">
        <v>885</v>
      </c>
      <c r="B494" s="67" t="s">
        <v>71</v>
      </c>
      <c r="C494" s="70">
        <v>46138</v>
      </c>
      <c r="D494" s="70">
        <v>46158</v>
      </c>
      <c r="E494" s="67" t="s">
        <v>383</v>
      </c>
      <c r="F494" s="67" t="s">
        <v>384</v>
      </c>
      <c r="G494" s="67"/>
    </row>
    <row r="495" spans="1:7">
      <c r="A495" s="67" t="s">
        <v>886</v>
      </c>
      <c r="B495" s="67" t="s">
        <v>334</v>
      </c>
      <c r="C495" s="70">
        <v>46138</v>
      </c>
      <c r="D495" s="70">
        <v>46139</v>
      </c>
      <c r="E495" s="67" t="s">
        <v>383</v>
      </c>
      <c r="F495" s="67" t="s">
        <v>396</v>
      </c>
      <c r="G495" s="67">
        <v>2</v>
      </c>
    </row>
    <row r="496" spans="1:7">
      <c r="A496" s="67" t="s">
        <v>887</v>
      </c>
      <c r="B496" s="67" t="s">
        <v>340</v>
      </c>
      <c r="C496" s="70">
        <v>46138</v>
      </c>
      <c r="D496" s="70">
        <v>46205</v>
      </c>
      <c r="E496" s="67" t="s">
        <v>383</v>
      </c>
      <c r="F496" s="67" t="s">
        <v>386</v>
      </c>
      <c r="G496" s="67">
        <v>3</v>
      </c>
    </row>
    <row r="497" spans="1:7">
      <c r="A497" s="67" t="s">
        <v>888</v>
      </c>
      <c r="B497" s="67" t="s">
        <v>336</v>
      </c>
      <c r="C497" s="70">
        <v>46139</v>
      </c>
      <c r="D497" s="70">
        <v>46139</v>
      </c>
      <c r="E497" s="67" t="s">
        <v>383</v>
      </c>
      <c r="F497" s="67" t="s">
        <v>396</v>
      </c>
      <c r="G497" s="67"/>
    </row>
    <row r="498" spans="1:7">
      <c r="A498" s="67" t="s">
        <v>889</v>
      </c>
      <c r="B498" s="67" t="s">
        <v>148</v>
      </c>
      <c r="C498" s="70">
        <v>46140</v>
      </c>
      <c r="D498" s="70">
        <v>46147</v>
      </c>
      <c r="E498" s="67" t="s">
        <v>390</v>
      </c>
      <c r="F498" s="67" t="s">
        <v>392</v>
      </c>
      <c r="G498" s="67">
        <v>3</v>
      </c>
    </row>
    <row r="499" spans="1:7">
      <c r="A499" s="67" t="s">
        <v>890</v>
      </c>
      <c r="B499" s="67" t="s">
        <v>156</v>
      </c>
      <c r="C499" s="70">
        <v>46140</v>
      </c>
      <c r="D499" s="70">
        <v>46143</v>
      </c>
      <c r="E499" s="67" t="s">
        <v>383</v>
      </c>
      <c r="F499" s="67" t="s">
        <v>386</v>
      </c>
      <c r="G499" s="67">
        <v>3</v>
      </c>
    </row>
    <row r="500" spans="1:7">
      <c r="A500" s="67" t="s">
        <v>891</v>
      </c>
      <c r="B500" s="67" t="s">
        <v>282</v>
      </c>
      <c r="C500" s="70">
        <v>46140</v>
      </c>
      <c r="D500" s="70">
        <v>46145</v>
      </c>
      <c r="E500" s="67" t="s">
        <v>404</v>
      </c>
      <c r="F500" s="67" t="s">
        <v>388</v>
      </c>
      <c r="G500" s="67"/>
    </row>
    <row r="501" spans="1:7">
      <c r="A501" s="67" t="s">
        <v>892</v>
      </c>
      <c r="B501" s="67" t="s">
        <v>47</v>
      </c>
      <c r="C501" s="70">
        <v>46141</v>
      </c>
      <c r="D501" s="70">
        <v>46141</v>
      </c>
      <c r="E501" s="67" t="s">
        <v>404</v>
      </c>
      <c r="F501" s="67" t="s">
        <v>388</v>
      </c>
      <c r="G501" s="67">
        <v>3</v>
      </c>
    </row>
    <row r="502" spans="1:7">
      <c r="A502" s="67" t="s">
        <v>893</v>
      </c>
      <c r="B502" s="67" t="s">
        <v>152</v>
      </c>
      <c r="C502" s="70">
        <v>46141</v>
      </c>
      <c r="D502" s="70">
        <v>46148</v>
      </c>
      <c r="E502" s="67" t="s">
        <v>383</v>
      </c>
      <c r="F502" s="67" t="s">
        <v>386</v>
      </c>
      <c r="G502" s="67">
        <v>3</v>
      </c>
    </row>
    <row r="503" spans="1:7">
      <c r="A503" s="67" t="s">
        <v>894</v>
      </c>
      <c r="B503" s="67" t="s">
        <v>92</v>
      </c>
      <c r="C503" s="70">
        <v>46142</v>
      </c>
      <c r="D503" s="70">
        <v>46170</v>
      </c>
      <c r="E503" s="67" t="s">
        <v>390</v>
      </c>
      <c r="F503" s="67" t="s">
        <v>388</v>
      </c>
      <c r="G503" s="67"/>
    </row>
    <row r="504" spans="1:7">
      <c r="A504" s="67" t="s">
        <v>895</v>
      </c>
      <c r="B504" s="67" t="s">
        <v>220</v>
      </c>
      <c r="C504" s="70">
        <v>46142</v>
      </c>
      <c r="D504" s="70">
        <v>46142</v>
      </c>
      <c r="E504" s="67" t="s">
        <v>404</v>
      </c>
      <c r="F504" s="67" t="s">
        <v>392</v>
      </c>
      <c r="G504" s="67">
        <v>5</v>
      </c>
    </row>
    <row r="505" spans="1:7">
      <c r="A505" s="67" t="s">
        <v>896</v>
      </c>
      <c r="B505" s="67" t="s">
        <v>260</v>
      </c>
      <c r="C505" s="70">
        <v>46142</v>
      </c>
      <c r="D505" s="70">
        <v>46145</v>
      </c>
      <c r="E505" s="67" t="s">
        <v>383</v>
      </c>
      <c r="F505" s="67" t="s">
        <v>408</v>
      </c>
      <c r="G505" s="67">
        <v>2</v>
      </c>
    </row>
    <row r="506" spans="1:7">
      <c r="A506" s="67" t="s">
        <v>897</v>
      </c>
      <c r="B506" s="67" t="s">
        <v>262</v>
      </c>
      <c r="C506" s="70">
        <v>46143</v>
      </c>
      <c r="D506" s="70">
        <v>46146</v>
      </c>
      <c r="E506" s="67" t="s">
        <v>390</v>
      </c>
      <c r="F506" s="67" t="s">
        <v>392</v>
      </c>
      <c r="G506" s="67">
        <v>5</v>
      </c>
    </row>
    <row r="507" spans="1:7">
      <c r="A507" s="67" t="s">
        <v>898</v>
      </c>
      <c r="B507" s="67" t="s">
        <v>296</v>
      </c>
      <c r="C507" s="70">
        <v>46143</v>
      </c>
      <c r="D507" s="70">
        <v>46143</v>
      </c>
      <c r="E507" s="67" t="s">
        <v>390</v>
      </c>
      <c r="F507" s="67" t="s">
        <v>386</v>
      </c>
      <c r="G507" s="67">
        <v>3</v>
      </c>
    </row>
    <row r="508" spans="1:7">
      <c r="A508" s="67" t="s">
        <v>899</v>
      </c>
      <c r="B508" s="67" t="s">
        <v>346</v>
      </c>
      <c r="C508" s="70">
        <v>46143</v>
      </c>
      <c r="D508" s="70">
        <v>46143</v>
      </c>
      <c r="E508" s="67" t="s">
        <v>404</v>
      </c>
      <c r="F508" s="67" t="s">
        <v>394</v>
      </c>
      <c r="G508" s="67"/>
    </row>
    <row r="509" spans="1:7">
      <c r="A509" s="67" t="s">
        <v>900</v>
      </c>
      <c r="B509" s="67" t="s">
        <v>166</v>
      </c>
      <c r="C509" s="70">
        <v>46144</v>
      </c>
      <c r="D509" s="70">
        <v>46150</v>
      </c>
      <c r="E509" s="67" t="s">
        <v>390</v>
      </c>
      <c r="F509" s="67" t="s">
        <v>394</v>
      </c>
      <c r="G509" s="67">
        <v>1</v>
      </c>
    </row>
    <row r="510" spans="1:7">
      <c r="A510" s="67" t="s">
        <v>901</v>
      </c>
      <c r="B510" s="67" t="s">
        <v>186</v>
      </c>
      <c r="C510" s="70">
        <v>46144</v>
      </c>
      <c r="D510" s="70">
        <v>46172</v>
      </c>
      <c r="E510" s="67" t="s">
        <v>383</v>
      </c>
      <c r="F510" s="67" t="s">
        <v>392</v>
      </c>
      <c r="G510" s="67"/>
    </row>
    <row r="511" spans="1:7">
      <c r="A511" s="67" t="s">
        <v>902</v>
      </c>
      <c r="B511" s="67" t="s">
        <v>228</v>
      </c>
      <c r="C511" s="70">
        <v>46144</v>
      </c>
      <c r="D511" s="70">
        <v>46144</v>
      </c>
      <c r="E511" s="67" t="s">
        <v>398</v>
      </c>
      <c r="F511" s="67" t="s">
        <v>408</v>
      </c>
      <c r="G511" s="67"/>
    </row>
    <row r="512" spans="1:7">
      <c r="A512" s="67" t="s">
        <v>903</v>
      </c>
      <c r="B512" s="67" t="s">
        <v>110</v>
      </c>
      <c r="C512" s="70">
        <v>46147</v>
      </c>
      <c r="D512" s="70">
        <v>46148</v>
      </c>
      <c r="E512" s="67" t="s">
        <v>383</v>
      </c>
      <c r="F512" s="67" t="s">
        <v>396</v>
      </c>
      <c r="G512" s="67"/>
    </row>
    <row r="513" spans="1:7">
      <c r="A513" s="67" t="s">
        <v>904</v>
      </c>
      <c r="B513" s="67" t="s">
        <v>170</v>
      </c>
      <c r="C513" s="70">
        <v>46148</v>
      </c>
      <c r="D513" s="70">
        <v>46151</v>
      </c>
      <c r="E513" s="67" t="s">
        <v>383</v>
      </c>
      <c r="F513" s="67" t="s">
        <v>384</v>
      </c>
      <c r="G513" s="67"/>
    </row>
    <row r="514" spans="1:7">
      <c r="A514" s="67" t="s">
        <v>905</v>
      </c>
      <c r="B514" s="67" t="s">
        <v>266</v>
      </c>
      <c r="C514" s="70">
        <v>46149</v>
      </c>
      <c r="D514" s="70">
        <v>46151</v>
      </c>
      <c r="E514" s="67" t="s">
        <v>383</v>
      </c>
      <c r="F514" s="67" t="s">
        <v>394</v>
      </c>
      <c r="G514" s="67"/>
    </row>
    <row r="515" spans="1:7">
      <c r="A515" s="67" t="s">
        <v>906</v>
      </c>
      <c r="B515" s="67" t="s">
        <v>226</v>
      </c>
      <c r="C515" s="70">
        <v>46150</v>
      </c>
      <c r="D515" s="70">
        <v>46167</v>
      </c>
      <c r="E515" s="67" t="s">
        <v>383</v>
      </c>
      <c r="F515" s="67" t="s">
        <v>388</v>
      </c>
      <c r="G515" s="67">
        <v>3</v>
      </c>
    </row>
    <row r="516" spans="1:7">
      <c r="A516" s="67" t="s">
        <v>907</v>
      </c>
      <c r="B516" s="67" t="s">
        <v>124</v>
      </c>
      <c r="C516" s="70">
        <v>46151</v>
      </c>
      <c r="D516" s="70">
        <v>46171</v>
      </c>
      <c r="E516" s="67" t="s">
        <v>383</v>
      </c>
      <c r="F516" s="67" t="s">
        <v>392</v>
      </c>
      <c r="G516" s="67"/>
    </row>
    <row r="517" spans="1:7">
      <c r="A517" s="67" t="s">
        <v>908</v>
      </c>
      <c r="B517" s="67" t="s">
        <v>124</v>
      </c>
      <c r="C517" s="70">
        <v>46151</v>
      </c>
      <c r="D517" s="70">
        <v>46176</v>
      </c>
      <c r="E517" s="67" t="s">
        <v>383</v>
      </c>
      <c r="F517" s="67" t="s">
        <v>408</v>
      </c>
      <c r="G517" s="67"/>
    </row>
    <row r="518" spans="1:7">
      <c r="A518" s="67" t="s">
        <v>909</v>
      </c>
      <c r="B518" s="67" t="s">
        <v>290</v>
      </c>
      <c r="C518" s="70">
        <v>46151</v>
      </c>
      <c r="D518" s="70">
        <v>46151</v>
      </c>
      <c r="E518" s="67" t="s">
        <v>398</v>
      </c>
      <c r="F518" s="67" t="s">
        <v>388</v>
      </c>
      <c r="G518" s="67"/>
    </row>
    <row r="519" spans="1:7">
      <c r="A519" s="67" t="s">
        <v>910</v>
      </c>
      <c r="B519" s="67" t="s">
        <v>122</v>
      </c>
      <c r="C519" s="70">
        <v>46152</v>
      </c>
      <c r="D519" s="70">
        <v>46152</v>
      </c>
      <c r="E519" s="67" t="s">
        <v>383</v>
      </c>
      <c r="F519" s="67" t="s">
        <v>394</v>
      </c>
      <c r="G519" s="67"/>
    </row>
    <row r="520" spans="1:7">
      <c r="A520" s="67" t="s">
        <v>911</v>
      </c>
      <c r="B520" s="67" t="s">
        <v>168</v>
      </c>
      <c r="C520" s="70">
        <v>46152</v>
      </c>
      <c r="D520" s="70">
        <v>46154</v>
      </c>
      <c r="E520" s="67" t="s">
        <v>383</v>
      </c>
      <c r="F520" s="67" t="s">
        <v>384</v>
      </c>
      <c r="G520" s="67"/>
    </row>
    <row r="521" spans="1:7">
      <c r="A521" s="67" t="s">
        <v>912</v>
      </c>
      <c r="B521" s="67" t="s">
        <v>172</v>
      </c>
      <c r="C521" s="70">
        <v>46152</v>
      </c>
      <c r="D521" s="70">
        <v>46155</v>
      </c>
      <c r="E521" s="67" t="s">
        <v>390</v>
      </c>
      <c r="F521" s="67" t="s">
        <v>394</v>
      </c>
      <c r="G521" s="67">
        <v>5</v>
      </c>
    </row>
    <row r="522" spans="1:7">
      <c r="A522" s="67" t="s">
        <v>913</v>
      </c>
      <c r="B522" s="67" t="s">
        <v>316</v>
      </c>
      <c r="C522" s="70">
        <v>46152</v>
      </c>
      <c r="D522" s="70">
        <v>46152</v>
      </c>
      <c r="E522" s="67" t="s">
        <v>404</v>
      </c>
      <c r="F522" s="67" t="s">
        <v>386</v>
      </c>
      <c r="G522" s="67"/>
    </row>
    <row r="523" spans="1:7">
      <c r="A523" s="67" t="s">
        <v>914</v>
      </c>
      <c r="B523" s="67" t="s">
        <v>142</v>
      </c>
      <c r="C523" s="70">
        <v>46153</v>
      </c>
      <c r="D523" s="70">
        <v>46159</v>
      </c>
      <c r="E523" s="67" t="s">
        <v>383</v>
      </c>
      <c r="F523" s="67" t="s">
        <v>392</v>
      </c>
      <c r="G523" s="67">
        <v>4</v>
      </c>
    </row>
    <row r="524" spans="1:7">
      <c r="A524" s="67" t="s">
        <v>915</v>
      </c>
      <c r="B524" s="67" t="s">
        <v>260</v>
      </c>
      <c r="C524" s="70">
        <v>46153</v>
      </c>
      <c r="D524" s="70">
        <v>46172</v>
      </c>
      <c r="E524" s="67" t="s">
        <v>390</v>
      </c>
      <c r="F524" s="67" t="s">
        <v>388</v>
      </c>
      <c r="G524" s="67">
        <v>4</v>
      </c>
    </row>
    <row r="525" spans="1:7">
      <c r="A525" s="67" t="s">
        <v>916</v>
      </c>
      <c r="B525" s="67" t="s">
        <v>286</v>
      </c>
      <c r="C525" s="70">
        <v>46153</v>
      </c>
      <c r="D525" s="70">
        <v>46171</v>
      </c>
      <c r="E525" s="67" t="s">
        <v>390</v>
      </c>
      <c r="F525" s="67" t="s">
        <v>384</v>
      </c>
      <c r="G525" s="67">
        <v>3</v>
      </c>
    </row>
    <row r="526" spans="1:7">
      <c r="A526" s="67" t="s">
        <v>917</v>
      </c>
      <c r="B526" s="67" t="s">
        <v>35</v>
      </c>
      <c r="C526" s="70">
        <v>46154</v>
      </c>
      <c r="D526" s="70">
        <v>46159</v>
      </c>
      <c r="E526" s="67" t="s">
        <v>404</v>
      </c>
      <c r="F526" s="67" t="s">
        <v>388</v>
      </c>
      <c r="G526" s="67">
        <v>2</v>
      </c>
    </row>
    <row r="527" spans="1:7">
      <c r="A527" s="67" t="s">
        <v>918</v>
      </c>
      <c r="B527" s="67" t="s">
        <v>122</v>
      </c>
      <c r="C527" s="70">
        <v>46155</v>
      </c>
      <c r="D527" s="70">
        <v>46174</v>
      </c>
      <c r="E527" s="67" t="s">
        <v>390</v>
      </c>
      <c r="F527" s="67" t="s">
        <v>392</v>
      </c>
      <c r="G527" s="67"/>
    </row>
    <row r="528" spans="1:7">
      <c r="A528" s="67" t="s">
        <v>919</v>
      </c>
      <c r="B528" s="67" t="s">
        <v>124</v>
      </c>
      <c r="C528" s="70">
        <v>46155</v>
      </c>
      <c r="D528" s="70">
        <v>46160</v>
      </c>
      <c r="E528" s="67" t="s">
        <v>383</v>
      </c>
      <c r="F528" s="67" t="s">
        <v>408</v>
      </c>
      <c r="G528" s="67"/>
    </row>
    <row r="529" spans="1:7">
      <c r="A529" s="67" t="s">
        <v>920</v>
      </c>
      <c r="B529" s="67" t="s">
        <v>59</v>
      </c>
      <c r="C529" s="70">
        <v>46156</v>
      </c>
      <c r="D529" s="70">
        <v>46157</v>
      </c>
      <c r="E529" s="67" t="s">
        <v>383</v>
      </c>
      <c r="F529" s="67" t="s">
        <v>408</v>
      </c>
      <c r="G529" s="67"/>
    </row>
    <row r="530" spans="1:7">
      <c r="A530" s="67" t="s">
        <v>921</v>
      </c>
      <c r="B530" s="67" t="s">
        <v>266</v>
      </c>
      <c r="C530" s="70">
        <v>46156</v>
      </c>
      <c r="D530" s="70">
        <v>46170</v>
      </c>
      <c r="E530" s="67" t="s">
        <v>390</v>
      </c>
      <c r="F530" s="67" t="s">
        <v>396</v>
      </c>
      <c r="G530" s="67">
        <v>3</v>
      </c>
    </row>
    <row r="531" spans="1:7">
      <c r="A531" s="67" t="s">
        <v>922</v>
      </c>
      <c r="B531" s="67" t="s">
        <v>174</v>
      </c>
      <c r="C531" s="70">
        <v>46157</v>
      </c>
      <c r="D531" s="70">
        <v>46157</v>
      </c>
      <c r="E531" s="67" t="s">
        <v>404</v>
      </c>
      <c r="F531" s="67" t="s">
        <v>408</v>
      </c>
      <c r="G531" s="67">
        <v>4</v>
      </c>
    </row>
    <row r="532" spans="1:7">
      <c r="A532" s="67" t="s">
        <v>923</v>
      </c>
      <c r="B532" s="67" t="s">
        <v>116</v>
      </c>
      <c r="C532" s="70">
        <v>46158</v>
      </c>
      <c r="D532" s="70">
        <v>46159</v>
      </c>
      <c r="E532" s="67" t="s">
        <v>404</v>
      </c>
      <c r="F532" s="67" t="s">
        <v>388</v>
      </c>
      <c r="G532" s="67">
        <v>3</v>
      </c>
    </row>
    <row r="533" spans="1:7">
      <c r="A533" s="67" t="s">
        <v>924</v>
      </c>
      <c r="B533" s="67" t="s">
        <v>214</v>
      </c>
      <c r="C533" s="70">
        <v>46158</v>
      </c>
      <c r="D533" s="70">
        <v>46199</v>
      </c>
      <c r="E533" s="67" t="s">
        <v>390</v>
      </c>
      <c r="F533" s="67" t="s">
        <v>408</v>
      </c>
      <c r="G533" s="67">
        <v>2</v>
      </c>
    </row>
    <row r="534" spans="1:7">
      <c r="A534" s="67" t="s">
        <v>925</v>
      </c>
      <c r="B534" s="67" t="s">
        <v>320</v>
      </c>
      <c r="C534" s="70">
        <v>46158</v>
      </c>
      <c r="D534" s="70">
        <v>46159</v>
      </c>
      <c r="E534" s="67" t="s">
        <v>404</v>
      </c>
      <c r="F534" s="67" t="s">
        <v>384</v>
      </c>
      <c r="G534" s="67">
        <v>4</v>
      </c>
    </row>
    <row r="535" spans="1:7">
      <c r="A535" s="67" t="s">
        <v>926</v>
      </c>
      <c r="B535" s="67" t="s">
        <v>59</v>
      </c>
      <c r="C535" s="70">
        <v>46161</v>
      </c>
      <c r="D535" s="70">
        <v>46168</v>
      </c>
      <c r="E535" s="67" t="s">
        <v>383</v>
      </c>
      <c r="F535" s="67" t="s">
        <v>396</v>
      </c>
      <c r="G535" s="67"/>
    </row>
    <row r="536" spans="1:7">
      <c r="A536" s="67" t="s">
        <v>927</v>
      </c>
      <c r="B536" s="67" t="s">
        <v>98</v>
      </c>
      <c r="C536" s="70">
        <v>46162</v>
      </c>
      <c r="D536" s="70">
        <v>46234</v>
      </c>
      <c r="E536" s="67" t="s">
        <v>390</v>
      </c>
      <c r="F536" s="67" t="s">
        <v>392</v>
      </c>
      <c r="G536" s="67">
        <v>3</v>
      </c>
    </row>
    <row r="537" spans="1:7">
      <c r="A537" s="67" t="s">
        <v>928</v>
      </c>
      <c r="B537" s="67" t="s">
        <v>110</v>
      </c>
      <c r="C537" s="70">
        <v>46162</v>
      </c>
      <c r="D537" s="70">
        <v>46170</v>
      </c>
      <c r="E537" s="67" t="s">
        <v>390</v>
      </c>
      <c r="F537" s="67" t="s">
        <v>384</v>
      </c>
      <c r="G537" s="67">
        <v>2</v>
      </c>
    </row>
    <row r="538" spans="1:7">
      <c r="A538" s="67" t="s">
        <v>929</v>
      </c>
      <c r="B538" s="67" t="s">
        <v>296</v>
      </c>
      <c r="C538" s="70">
        <v>46162</v>
      </c>
      <c r="D538" s="70">
        <v>46166</v>
      </c>
      <c r="E538" s="67" t="s">
        <v>404</v>
      </c>
      <c r="F538" s="67" t="s">
        <v>392</v>
      </c>
      <c r="G538" s="67">
        <v>4</v>
      </c>
    </row>
    <row r="539" spans="1:7">
      <c r="A539" s="67" t="s">
        <v>930</v>
      </c>
      <c r="B539" s="67" t="s">
        <v>312</v>
      </c>
      <c r="C539" s="70">
        <v>46162</v>
      </c>
      <c r="D539" s="70">
        <v>46163</v>
      </c>
      <c r="E539" s="67" t="s">
        <v>383</v>
      </c>
      <c r="F539" s="67" t="s">
        <v>384</v>
      </c>
      <c r="G539" s="67"/>
    </row>
    <row r="540" spans="1:7">
      <c r="A540" s="67" t="s">
        <v>931</v>
      </c>
      <c r="B540" s="67" t="s">
        <v>136</v>
      </c>
      <c r="C540" s="70">
        <v>46163</v>
      </c>
      <c r="D540" s="70">
        <v>46174</v>
      </c>
      <c r="E540" s="67" t="s">
        <v>390</v>
      </c>
      <c r="F540" s="67" t="s">
        <v>386</v>
      </c>
      <c r="G540" s="67">
        <v>4</v>
      </c>
    </row>
    <row r="541" spans="1:7">
      <c r="A541" s="67" t="s">
        <v>932</v>
      </c>
      <c r="B541" s="67" t="s">
        <v>236</v>
      </c>
      <c r="C541" s="70">
        <v>46163</v>
      </c>
      <c r="D541" s="70">
        <v>46174</v>
      </c>
      <c r="E541" s="67" t="s">
        <v>390</v>
      </c>
      <c r="F541" s="67" t="s">
        <v>388</v>
      </c>
      <c r="G541" s="67"/>
    </row>
    <row r="542" spans="1:7">
      <c r="A542" s="67" t="s">
        <v>933</v>
      </c>
      <c r="B542" s="67" t="s">
        <v>23</v>
      </c>
      <c r="C542" s="70">
        <v>46165</v>
      </c>
      <c r="D542" s="70">
        <v>46167</v>
      </c>
      <c r="E542" s="67" t="s">
        <v>383</v>
      </c>
      <c r="F542" s="67" t="s">
        <v>396</v>
      </c>
      <c r="G542" s="67"/>
    </row>
    <row r="543" spans="1:7">
      <c r="A543" s="67" t="s">
        <v>934</v>
      </c>
      <c r="B543" s="67" t="s">
        <v>168</v>
      </c>
      <c r="C543" s="70">
        <v>46165</v>
      </c>
      <c r="D543" s="70">
        <v>46168</v>
      </c>
      <c r="E543" s="67" t="s">
        <v>383</v>
      </c>
      <c r="F543" s="67" t="s">
        <v>394</v>
      </c>
      <c r="G543" s="67">
        <v>5</v>
      </c>
    </row>
    <row r="544" spans="1:7">
      <c r="A544" s="67" t="s">
        <v>935</v>
      </c>
      <c r="B544" s="67" t="s">
        <v>54</v>
      </c>
      <c r="C544" s="70">
        <v>46167</v>
      </c>
      <c r="D544" s="70">
        <v>46167</v>
      </c>
      <c r="E544" s="67" t="s">
        <v>383</v>
      </c>
      <c r="F544" s="67" t="s">
        <v>384</v>
      </c>
      <c r="G544" s="67"/>
    </row>
    <row r="545" spans="1:7">
      <c r="A545" s="67" t="s">
        <v>936</v>
      </c>
      <c r="B545" s="67" t="s">
        <v>47</v>
      </c>
      <c r="C545" s="70">
        <v>46168</v>
      </c>
      <c r="D545" s="70">
        <v>46180</v>
      </c>
      <c r="E545" s="67" t="s">
        <v>404</v>
      </c>
      <c r="F545" s="67" t="s">
        <v>396</v>
      </c>
      <c r="G545" s="67">
        <v>2</v>
      </c>
    </row>
    <row r="546" spans="1:7">
      <c r="A546" s="67" t="s">
        <v>937</v>
      </c>
      <c r="B546" s="67" t="s">
        <v>47</v>
      </c>
      <c r="C546" s="70">
        <v>46168</v>
      </c>
      <c r="D546" s="70">
        <v>46178</v>
      </c>
      <c r="E546" s="67" t="s">
        <v>383</v>
      </c>
      <c r="F546" s="67" t="s">
        <v>386</v>
      </c>
      <c r="G546" s="67">
        <v>3</v>
      </c>
    </row>
    <row r="547" spans="1:7">
      <c r="A547" s="67" t="s">
        <v>938</v>
      </c>
      <c r="B547" s="67" t="s">
        <v>106</v>
      </c>
      <c r="C547" s="70">
        <v>46168</v>
      </c>
      <c r="D547" s="70">
        <v>46195</v>
      </c>
      <c r="E547" s="67" t="s">
        <v>390</v>
      </c>
      <c r="F547" s="67" t="s">
        <v>408</v>
      </c>
      <c r="G547" s="67">
        <v>4</v>
      </c>
    </row>
    <row r="548" spans="1:7">
      <c r="A548" s="67" t="s">
        <v>939</v>
      </c>
      <c r="B548" s="67" t="s">
        <v>182</v>
      </c>
      <c r="C548" s="70">
        <v>46168</v>
      </c>
      <c r="D548" s="70">
        <v>46169</v>
      </c>
      <c r="E548" s="67" t="s">
        <v>383</v>
      </c>
      <c r="F548" s="67" t="s">
        <v>386</v>
      </c>
      <c r="G548" s="67"/>
    </row>
    <row r="549" spans="1:7">
      <c r="A549" s="67" t="s">
        <v>940</v>
      </c>
      <c r="B549" s="67" t="s">
        <v>116</v>
      </c>
      <c r="C549" s="70">
        <v>46170</v>
      </c>
      <c r="D549" s="70">
        <v>46181</v>
      </c>
      <c r="E549" s="67" t="s">
        <v>383</v>
      </c>
      <c r="F549" s="67" t="s">
        <v>384</v>
      </c>
      <c r="G549" s="67">
        <v>5</v>
      </c>
    </row>
    <row r="550" spans="1:7">
      <c r="A550" s="67" t="s">
        <v>941</v>
      </c>
      <c r="B550" s="67" t="s">
        <v>92</v>
      </c>
      <c r="C550" s="70">
        <v>46171</v>
      </c>
      <c r="D550" s="70">
        <v>46212</v>
      </c>
      <c r="E550" s="67" t="s">
        <v>390</v>
      </c>
      <c r="F550" s="67" t="s">
        <v>386</v>
      </c>
      <c r="G550" s="67"/>
    </row>
    <row r="551" spans="1:7">
      <c r="A551" s="67" t="s">
        <v>942</v>
      </c>
      <c r="B551" s="67" t="s">
        <v>166</v>
      </c>
      <c r="C551" s="70">
        <v>46171</v>
      </c>
      <c r="D551" s="70">
        <v>46173</v>
      </c>
      <c r="E551" s="67" t="s">
        <v>383</v>
      </c>
      <c r="F551" s="67" t="s">
        <v>408</v>
      </c>
      <c r="G551" s="67"/>
    </row>
    <row r="552" spans="1:7">
      <c r="A552" s="67" t="s">
        <v>943</v>
      </c>
      <c r="B552" s="67" t="s">
        <v>174</v>
      </c>
      <c r="C552" s="70">
        <v>46171</v>
      </c>
      <c r="D552" s="70">
        <v>46181</v>
      </c>
      <c r="E552" s="67" t="s">
        <v>383</v>
      </c>
      <c r="F552" s="67" t="s">
        <v>394</v>
      </c>
      <c r="G552" s="67"/>
    </row>
    <row r="553" spans="1:7">
      <c r="A553" s="67" t="s">
        <v>944</v>
      </c>
      <c r="B553" s="67" t="s">
        <v>300</v>
      </c>
      <c r="C553" s="70">
        <v>46171</v>
      </c>
      <c r="D553" s="70">
        <v>46177</v>
      </c>
      <c r="E553" s="67" t="s">
        <v>404</v>
      </c>
      <c r="F553" s="67" t="s">
        <v>396</v>
      </c>
      <c r="G553" s="67">
        <v>4</v>
      </c>
    </row>
    <row r="554" spans="1:7">
      <c r="A554" s="67" t="s">
        <v>945</v>
      </c>
      <c r="B554" s="67" t="s">
        <v>330</v>
      </c>
      <c r="C554" s="70">
        <v>46171</v>
      </c>
      <c r="D554" s="70">
        <v>46172</v>
      </c>
      <c r="E554" s="67" t="s">
        <v>398</v>
      </c>
      <c r="F554" s="67" t="s">
        <v>388</v>
      </c>
      <c r="G554" s="67">
        <v>4</v>
      </c>
    </row>
    <row r="555" spans="1:7">
      <c r="A555" s="67" t="s">
        <v>946</v>
      </c>
      <c r="B555" s="67" t="s">
        <v>334</v>
      </c>
      <c r="C555" s="70">
        <v>46171</v>
      </c>
      <c r="D555" s="70">
        <v>46171</v>
      </c>
      <c r="E555" s="67" t="s">
        <v>398</v>
      </c>
      <c r="F555" s="67" t="s">
        <v>396</v>
      </c>
      <c r="G555" s="67">
        <v>3</v>
      </c>
    </row>
    <row r="556" spans="1:7">
      <c r="A556" s="67" t="s">
        <v>947</v>
      </c>
      <c r="B556" s="67" t="s">
        <v>166</v>
      </c>
      <c r="C556" s="70">
        <v>46173</v>
      </c>
      <c r="D556" s="70">
        <v>46174</v>
      </c>
      <c r="E556" s="67" t="s">
        <v>383</v>
      </c>
      <c r="F556" s="67" t="s">
        <v>384</v>
      </c>
      <c r="G556" s="67">
        <v>3</v>
      </c>
    </row>
    <row r="557" spans="1:7">
      <c r="A557" s="67" t="s">
        <v>948</v>
      </c>
      <c r="B557" s="67" t="s">
        <v>186</v>
      </c>
      <c r="C557" s="70">
        <v>46173</v>
      </c>
      <c r="D557" s="70">
        <v>46174</v>
      </c>
      <c r="E557" s="67" t="s">
        <v>398</v>
      </c>
      <c r="F557" s="67" t="s">
        <v>408</v>
      </c>
      <c r="G557" s="67">
        <v>4</v>
      </c>
    </row>
    <row r="558" spans="1:7">
      <c r="A558" s="67" t="s">
        <v>949</v>
      </c>
      <c r="B558" s="67" t="s">
        <v>186</v>
      </c>
      <c r="C558" s="70">
        <v>46174</v>
      </c>
      <c r="D558" s="70">
        <v>46185</v>
      </c>
      <c r="E558" s="67" t="s">
        <v>390</v>
      </c>
      <c r="F558" s="67" t="s">
        <v>392</v>
      </c>
      <c r="G558" s="67"/>
    </row>
    <row r="559" spans="1:7">
      <c r="A559" s="67" t="s">
        <v>950</v>
      </c>
      <c r="B559" s="67" t="s">
        <v>212</v>
      </c>
      <c r="C559" s="70">
        <v>46174</v>
      </c>
      <c r="D559" s="70">
        <v>46174</v>
      </c>
      <c r="E559" s="67" t="s">
        <v>383</v>
      </c>
      <c r="F559" s="67" t="s">
        <v>396</v>
      </c>
      <c r="G559" s="67">
        <v>3</v>
      </c>
    </row>
    <row r="560" spans="1:7">
      <c r="A560" s="67" t="s">
        <v>951</v>
      </c>
      <c r="B560" s="67" t="s">
        <v>240</v>
      </c>
      <c r="C560" s="70">
        <v>46174</v>
      </c>
      <c r="D560" s="70">
        <v>46177</v>
      </c>
      <c r="E560" s="67" t="s">
        <v>383</v>
      </c>
      <c r="F560" s="67" t="s">
        <v>394</v>
      </c>
      <c r="G560" s="67">
        <v>5</v>
      </c>
    </row>
    <row r="561" spans="1:7">
      <c r="A561" s="67" t="s">
        <v>952</v>
      </c>
      <c r="B561" s="67" t="s">
        <v>184</v>
      </c>
      <c r="C561" s="70">
        <v>46175</v>
      </c>
      <c r="D561" s="70">
        <v>46176</v>
      </c>
      <c r="E561" s="67" t="s">
        <v>383</v>
      </c>
      <c r="F561" s="67" t="s">
        <v>386</v>
      </c>
      <c r="G561" s="67">
        <v>5</v>
      </c>
    </row>
    <row r="562" spans="1:7">
      <c r="A562" s="67" t="s">
        <v>953</v>
      </c>
      <c r="B562" s="67" t="s">
        <v>210</v>
      </c>
      <c r="C562" s="70">
        <v>46175</v>
      </c>
      <c r="D562" s="70">
        <v>46183</v>
      </c>
      <c r="E562" s="67" t="s">
        <v>383</v>
      </c>
      <c r="F562" s="67" t="s">
        <v>394</v>
      </c>
      <c r="G562" s="67"/>
    </row>
    <row r="563" spans="1:7">
      <c r="A563" s="67" t="s">
        <v>954</v>
      </c>
      <c r="B563" s="67" t="s">
        <v>182</v>
      </c>
      <c r="C563" s="70">
        <v>46176</v>
      </c>
      <c r="D563" s="70">
        <v>46179</v>
      </c>
      <c r="E563" s="67" t="s">
        <v>383</v>
      </c>
      <c r="F563" s="67" t="s">
        <v>408</v>
      </c>
      <c r="G563" s="67">
        <v>2</v>
      </c>
    </row>
    <row r="564" spans="1:7">
      <c r="A564" s="67" t="s">
        <v>955</v>
      </c>
      <c r="B564" s="67" t="s">
        <v>224</v>
      </c>
      <c r="C564" s="70">
        <v>46176</v>
      </c>
      <c r="D564" s="70">
        <v>46178</v>
      </c>
      <c r="E564" s="67" t="s">
        <v>390</v>
      </c>
      <c r="F564" s="67" t="s">
        <v>386</v>
      </c>
      <c r="G564" s="67">
        <v>4</v>
      </c>
    </row>
    <row r="565" spans="1:7">
      <c r="A565" s="67" t="s">
        <v>956</v>
      </c>
      <c r="B565" s="67" t="s">
        <v>264</v>
      </c>
      <c r="C565" s="70">
        <v>46176</v>
      </c>
      <c r="D565" s="70">
        <v>46178</v>
      </c>
      <c r="E565" s="67" t="s">
        <v>404</v>
      </c>
      <c r="F565" s="67" t="s">
        <v>388</v>
      </c>
      <c r="G565" s="67">
        <v>4</v>
      </c>
    </row>
    <row r="566" spans="1:7">
      <c r="A566" s="67" t="s">
        <v>957</v>
      </c>
      <c r="B566" s="67" t="s">
        <v>320</v>
      </c>
      <c r="C566" s="70">
        <v>46176</v>
      </c>
      <c r="D566" s="70">
        <v>46185</v>
      </c>
      <c r="E566" s="67" t="s">
        <v>383</v>
      </c>
      <c r="F566" s="67" t="s">
        <v>396</v>
      </c>
      <c r="G566" s="67"/>
    </row>
    <row r="567" spans="1:7">
      <c r="A567" s="67" t="s">
        <v>958</v>
      </c>
      <c r="B567" s="67" t="s">
        <v>35</v>
      </c>
      <c r="C567" s="70">
        <v>46180</v>
      </c>
      <c r="D567" s="70">
        <v>46183</v>
      </c>
      <c r="E567" s="67" t="s">
        <v>383</v>
      </c>
      <c r="F567" s="67" t="s">
        <v>388</v>
      </c>
      <c r="G567" s="67">
        <v>4</v>
      </c>
    </row>
    <row r="568" spans="1:7">
      <c r="A568" s="67" t="s">
        <v>959</v>
      </c>
      <c r="B568" s="67" t="s">
        <v>92</v>
      </c>
      <c r="C568" s="70">
        <v>46180</v>
      </c>
      <c r="D568" s="70">
        <v>46201</v>
      </c>
      <c r="E568" s="67" t="s">
        <v>404</v>
      </c>
      <c r="F568" s="67" t="s">
        <v>394</v>
      </c>
      <c r="G568" s="67"/>
    </row>
    <row r="569" spans="1:7">
      <c r="A569" s="67" t="s">
        <v>960</v>
      </c>
      <c r="B569" s="67" t="s">
        <v>228</v>
      </c>
      <c r="C569" s="70">
        <v>46180</v>
      </c>
      <c r="D569" s="70">
        <v>46198</v>
      </c>
      <c r="E569" s="67" t="s">
        <v>383</v>
      </c>
      <c r="F569" s="67" t="s">
        <v>384</v>
      </c>
      <c r="G569" s="67"/>
    </row>
    <row r="570" spans="1:7">
      <c r="A570" s="67" t="s">
        <v>961</v>
      </c>
      <c r="B570" s="67" t="s">
        <v>266</v>
      </c>
      <c r="C570" s="70">
        <v>46180</v>
      </c>
      <c r="D570" s="70">
        <v>46186</v>
      </c>
      <c r="E570" s="67" t="s">
        <v>383</v>
      </c>
      <c r="F570" s="67" t="s">
        <v>388</v>
      </c>
      <c r="G570" s="67"/>
    </row>
    <row r="571" spans="1:7">
      <c r="A571" s="67" t="s">
        <v>962</v>
      </c>
      <c r="B571" s="67" t="s">
        <v>210</v>
      </c>
      <c r="C571" s="70">
        <v>46182</v>
      </c>
      <c r="D571" s="70">
        <v>46188</v>
      </c>
      <c r="E571" s="67" t="s">
        <v>390</v>
      </c>
      <c r="F571" s="67" t="s">
        <v>396</v>
      </c>
      <c r="G571" s="67"/>
    </row>
    <row r="572" spans="1:7">
      <c r="A572" s="67" t="s">
        <v>963</v>
      </c>
      <c r="B572" s="67" t="s">
        <v>276</v>
      </c>
      <c r="C572" s="70">
        <v>46182</v>
      </c>
      <c r="D572" s="70">
        <v>46186</v>
      </c>
      <c r="E572" s="67" t="s">
        <v>404</v>
      </c>
      <c r="F572" s="67" t="s">
        <v>388</v>
      </c>
      <c r="G572" s="67"/>
    </row>
    <row r="573" spans="1:7">
      <c r="A573" s="67" t="s">
        <v>964</v>
      </c>
      <c r="B573" s="67" t="s">
        <v>276</v>
      </c>
      <c r="C573" s="70">
        <v>46183</v>
      </c>
      <c r="D573" s="70">
        <v>46221</v>
      </c>
      <c r="E573" s="67" t="s">
        <v>390</v>
      </c>
      <c r="F573" s="67" t="s">
        <v>384</v>
      </c>
      <c r="G573" s="67"/>
    </row>
    <row r="574" spans="1:7">
      <c r="A574" s="67" t="s">
        <v>965</v>
      </c>
      <c r="B574" s="67" t="s">
        <v>71</v>
      </c>
      <c r="C574" s="70">
        <v>46184</v>
      </c>
      <c r="D574" s="70">
        <v>46184</v>
      </c>
      <c r="E574" s="67" t="s">
        <v>404</v>
      </c>
      <c r="F574" s="67" t="s">
        <v>392</v>
      </c>
      <c r="G574" s="67">
        <v>4</v>
      </c>
    </row>
    <row r="575" spans="1:7">
      <c r="A575" s="67" t="s">
        <v>966</v>
      </c>
      <c r="B575" s="67" t="s">
        <v>300</v>
      </c>
      <c r="C575" s="70">
        <v>46184</v>
      </c>
      <c r="D575" s="70">
        <v>46191</v>
      </c>
      <c r="E575" s="67" t="s">
        <v>383</v>
      </c>
      <c r="F575" s="67" t="s">
        <v>394</v>
      </c>
      <c r="G575" s="67"/>
    </row>
    <row r="576" spans="1:7">
      <c r="A576" s="67" t="s">
        <v>967</v>
      </c>
      <c r="B576" s="67" t="s">
        <v>280</v>
      </c>
      <c r="C576" s="70">
        <v>46185</v>
      </c>
      <c r="D576" s="70">
        <v>46195</v>
      </c>
      <c r="E576" s="67" t="s">
        <v>383</v>
      </c>
      <c r="F576" s="67" t="s">
        <v>396</v>
      </c>
      <c r="G576" s="67">
        <v>3</v>
      </c>
    </row>
    <row r="577" spans="1:7">
      <c r="A577" s="67" t="s">
        <v>968</v>
      </c>
      <c r="B577" s="67" t="s">
        <v>35</v>
      </c>
      <c r="C577" s="70">
        <v>46186</v>
      </c>
      <c r="D577" s="70">
        <v>46191</v>
      </c>
      <c r="E577" s="67" t="s">
        <v>404</v>
      </c>
      <c r="F577" s="67" t="s">
        <v>392</v>
      </c>
      <c r="G577" s="67"/>
    </row>
    <row r="578" spans="1:7">
      <c r="A578" s="67" t="s">
        <v>969</v>
      </c>
      <c r="B578" s="67" t="s">
        <v>136</v>
      </c>
      <c r="C578" s="70">
        <v>46186</v>
      </c>
      <c r="D578" s="70">
        <v>46187</v>
      </c>
      <c r="E578" s="67" t="s">
        <v>404</v>
      </c>
      <c r="F578" s="67" t="s">
        <v>388</v>
      </c>
      <c r="G578" s="67">
        <v>5</v>
      </c>
    </row>
    <row r="579" spans="1:7">
      <c r="A579" s="67" t="s">
        <v>970</v>
      </c>
      <c r="B579" s="67" t="s">
        <v>210</v>
      </c>
      <c r="C579" s="70">
        <v>46186</v>
      </c>
      <c r="D579" s="70">
        <v>46186</v>
      </c>
      <c r="E579" s="67" t="s">
        <v>383</v>
      </c>
      <c r="F579" s="67" t="s">
        <v>396</v>
      </c>
      <c r="G579" s="67"/>
    </row>
    <row r="580" spans="1:7">
      <c r="A580" s="67" t="s">
        <v>971</v>
      </c>
      <c r="B580" s="67" t="s">
        <v>274</v>
      </c>
      <c r="C580" s="70">
        <v>46186</v>
      </c>
      <c r="D580" s="70">
        <v>46252</v>
      </c>
      <c r="E580" s="67" t="s">
        <v>390</v>
      </c>
      <c r="F580" s="67" t="s">
        <v>392</v>
      </c>
      <c r="G580" s="67">
        <v>2</v>
      </c>
    </row>
    <row r="581" spans="1:7">
      <c r="A581" s="67" t="s">
        <v>972</v>
      </c>
      <c r="B581" s="67" t="s">
        <v>286</v>
      </c>
      <c r="C581" s="70">
        <v>46187</v>
      </c>
      <c r="D581" s="70">
        <v>46187</v>
      </c>
      <c r="E581" s="67" t="s">
        <v>404</v>
      </c>
      <c r="F581" s="67" t="s">
        <v>396</v>
      </c>
      <c r="G581" s="67"/>
    </row>
    <row r="582" spans="1:7">
      <c r="A582" s="67" t="s">
        <v>973</v>
      </c>
      <c r="B582" s="67" t="s">
        <v>292</v>
      </c>
      <c r="C582" s="70">
        <v>46187</v>
      </c>
      <c r="D582" s="70">
        <v>46208</v>
      </c>
      <c r="E582" s="67" t="s">
        <v>390</v>
      </c>
      <c r="F582" s="67" t="s">
        <v>392</v>
      </c>
      <c r="G582" s="67">
        <v>4</v>
      </c>
    </row>
    <row r="583" spans="1:7">
      <c r="A583" s="67" t="s">
        <v>974</v>
      </c>
      <c r="B583" s="67" t="s">
        <v>336</v>
      </c>
      <c r="C583" s="70">
        <v>46187</v>
      </c>
      <c r="D583" s="70">
        <v>46202</v>
      </c>
      <c r="E583" s="67" t="s">
        <v>383</v>
      </c>
      <c r="F583" s="67" t="s">
        <v>384</v>
      </c>
      <c r="G583" s="67">
        <v>4</v>
      </c>
    </row>
    <row r="584" spans="1:7">
      <c r="A584" s="67" t="s">
        <v>975</v>
      </c>
      <c r="B584" s="67" t="s">
        <v>342</v>
      </c>
      <c r="C584" s="70">
        <v>46187</v>
      </c>
      <c r="D584" s="70">
        <v>46208</v>
      </c>
      <c r="E584" s="67" t="s">
        <v>390</v>
      </c>
      <c r="F584" s="67" t="s">
        <v>388</v>
      </c>
      <c r="G584" s="67"/>
    </row>
    <row r="585" spans="1:7">
      <c r="A585" s="67" t="s">
        <v>976</v>
      </c>
      <c r="B585" s="67" t="s">
        <v>47</v>
      </c>
      <c r="C585" s="70">
        <v>46188</v>
      </c>
      <c r="D585" s="70">
        <v>46192</v>
      </c>
      <c r="E585" s="67" t="s">
        <v>383</v>
      </c>
      <c r="F585" s="67" t="s">
        <v>386</v>
      </c>
      <c r="G585" s="67"/>
    </row>
    <row r="586" spans="1:7">
      <c r="A586" s="67" t="s">
        <v>977</v>
      </c>
      <c r="B586" s="67" t="s">
        <v>276</v>
      </c>
      <c r="C586" s="70">
        <v>46189</v>
      </c>
      <c r="D586" s="70">
        <v>46201</v>
      </c>
      <c r="E586" s="67" t="s">
        <v>383</v>
      </c>
      <c r="F586" s="67" t="s">
        <v>408</v>
      </c>
      <c r="G586" s="67">
        <v>4</v>
      </c>
    </row>
    <row r="587" spans="1:7">
      <c r="A587" s="67" t="s">
        <v>978</v>
      </c>
      <c r="B587" s="67" t="s">
        <v>286</v>
      </c>
      <c r="C587" s="70">
        <v>46189</v>
      </c>
      <c r="D587" s="70">
        <v>46193</v>
      </c>
      <c r="E587" s="67" t="s">
        <v>383</v>
      </c>
      <c r="F587" s="67" t="s">
        <v>408</v>
      </c>
      <c r="G587" s="67">
        <v>2</v>
      </c>
    </row>
    <row r="588" spans="1:7">
      <c r="A588" s="67" t="s">
        <v>979</v>
      </c>
      <c r="B588" s="67" t="s">
        <v>336</v>
      </c>
      <c r="C588" s="70">
        <v>46189</v>
      </c>
      <c r="D588" s="70">
        <v>46189</v>
      </c>
      <c r="E588" s="67" t="s">
        <v>390</v>
      </c>
      <c r="F588" s="67" t="s">
        <v>384</v>
      </c>
      <c r="G588" s="67">
        <v>4</v>
      </c>
    </row>
    <row r="589" spans="1:7">
      <c r="A589" s="67" t="s">
        <v>980</v>
      </c>
      <c r="B589" s="67" t="s">
        <v>340</v>
      </c>
      <c r="C589" s="70">
        <v>46189</v>
      </c>
      <c r="D589" s="70">
        <v>46218</v>
      </c>
      <c r="E589" s="67" t="s">
        <v>383</v>
      </c>
      <c r="F589" s="67" t="s">
        <v>394</v>
      </c>
      <c r="G589" s="67"/>
    </row>
    <row r="590" spans="1:7">
      <c r="A590" s="67" t="s">
        <v>981</v>
      </c>
      <c r="B590" s="67" t="s">
        <v>302</v>
      </c>
      <c r="C590" s="70">
        <v>46191</v>
      </c>
      <c r="D590" s="70">
        <v>46193</v>
      </c>
      <c r="E590" s="67" t="s">
        <v>404</v>
      </c>
      <c r="F590" s="67" t="s">
        <v>392</v>
      </c>
      <c r="G590" s="67"/>
    </row>
    <row r="591" spans="1:7">
      <c r="A591" s="67" t="s">
        <v>982</v>
      </c>
      <c r="B591" s="67" t="s">
        <v>110</v>
      </c>
      <c r="C591" s="70">
        <v>46192</v>
      </c>
      <c r="D591" s="70">
        <v>46201</v>
      </c>
      <c r="E591" s="67" t="s">
        <v>404</v>
      </c>
      <c r="F591" s="67" t="s">
        <v>392</v>
      </c>
      <c r="G591" s="67">
        <v>5</v>
      </c>
    </row>
    <row r="592" spans="1:7">
      <c r="A592" s="67" t="s">
        <v>983</v>
      </c>
      <c r="B592" s="67" t="s">
        <v>194</v>
      </c>
      <c r="C592" s="70">
        <v>46192</v>
      </c>
      <c r="D592" s="70">
        <v>46194</v>
      </c>
      <c r="E592" s="67" t="s">
        <v>398</v>
      </c>
      <c r="F592" s="67" t="s">
        <v>394</v>
      </c>
      <c r="G592" s="67">
        <v>3</v>
      </c>
    </row>
    <row r="593" spans="1:7">
      <c r="A593" s="67" t="s">
        <v>984</v>
      </c>
      <c r="B593" s="67" t="s">
        <v>71</v>
      </c>
      <c r="C593" s="70">
        <v>46194</v>
      </c>
      <c r="D593" s="70">
        <v>46203</v>
      </c>
      <c r="E593" s="67" t="s">
        <v>383</v>
      </c>
      <c r="F593" s="67" t="s">
        <v>388</v>
      </c>
      <c r="G593" s="67">
        <v>4</v>
      </c>
    </row>
    <row r="594" spans="1:7">
      <c r="A594" s="67" t="s">
        <v>985</v>
      </c>
      <c r="B594" s="67" t="s">
        <v>110</v>
      </c>
      <c r="C594" s="70">
        <v>46194</v>
      </c>
      <c r="D594" s="70">
        <v>46199</v>
      </c>
      <c r="E594" s="67" t="s">
        <v>390</v>
      </c>
      <c r="F594" s="67" t="s">
        <v>392</v>
      </c>
      <c r="G594" s="67"/>
    </row>
    <row r="595" spans="1:7">
      <c r="A595" s="67" t="s">
        <v>986</v>
      </c>
      <c r="B595" s="67" t="s">
        <v>78</v>
      </c>
      <c r="C595" s="70">
        <v>46195</v>
      </c>
      <c r="D595" s="70">
        <v>46209</v>
      </c>
      <c r="E595" s="67" t="s">
        <v>390</v>
      </c>
      <c r="F595" s="67" t="s">
        <v>396</v>
      </c>
      <c r="G595" s="67"/>
    </row>
    <row r="596" spans="1:7">
      <c r="A596" s="67" t="s">
        <v>987</v>
      </c>
      <c r="B596" s="67" t="s">
        <v>334</v>
      </c>
      <c r="C596" s="70">
        <v>46195</v>
      </c>
      <c r="D596" s="70">
        <v>46201</v>
      </c>
      <c r="E596" s="67" t="s">
        <v>404</v>
      </c>
      <c r="F596" s="67" t="s">
        <v>408</v>
      </c>
      <c r="G596" s="67">
        <v>3</v>
      </c>
    </row>
    <row r="597" spans="1:7">
      <c r="A597" s="67" t="s">
        <v>988</v>
      </c>
      <c r="B597" s="67" t="s">
        <v>124</v>
      </c>
      <c r="C597" s="70">
        <v>46196</v>
      </c>
      <c r="D597" s="70">
        <v>46204</v>
      </c>
      <c r="E597" s="67" t="s">
        <v>383</v>
      </c>
      <c r="F597" s="67" t="s">
        <v>386</v>
      </c>
      <c r="G597" s="67"/>
    </row>
    <row r="598" spans="1:7">
      <c r="A598" s="67" t="s">
        <v>989</v>
      </c>
      <c r="B598" s="67" t="s">
        <v>136</v>
      </c>
      <c r="C598" s="70">
        <v>46196</v>
      </c>
      <c r="D598" s="70">
        <v>46196</v>
      </c>
      <c r="E598" s="67" t="s">
        <v>404</v>
      </c>
      <c r="F598" s="67" t="s">
        <v>392</v>
      </c>
      <c r="G598" s="67">
        <v>4</v>
      </c>
    </row>
    <row r="599" spans="1:7">
      <c r="A599" s="67" t="s">
        <v>990</v>
      </c>
      <c r="B599" s="67" t="s">
        <v>57</v>
      </c>
      <c r="C599" s="70">
        <v>46197</v>
      </c>
      <c r="D599" s="70">
        <v>46224</v>
      </c>
      <c r="E599" s="67" t="s">
        <v>390</v>
      </c>
      <c r="F599" s="67" t="s">
        <v>384</v>
      </c>
      <c r="G599" s="67">
        <v>4</v>
      </c>
    </row>
    <row r="600" spans="1:7">
      <c r="A600" s="67" t="s">
        <v>991</v>
      </c>
      <c r="B600" s="67" t="s">
        <v>71</v>
      </c>
      <c r="C600" s="70">
        <v>46198</v>
      </c>
      <c r="D600" s="70">
        <v>46200</v>
      </c>
      <c r="E600" s="67" t="s">
        <v>383</v>
      </c>
      <c r="F600" s="67" t="s">
        <v>396</v>
      </c>
      <c r="G600" s="67">
        <v>4</v>
      </c>
    </row>
    <row r="601" spans="1:7">
      <c r="A601" s="67" t="s">
        <v>992</v>
      </c>
      <c r="B601" s="67" t="s">
        <v>122</v>
      </c>
      <c r="C601" s="70">
        <v>46198</v>
      </c>
      <c r="D601" s="70">
        <v>46199</v>
      </c>
      <c r="E601" s="67" t="s">
        <v>398</v>
      </c>
      <c r="F601" s="67" t="s">
        <v>384</v>
      </c>
      <c r="G601" s="67"/>
    </row>
    <row r="602" spans="1:7">
      <c r="A602" s="67" t="s">
        <v>993</v>
      </c>
      <c r="B602" s="67" t="s">
        <v>23</v>
      </c>
      <c r="C602" s="70">
        <v>46199</v>
      </c>
      <c r="D602" s="70">
        <v>46199</v>
      </c>
      <c r="E602" s="67" t="s">
        <v>383</v>
      </c>
      <c r="F602" s="67" t="s">
        <v>394</v>
      </c>
      <c r="G602" s="67">
        <v>5</v>
      </c>
    </row>
    <row r="603" spans="1:7">
      <c r="A603" s="67" t="s">
        <v>994</v>
      </c>
      <c r="B603" s="67" t="s">
        <v>194</v>
      </c>
      <c r="C603" s="70">
        <v>46199</v>
      </c>
      <c r="D603" s="70">
        <v>46203</v>
      </c>
      <c r="E603" s="67" t="s">
        <v>390</v>
      </c>
      <c r="F603" s="67" t="s">
        <v>386</v>
      </c>
      <c r="G603" s="67"/>
    </row>
    <row r="604" spans="1:7">
      <c r="A604" s="67" t="s">
        <v>995</v>
      </c>
      <c r="B604" s="67" t="s">
        <v>110</v>
      </c>
      <c r="C604" s="70">
        <v>46200</v>
      </c>
      <c r="D604" s="70">
        <v>46201</v>
      </c>
      <c r="E604" s="67" t="s">
        <v>383</v>
      </c>
      <c r="F604" s="67" t="s">
        <v>388</v>
      </c>
      <c r="G604" s="67"/>
    </row>
    <row r="605" spans="1:7">
      <c r="A605" s="67" t="s">
        <v>996</v>
      </c>
      <c r="B605" s="67" t="s">
        <v>140</v>
      </c>
      <c r="C605" s="70">
        <v>46200</v>
      </c>
      <c r="D605" s="70">
        <v>46210</v>
      </c>
      <c r="E605" s="67" t="s">
        <v>383</v>
      </c>
      <c r="F605" s="67" t="s">
        <v>396</v>
      </c>
      <c r="G605" s="67">
        <v>3</v>
      </c>
    </row>
    <row r="606" spans="1:7">
      <c r="A606" s="67" t="s">
        <v>997</v>
      </c>
      <c r="B606" s="67" t="s">
        <v>340</v>
      </c>
      <c r="C606" s="70">
        <v>46200</v>
      </c>
      <c r="D606" s="70">
        <v>46218</v>
      </c>
      <c r="E606" s="67" t="s">
        <v>383</v>
      </c>
      <c r="F606" s="67" t="s">
        <v>394</v>
      </c>
      <c r="G606" s="67">
        <v>4</v>
      </c>
    </row>
    <row r="607" spans="1:7">
      <c r="A607" s="67" t="s">
        <v>998</v>
      </c>
      <c r="B607" s="67" t="s">
        <v>144</v>
      </c>
      <c r="C607" s="70">
        <v>46201</v>
      </c>
      <c r="D607" s="70">
        <v>46203</v>
      </c>
      <c r="E607" s="67" t="s">
        <v>390</v>
      </c>
      <c r="F607" s="67" t="s">
        <v>388</v>
      </c>
      <c r="G607" s="67">
        <v>3</v>
      </c>
    </row>
    <row r="608" spans="1:7">
      <c r="A608" s="67" t="s">
        <v>999</v>
      </c>
      <c r="B608" s="67" t="s">
        <v>250</v>
      </c>
      <c r="C608" s="70">
        <v>46202</v>
      </c>
      <c r="D608" s="70">
        <v>46228</v>
      </c>
      <c r="E608" s="67" t="s">
        <v>390</v>
      </c>
      <c r="F608" s="67" t="s">
        <v>392</v>
      </c>
      <c r="G608" s="67"/>
    </row>
    <row r="609" spans="1:7">
      <c r="A609" s="67" t="s">
        <v>1000</v>
      </c>
      <c r="B609" s="67" t="s">
        <v>166</v>
      </c>
      <c r="C609" s="70">
        <v>46203</v>
      </c>
      <c r="D609" s="70">
        <v>46210</v>
      </c>
      <c r="E609" s="67" t="s">
        <v>390</v>
      </c>
      <c r="F609" s="67" t="s">
        <v>384</v>
      </c>
      <c r="G609" s="67"/>
    </row>
    <row r="610" spans="1:7">
      <c r="A610" s="67" t="s">
        <v>1001</v>
      </c>
      <c r="B610" s="67" t="s">
        <v>228</v>
      </c>
      <c r="C610" s="70">
        <v>46203</v>
      </c>
      <c r="D610" s="70">
        <v>46211</v>
      </c>
      <c r="E610" s="67" t="s">
        <v>383</v>
      </c>
      <c r="F610" s="67" t="s">
        <v>392</v>
      </c>
      <c r="G610" s="67">
        <v>4</v>
      </c>
    </row>
    <row r="611" spans="1:7">
      <c r="A611" s="67" t="s">
        <v>1002</v>
      </c>
      <c r="B611" s="67" t="s">
        <v>212</v>
      </c>
      <c r="C611" s="70">
        <v>46205</v>
      </c>
      <c r="D611" s="70">
        <v>46205</v>
      </c>
      <c r="E611" s="67" t="s">
        <v>383</v>
      </c>
      <c r="F611" s="67" t="s">
        <v>384</v>
      </c>
      <c r="G611" s="67"/>
    </row>
    <row r="612" spans="1:7">
      <c r="A612" s="67" t="s">
        <v>1003</v>
      </c>
      <c r="B612" s="67" t="s">
        <v>310</v>
      </c>
      <c r="C612" s="70">
        <v>46205</v>
      </c>
      <c r="D612" s="70">
        <v>46243</v>
      </c>
      <c r="E612" s="67" t="s">
        <v>390</v>
      </c>
      <c r="F612" s="67" t="s">
        <v>408</v>
      </c>
      <c r="G612" s="67">
        <v>3</v>
      </c>
    </row>
    <row r="613" spans="1:7">
      <c r="A613" s="67" t="s">
        <v>1004</v>
      </c>
      <c r="B613" s="67" t="s">
        <v>57</v>
      </c>
      <c r="C613" s="70">
        <v>46206</v>
      </c>
      <c r="D613" s="70">
        <v>46213</v>
      </c>
      <c r="E613" s="67" t="s">
        <v>404</v>
      </c>
      <c r="F613" s="67" t="s">
        <v>388</v>
      </c>
      <c r="G613" s="67"/>
    </row>
    <row r="614" spans="1:7">
      <c r="A614" s="67" t="s">
        <v>1005</v>
      </c>
      <c r="B614" s="67" t="s">
        <v>98</v>
      </c>
      <c r="C614" s="70">
        <v>46206</v>
      </c>
      <c r="D614" s="70">
        <v>46213</v>
      </c>
      <c r="E614" s="67" t="s">
        <v>383</v>
      </c>
      <c r="F614" s="67" t="s">
        <v>384</v>
      </c>
      <c r="G614" s="67"/>
    </row>
    <row r="615" spans="1:7">
      <c r="A615" s="67" t="s">
        <v>1006</v>
      </c>
      <c r="B615" s="67" t="s">
        <v>124</v>
      </c>
      <c r="C615" s="70">
        <v>46206</v>
      </c>
      <c r="D615" s="70">
        <v>46206</v>
      </c>
      <c r="E615" s="67" t="s">
        <v>383</v>
      </c>
      <c r="F615" s="67" t="s">
        <v>388</v>
      </c>
      <c r="G615" s="67"/>
    </row>
    <row r="616" spans="1:7">
      <c r="A616" s="67" t="s">
        <v>1007</v>
      </c>
      <c r="B616" s="67" t="s">
        <v>236</v>
      </c>
      <c r="C616" s="70">
        <v>46206</v>
      </c>
      <c r="D616" s="70">
        <v>46208</v>
      </c>
      <c r="E616" s="67" t="s">
        <v>383</v>
      </c>
      <c r="F616" s="67" t="s">
        <v>394</v>
      </c>
      <c r="G616" s="67">
        <v>1</v>
      </c>
    </row>
    <row r="617" spans="1:7">
      <c r="A617" s="67" t="s">
        <v>1008</v>
      </c>
      <c r="B617" s="67" t="s">
        <v>328</v>
      </c>
      <c r="C617" s="70">
        <v>46206</v>
      </c>
      <c r="D617" s="70">
        <v>46206</v>
      </c>
      <c r="E617" s="67" t="s">
        <v>383</v>
      </c>
      <c r="F617" s="67" t="s">
        <v>388</v>
      </c>
      <c r="G617" s="67"/>
    </row>
    <row r="618" spans="1:7">
      <c r="A618" s="67" t="s">
        <v>1009</v>
      </c>
      <c r="B618" s="67" t="s">
        <v>106</v>
      </c>
      <c r="C618" s="70">
        <v>46207</v>
      </c>
      <c r="D618" s="70">
        <v>46215</v>
      </c>
      <c r="E618" s="67" t="s">
        <v>383</v>
      </c>
      <c r="F618" s="67" t="s">
        <v>408</v>
      </c>
      <c r="G618" s="67">
        <v>2</v>
      </c>
    </row>
    <row r="619" spans="1:7">
      <c r="A619" s="67" t="s">
        <v>1010</v>
      </c>
      <c r="B619" s="67" t="s">
        <v>124</v>
      </c>
      <c r="C619" s="70">
        <v>46207</v>
      </c>
      <c r="D619" s="70">
        <v>46235</v>
      </c>
      <c r="E619" s="67" t="s">
        <v>383</v>
      </c>
      <c r="F619" s="67" t="s">
        <v>408</v>
      </c>
      <c r="G619" s="67">
        <v>5</v>
      </c>
    </row>
    <row r="620" spans="1:7">
      <c r="A620" s="67" t="s">
        <v>1011</v>
      </c>
      <c r="B620" s="67" t="s">
        <v>124</v>
      </c>
      <c r="C620" s="70">
        <v>46207</v>
      </c>
      <c r="D620" s="70">
        <v>46219</v>
      </c>
      <c r="E620" s="67" t="s">
        <v>390</v>
      </c>
      <c r="F620" s="67" t="s">
        <v>388</v>
      </c>
      <c r="G620" s="67"/>
    </row>
    <row r="621" spans="1:7">
      <c r="A621" s="67" t="s">
        <v>1012</v>
      </c>
      <c r="B621" s="67" t="s">
        <v>71</v>
      </c>
      <c r="C621" s="70">
        <v>46208</v>
      </c>
      <c r="D621" s="70">
        <v>46216</v>
      </c>
      <c r="E621" s="67" t="s">
        <v>383</v>
      </c>
      <c r="F621" s="67" t="s">
        <v>394</v>
      </c>
      <c r="G621" s="67">
        <v>5</v>
      </c>
    </row>
    <row r="622" spans="1:7">
      <c r="A622" s="67" t="s">
        <v>1013</v>
      </c>
      <c r="B622" s="67" t="s">
        <v>176</v>
      </c>
      <c r="C622" s="70">
        <v>46208</v>
      </c>
      <c r="D622" s="70">
        <v>46209</v>
      </c>
      <c r="E622" s="67" t="s">
        <v>383</v>
      </c>
      <c r="F622" s="67" t="s">
        <v>396</v>
      </c>
      <c r="G622" s="67">
        <v>3</v>
      </c>
    </row>
    <row r="623" spans="1:7">
      <c r="A623" s="67" t="s">
        <v>1014</v>
      </c>
      <c r="B623" s="67" t="s">
        <v>208</v>
      </c>
      <c r="C623" s="70">
        <v>46208</v>
      </c>
      <c r="D623" s="70">
        <v>46235</v>
      </c>
      <c r="E623" s="67" t="s">
        <v>383</v>
      </c>
      <c r="F623" s="67" t="s">
        <v>394</v>
      </c>
      <c r="G623" s="67">
        <v>5</v>
      </c>
    </row>
    <row r="624" spans="1:7">
      <c r="A624" s="67" t="s">
        <v>1015</v>
      </c>
      <c r="B624" s="67" t="s">
        <v>140</v>
      </c>
      <c r="C624" s="70">
        <v>46210</v>
      </c>
      <c r="D624" s="70">
        <v>46212</v>
      </c>
      <c r="E624" s="67" t="s">
        <v>383</v>
      </c>
      <c r="F624" s="67" t="s">
        <v>384</v>
      </c>
      <c r="G624" s="67">
        <v>4</v>
      </c>
    </row>
    <row r="625" spans="1:7">
      <c r="A625" s="67" t="s">
        <v>1016</v>
      </c>
      <c r="B625" s="67" t="s">
        <v>152</v>
      </c>
      <c r="C625" s="70">
        <v>46210</v>
      </c>
      <c r="D625" s="70">
        <v>46212</v>
      </c>
      <c r="E625" s="67" t="s">
        <v>398</v>
      </c>
      <c r="F625" s="67" t="s">
        <v>388</v>
      </c>
      <c r="G625" s="67"/>
    </row>
    <row r="626" spans="1:7">
      <c r="A626" s="67" t="s">
        <v>1017</v>
      </c>
      <c r="B626" s="67" t="s">
        <v>290</v>
      </c>
      <c r="C626" s="70">
        <v>46210</v>
      </c>
      <c r="D626" s="70">
        <v>46210</v>
      </c>
      <c r="E626" s="67" t="s">
        <v>390</v>
      </c>
      <c r="F626" s="67" t="s">
        <v>384</v>
      </c>
      <c r="G626" s="67"/>
    </row>
    <row r="627" spans="1:7">
      <c r="A627" s="67" t="s">
        <v>1018</v>
      </c>
      <c r="B627" s="67" t="s">
        <v>292</v>
      </c>
      <c r="C627" s="70">
        <v>46210</v>
      </c>
      <c r="D627" s="70">
        <v>46210</v>
      </c>
      <c r="E627" s="67" t="s">
        <v>383</v>
      </c>
      <c r="F627" s="67" t="s">
        <v>386</v>
      </c>
      <c r="G627" s="67">
        <v>2</v>
      </c>
    </row>
    <row r="628" spans="1:7">
      <c r="A628" s="67" t="s">
        <v>1019</v>
      </c>
      <c r="B628" s="67" t="s">
        <v>300</v>
      </c>
      <c r="C628" s="70">
        <v>46210</v>
      </c>
      <c r="D628" s="70">
        <v>46214</v>
      </c>
      <c r="E628" s="67" t="s">
        <v>404</v>
      </c>
      <c r="F628" s="67" t="s">
        <v>386</v>
      </c>
      <c r="G628" s="67">
        <v>3</v>
      </c>
    </row>
    <row r="629" spans="1:7">
      <c r="A629" s="67" t="s">
        <v>1020</v>
      </c>
      <c r="B629" s="67" t="s">
        <v>122</v>
      </c>
      <c r="C629" s="70">
        <v>46211</v>
      </c>
      <c r="D629" s="70">
        <v>46223</v>
      </c>
      <c r="E629" s="67" t="s">
        <v>383</v>
      </c>
      <c r="F629" s="67" t="s">
        <v>396</v>
      </c>
      <c r="G629" s="67"/>
    </row>
    <row r="630" spans="1:7">
      <c r="A630" s="67" t="s">
        <v>1021</v>
      </c>
      <c r="B630" s="67" t="s">
        <v>122</v>
      </c>
      <c r="C630" s="70">
        <v>46211</v>
      </c>
      <c r="D630" s="70">
        <v>46235</v>
      </c>
      <c r="E630" s="67" t="s">
        <v>404</v>
      </c>
      <c r="F630" s="67" t="s">
        <v>408</v>
      </c>
      <c r="G630" s="67">
        <v>5</v>
      </c>
    </row>
    <row r="631" spans="1:7">
      <c r="A631" s="67" t="s">
        <v>1022</v>
      </c>
      <c r="B631" s="67" t="s">
        <v>202</v>
      </c>
      <c r="C631" s="70">
        <v>46211</v>
      </c>
      <c r="D631" s="70">
        <v>46221</v>
      </c>
      <c r="E631" s="67" t="s">
        <v>390</v>
      </c>
      <c r="F631" s="67" t="s">
        <v>408</v>
      </c>
      <c r="G631" s="67"/>
    </row>
    <row r="632" spans="1:7">
      <c r="A632" s="67" t="s">
        <v>1023</v>
      </c>
      <c r="B632" s="67" t="s">
        <v>194</v>
      </c>
      <c r="C632" s="70">
        <v>46212</v>
      </c>
      <c r="D632" s="70">
        <v>46213</v>
      </c>
      <c r="E632" s="67" t="s">
        <v>398</v>
      </c>
      <c r="F632" s="67" t="s">
        <v>396</v>
      </c>
      <c r="G632" s="67">
        <v>3</v>
      </c>
    </row>
    <row r="633" spans="1:7">
      <c r="A633" s="67" t="s">
        <v>1024</v>
      </c>
      <c r="B633" s="67" t="s">
        <v>160</v>
      </c>
      <c r="C633" s="70">
        <v>46213</v>
      </c>
      <c r="D633" s="70">
        <v>46228</v>
      </c>
      <c r="E633" s="67" t="s">
        <v>390</v>
      </c>
      <c r="F633" s="67" t="s">
        <v>386</v>
      </c>
      <c r="G633" s="67"/>
    </row>
    <row r="634" spans="1:7">
      <c r="A634" s="67" t="s">
        <v>1025</v>
      </c>
      <c r="B634" s="67" t="s">
        <v>194</v>
      </c>
      <c r="C634" s="70">
        <v>46213</v>
      </c>
      <c r="D634" s="70">
        <v>46214</v>
      </c>
      <c r="E634" s="67" t="s">
        <v>383</v>
      </c>
      <c r="F634" s="67" t="s">
        <v>386</v>
      </c>
      <c r="G634" s="67"/>
    </row>
    <row r="635" spans="1:7">
      <c r="A635" s="67" t="s">
        <v>1026</v>
      </c>
      <c r="B635" s="67" t="s">
        <v>224</v>
      </c>
      <c r="C635" s="70">
        <v>46214</v>
      </c>
      <c r="D635" s="70">
        <v>46221</v>
      </c>
      <c r="E635" s="67" t="s">
        <v>383</v>
      </c>
      <c r="F635" s="67" t="s">
        <v>408</v>
      </c>
      <c r="G635" s="67"/>
    </row>
    <row r="636" spans="1:7">
      <c r="A636" s="67" t="s">
        <v>1027</v>
      </c>
      <c r="B636" s="67" t="s">
        <v>252</v>
      </c>
      <c r="C636" s="70">
        <v>46214</v>
      </c>
      <c r="D636" s="70">
        <v>46214</v>
      </c>
      <c r="E636" s="67" t="s">
        <v>398</v>
      </c>
      <c r="F636" s="67" t="s">
        <v>386</v>
      </c>
      <c r="G636" s="67"/>
    </row>
    <row r="637" spans="1:7">
      <c r="A637" s="67" t="s">
        <v>1028</v>
      </c>
      <c r="B637" s="67" t="s">
        <v>124</v>
      </c>
      <c r="C637" s="70">
        <v>46215</v>
      </c>
      <c r="D637" s="70">
        <v>46222</v>
      </c>
      <c r="E637" s="67" t="s">
        <v>383</v>
      </c>
      <c r="F637" s="67" t="s">
        <v>396</v>
      </c>
      <c r="G637" s="67">
        <v>2</v>
      </c>
    </row>
    <row r="638" spans="1:7">
      <c r="A638" s="67" t="s">
        <v>1029</v>
      </c>
      <c r="B638" s="67" t="s">
        <v>35</v>
      </c>
      <c r="C638" s="70">
        <v>46216</v>
      </c>
      <c r="D638" s="70">
        <v>46216</v>
      </c>
      <c r="E638" s="67" t="s">
        <v>398</v>
      </c>
      <c r="F638" s="67" t="s">
        <v>384</v>
      </c>
      <c r="G638" s="67">
        <v>2</v>
      </c>
    </row>
    <row r="639" spans="1:7">
      <c r="A639" s="67" t="s">
        <v>1030</v>
      </c>
      <c r="B639" s="67" t="s">
        <v>126</v>
      </c>
      <c r="C639" s="70">
        <v>46216</v>
      </c>
      <c r="D639" s="70">
        <v>46216</v>
      </c>
      <c r="E639" s="67" t="s">
        <v>398</v>
      </c>
      <c r="F639" s="67" t="s">
        <v>388</v>
      </c>
      <c r="G639" s="67">
        <v>5</v>
      </c>
    </row>
    <row r="640" spans="1:7">
      <c r="A640" s="67" t="s">
        <v>1031</v>
      </c>
      <c r="B640" s="67" t="s">
        <v>198</v>
      </c>
      <c r="C640" s="70">
        <v>46216</v>
      </c>
      <c r="D640" s="70">
        <v>46216</v>
      </c>
      <c r="E640" s="67" t="s">
        <v>383</v>
      </c>
      <c r="F640" s="67" t="s">
        <v>394</v>
      </c>
      <c r="G640" s="67"/>
    </row>
    <row r="641" spans="1:7">
      <c r="A641" s="67" t="s">
        <v>1032</v>
      </c>
      <c r="B641" s="67" t="s">
        <v>90</v>
      </c>
      <c r="C641" s="70">
        <v>46217</v>
      </c>
      <c r="D641" s="70">
        <v>46239</v>
      </c>
      <c r="E641" s="67" t="s">
        <v>390</v>
      </c>
      <c r="F641" s="67" t="s">
        <v>386</v>
      </c>
      <c r="G641" s="67"/>
    </row>
    <row r="642" spans="1:7">
      <c r="A642" s="67" t="s">
        <v>1033</v>
      </c>
      <c r="B642" s="67" t="s">
        <v>228</v>
      </c>
      <c r="C642" s="70">
        <v>46217</v>
      </c>
      <c r="D642" s="70">
        <v>46230</v>
      </c>
      <c r="E642" s="67" t="s">
        <v>390</v>
      </c>
      <c r="F642" s="67" t="s">
        <v>388</v>
      </c>
      <c r="G642" s="67"/>
    </row>
    <row r="643" spans="1:7">
      <c r="A643" s="67" t="s">
        <v>1034</v>
      </c>
      <c r="B643" s="67" t="s">
        <v>142</v>
      </c>
      <c r="C643" s="70">
        <v>46218</v>
      </c>
      <c r="D643" s="70">
        <v>46222</v>
      </c>
      <c r="E643" s="67" t="s">
        <v>383</v>
      </c>
      <c r="F643" s="67" t="s">
        <v>384</v>
      </c>
      <c r="G643" s="67">
        <v>5</v>
      </c>
    </row>
    <row r="644" spans="1:7">
      <c r="A644" s="67" t="s">
        <v>1035</v>
      </c>
      <c r="B644" s="67" t="s">
        <v>166</v>
      </c>
      <c r="C644" s="70">
        <v>46218</v>
      </c>
      <c r="D644" s="70">
        <v>46228</v>
      </c>
      <c r="E644" s="67" t="s">
        <v>404</v>
      </c>
      <c r="F644" s="67" t="s">
        <v>394</v>
      </c>
      <c r="G644" s="67">
        <v>3</v>
      </c>
    </row>
    <row r="645" spans="1:7">
      <c r="A645" s="67" t="s">
        <v>1036</v>
      </c>
      <c r="B645" s="67" t="s">
        <v>306</v>
      </c>
      <c r="C645" s="70">
        <v>46218</v>
      </c>
      <c r="D645" s="70">
        <v>46218</v>
      </c>
      <c r="E645" s="67" t="s">
        <v>398</v>
      </c>
      <c r="F645" s="67" t="s">
        <v>408</v>
      </c>
      <c r="G645" s="67"/>
    </row>
    <row r="646" spans="1:7">
      <c r="A646" s="67" t="s">
        <v>1037</v>
      </c>
      <c r="B646" s="67" t="s">
        <v>186</v>
      </c>
      <c r="C646" s="70">
        <v>46219</v>
      </c>
      <c r="D646" s="70">
        <v>46219</v>
      </c>
      <c r="E646" s="67" t="s">
        <v>383</v>
      </c>
      <c r="F646" s="67" t="s">
        <v>394</v>
      </c>
      <c r="G646" s="67">
        <v>2</v>
      </c>
    </row>
    <row r="647" spans="1:7">
      <c r="A647" s="67" t="s">
        <v>1038</v>
      </c>
      <c r="B647" s="67" t="s">
        <v>266</v>
      </c>
      <c r="C647" s="70">
        <v>46220</v>
      </c>
      <c r="D647" s="70">
        <v>46279</v>
      </c>
      <c r="E647" s="67" t="s">
        <v>383</v>
      </c>
      <c r="F647" s="67" t="s">
        <v>384</v>
      </c>
      <c r="G647" s="67">
        <v>4</v>
      </c>
    </row>
    <row r="648" spans="1:7">
      <c r="A648" s="67" t="s">
        <v>1039</v>
      </c>
      <c r="B648" s="67" t="s">
        <v>152</v>
      </c>
      <c r="C648" s="70">
        <v>46221</v>
      </c>
      <c r="D648" s="70">
        <v>46222</v>
      </c>
      <c r="E648" s="67" t="s">
        <v>404</v>
      </c>
      <c r="F648" s="67" t="s">
        <v>388</v>
      </c>
      <c r="G648" s="67"/>
    </row>
    <row r="649" spans="1:7">
      <c r="A649" s="67" t="s">
        <v>1040</v>
      </c>
      <c r="B649" s="67" t="s">
        <v>166</v>
      </c>
      <c r="C649" s="70">
        <v>46221</v>
      </c>
      <c r="D649" s="70">
        <v>46224</v>
      </c>
      <c r="E649" s="67" t="s">
        <v>383</v>
      </c>
      <c r="F649" s="67" t="s">
        <v>392</v>
      </c>
      <c r="G649" s="67">
        <v>2</v>
      </c>
    </row>
    <row r="650" spans="1:7">
      <c r="A650" s="67" t="s">
        <v>1041</v>
      </c>
      <c r="B650" s="67" t="s">
        <v>284</v>
      </c>
      <c r="C650" s="70">
        <v>46221</v>
      </c>
      <c r="D650" s="70">
        <v>46223</v>
      </c>
      <c r="E650" s="67" t="s">
        <v>390</v>
      </c>
      <c r="F650" s="67" t="s">
        <v>408</v>
      </c>
      <c r="G650" s="67"/>
    </row>
    <row r="651" spans="1:7">
      <c r="A651" s="67" t="s">
        <v>1042</v>
      </c>
      <c r="B651" s="67" t="s">
        <v>182</v>
      </c>
      <c r="C651" s="70">
        <v>46222</v>
      </c>
      <c r="D651" s="70">
        <v>46231</v>
      </c>
      <c r="E651" s="67" t="s">
        <v>404</v>
      </c>
      <c r="F651" s="67" t="s">
        <v>384</v>
      </c>
      <c r="G651" s="67">
        <v>2</v>
      </c>
    </row>
    <row r="652" spans="1:7">
      <c r="A652" s="67" t="s">
        <v>1043</v>
      </c>
      <c r="B652" s="67" t="s">
        <v>108</v>
      </c>
      <c r="C652" s="70">
        <v>46223</v>
      </c>
      <c r="D652" s="70">
        <v>46224</v>
      </c>
      <c r="E652" s="67" t="s">
        <v>404</v>
      </c>
      <c r="F652" s="67" t="s">
        <v>408</v>
      </c>
      <c r="G652" s="67">
        <v>3</v>
      </c>
    </row>
    <row r="653" spans="1:7">
      <c r="A653" s="67" t="s">
        <v>1044</v>
      </c>
      <c r="B653" s="67" t="s">
        <v>144</v>
      </c>
      <c r="C653" s="70">
        <v>46223</v>
      </c>
      <c r="D653" s="70">
        <v>46232</v>
      </c>
      <c r="E653" s="67" t="s">
        <v>383</v>
      </c>
      <c r="F653" s="67" t="s">
        <v>388</v>
      </c>
      <c r="G653" s="67"/>
    </row>
    <row r="654" spans="1:7">
      <c r="A654" s="67" t="s">
        <v>1045</v>
      </c>
      <c r="B654" s="67" t="s">
        <v>172</v>
      </c>
      <c r="C654" s="70">
        <v>46223</v>
      </c>
      <c r="D654" s="70">
        <v>46244</v>
      </c>
      <c r="E654" s="67" t="s">
        <v>390</v>
      </c>
      <c r="F654" s="67" t="s">
        <v>394</v>
      </c>
      <c r="G654" s="67"/>
    </row>
    <row r="655" spans="1:7">
      <c r="A655" s="67" t="s">
        <v>1046</v>
      </c>
      <c r="B655" s="67" t="s">
        <v>286</v>
      </c>
      <c r="C655" s="70">
        <v>46223</v>
      </c>
      <c r="D655" s="70">
        <v>46224</v>
      </c>
      <c r="E655" s="67" t="s">
        <v>404</v>
      </c>
      <c r="F655" s="67" t="s">
        <v>386</v>
      </c>
      <c r="G655" s="67"/>
    </row>
    <row r="656" spans="1:7">
      <c r="A656" s="67" t="s">
        <v>1047</v>
      </c>
      <c r="B656" s="67" t="s">
        <v>312</v>
      </c>
      <c r="C656" s="70">
        <v>46223</v>
      </c>
      <c r="D656" s="70">
        <v>46223</v>
      </c>
      <c r="E656" s="67" t="s">
        <v>398</v>
      </c>
      <c r="F656" s="67" t="s">
        <v>408</v>
      </c>
      <c r="G656" s="67">
        <v>2</v>
      </c>
    </row>
    <row r="657" spans="1:7">
      <c r="A657" s="67" t="s">
        <v>1048</v>
      </c>
      <c r="B657" s="67" t="s">
        <v>202</v>
      </c>
      <c r="C657" s="70">
        <v>46224</v>
      </c>
      <c r="D657" s="70">
        <v>46232</v>
      </c>
      <c r="E657" s="67" t="s">
        <v>404</v>
      </c>
      <c r="F657" s="67" t="s">
        <v>386</v>
      </c>
      <c r="G657" s="67">
        <v>4</v>
      </c>
    </row>
    <row r="658" spans="1:7">
      <c r="A658" s="67" t="s">
        <v>1049</v>
      </c>
      <c r="B658" s="67" t="s">
        <v>98</v>
      </c>
      <c r="C658" s="70">
        <v>46225</v>
      </c>
      <c r="D658" s="70">
        <v>46256</v>
      </c>
      <c r="E658" s="67" t="s">
        <v>390</v>
      </c>
      <c r="F658" s="67" t="s">
        <v>388</v>
      </c>
      <c r="G658" s="67"/>
    </row>
    <row r="659" spans="1:7">
      <c r="A659" s="67" t="s">
        <v>1050</v>
      </c>
      <c r="B659" s="67" t="s">
        <v>122</v>
      </c>
      <c r="C659" s="70">
        <v>46225</v>
      </c>
      <c r="D659" s="70">
        <v>46242</v>
      </c>
      <c r="E659" s="67" t="s">
        <v>404</v>
      </c>
      <c r="F659" s="67" t="s">
        <v>388</v>
      </c>
      <c r="G659" s="67">
        <v>2</v>
      </c>
    </row>
    <row r="660" spans="1:7">
      <c r="A660" s="67" t="s">
        <v>1051</v>
      </c>
      <c r="B660" s="67" t="s">
        <v>110</v>
      </c>
      <c r="C660" s="70">
        <v>46226</v>
      </c>
      <c r="D660" s="70">
        <v>46230</v>
      </c>
      <c r="E660" s="67" t="s">
        <v>390</v>
      </c>
      <c r="F660" s="67" t="s">
        <v>392</v>
      </c>
      <c r="G660" s="67"/>
    </row>
    <row r="661" spans="1:7">
      <c r="A661" s="67" t="s">
        <v>1052</v>
      </c>
      <c r="B661" s="67" t="s">
        <v>202</v>
      </c>
      <c r="C661" s="70">
        <v>46226</v>
      </c>
      <c r="D661" s="70">
        <v>46230</v>
      </c>
      <c r="E661" s="67" t="s">
        <v>383</v>
      </c>
      <c r="F661" s="67" t="s">
        <v>394</v>
      </c>
      <c r="G661" s="67"/>
    </row>
    <row r="662" spans="1:7">
      <c r="A662" s="67" t="s">
        <v>1053</v>
      </c>
      <c r="B662" s="67" t="s">
        <v>272</v>
      </c>
      <c r="C662" s="70">
        <v>46226</v>
      </c>
      <c r="D662" s="70">
        <v>46245</v>
      </c>
      <c r="E662" s="67" t="s">
        <v>383</v>
      </c>
      <c r="F662" s="67" t="s">
        <v>392</v>
      </c>
      <c r="G662" s="67"/>
    </row>
    <row r="663" spans="1:7">
      <c r="A663" s="67" t="s">
        <v>1054</v>
      </c>
      <c r="B663" s="67" t="s">
        <v>302</v>
      </c>
      <c r="C663" s="70">
        <v>46226</v>
      </c>
      <c r="D663" s="70">
        <v>46246</v>
      </c>
      <c r="E663" s="67" t="s">
        <v>390</v>
      </c>
      <c r="F663" s="67" t="s">
        <v>408</v>
      </c>
      <c r="G663" s="67">
        <v>4</v>
      </c>
    </row>
    <row r="664" spans="1:7">
      <c r="A664" s="67" t="s">
        <v>1055</v>
      </c>
      <c r="B664" s="67" t="s">
        <v>334</v>
      </c>
      <c r="C664" s="70">
        <v>46226</v>
      </c>
      <c r="D664" s="70">
        <v>46226</v>
      </c>
      <c r="E664" s="67" t="s">
        <v>383</v>
      </c>
      <c r="F664" s="67" t="s">
        <v>384</v>
      </c>
      <c r="G664" s="67"/>
    </row>
    <row r="665" spans="1:7">
      <c r="A665" s="67" t="s">
        <v>1056</v>
      </c>
      <c r="B665" s="67" t="s">
        <v>71</v>
      </c>
      <c r="C665" s="70">
        <v>46228</v>
      </c>
      <c r="D665" s="70">
        <v>46228</v>
      </c>
      <c r="E665" s="67" t="s">
        <v>383</v>
      </c>
      <c r="F665" s="67" t="s">
        <v>394</v>
      </c>
      <c r="G665" s="67"/>
    </row>
    <row r="666" spans="1:7">
      <c r="A666" s="67" t="s">
        <v>1057</v>
      </c>
      <c r="B666" s="67" t="s">
        <v>71</v>
      </c>
      <c r="C666" s="70">
        <v>46228</v>
      </c>
      <c r="D666" s="70">
        <v>46249</v>
      </c>
      <c r="E666" s="67" t="s">
        <v>383</v>
      </c>
      <c r="F666" s="67" t="s">
        <v>386</v>
      </c>
      <c r="G666" s="67"/>
    </row>
    <row r="667" spans="1:7">
      <c r="A667" s="67" t="s">
        <v>1058</v>
      </c>
      <c r="B667" s="67" t="s">
        <v>292</v>
      </c>
      <c r="C667" s="70">
        <v>46228</v>
      </c>
      <c r="D667" s="70">
        <v>46233</v>
      </c>
      <c r="E667" s="67" t="s">
        <v>404</v>
      </c>
      <c r="F667" s="67" t="s">
        <v>394</v>
      </c>
      <c r="G667" s="67">
        <v>4</v>
      </c>
    </row>
    <row r="668" spans="1:7">
      <c r="A668" s="67" t="s">
        <v>1059</v>
      </c>
      <c r="B668" s="67" t="s">
        <v>312</v>
      </c>
      <c r="C668" s="70">
        <v>46229</v>
      </c>
      <c r="D668" s="70">
        <v>46233</v>
      </c>
      <c r="E668" s="67" t="s">
        <v>404</v>
      </c>
      <c r="F668" s="67" t="s">
        <v>396</v>
      </c>
      <c r="G668" s="67">
        <v>3</v>
      </c>
    </row>
    <row r="669" spans="1:7">
      <c r="A669" s="67" t="s">
        <v>1060</v>
      </c>
      <c r="B669" s="67" t="s">
        <v>69</v>
      </c>
      <c r="C669" s="70">
        <v>46230</v>
      </c>
      <c r="D669" s="70">
        <v>46230</v>
      </c>
      <c r="E669" s="67" t="s">
        <v>398</v>
      </c>
      <c r="F669" s="67" t="s">
        <v>396</v>
      </c>
      <c r="G669" s="67">
        <v>4</v>
      </c>
    </row>
    <row r="670" spans="1:7">
      <c r="A670" s="67" t="s">
        <v>1061</v>
      </c>
      <c r="B670" s="67" t="s">
        <v>120</v>
      </c>
      <c r="C670" s="70">
        <v>46230</v>
      </c>
      <c r="D670" s="70">
        <v>46238</v>
      </c>
      <c r="E670" s="67" t="s">
        <v>383</v>
      </c>
      <c r="F670" s="67" t="s">
        <v>394</v>
      </c>
      <c r="G670" s="67"/>
    </row>
    <row r="671" spans="1:7">
      <c r="A671" s="67" t="s">
        <v>1062</v>
      </c>
      <c r="B671" s="67" t="s">
        <v>182</v>
      </c>
      <c r="C671" s="70">
        <v>46231</v>
      </c>
      <c r="D671" s="70">
        <v>46236</v>
      </c>
      <c r="E671" s="67" t="s">
        <v>404</v>
      </c>
      <c r="F671" s="67" t="s">
        <v>386</v>
      </c>
      <c r="G671" s="67">
        <v>3</v>
      </c>
    </row>
    <row r="672" spans="1:7">
      <c r="A672" s="67" t="s">
        <v>1063</v>
      </c>
      <c r="B672" s="67" t="s">
        <v>296</v>
      </c>
      <c r="C672" s="70">
        <v>46231</v>
      </c>
      <c r="D672" s="70">
        <v>46231</v>
      </c>
      <c r="E672" s="67" t="s">
        <v>390</v>
      </c>
      <c r="F672" s="67" t="s">
        <v>408</v>
      </c>
      <c r="G672" s="67"/>
    </row>
    <row r="673" spans="1:7">
      <c r="A673" s="67" t="s">
        <v>1064</v>
      </c>
      <c r="B673" s="67" t="s">
        <v>35</v>
      </c>
      <c r="C673" s="70">
        <v>46232</v>
      </c>
      <c r="D673" s="70">
        <v>46240</v>
      </c>
      <c r="E673" s="67" t="s">
        <v>383</v>
      </c>
      <c r="F673" s="67" t="s">
        <v>386</v>
      </c>
      <c r="G673" s="67">
        <v>5</v>
      </c>
    </row>
    <row r="674" spans="1:7">
      <c r="A674" s="67" t="s">
        <v>1065</v>
      </c>
      <c r="B674" s="67" t="s">
        <v>272</v>
      </c>
      <c r="C674" s="70">
        <v>46232</v>
      </c>
      <c r="D674" s="70">
        <v>46234</v>
      </c>
      <c r="E674" s="67" t="s">
        <v>383</v>
      </c>
      <c r="F674" s="67" t="s">
        <v>408</v>
      </c>
      <c r="G674" s="67"/>
    </row>
    <row r="675" spans="1:7">
      <c r="A675" s="67" t="s">
        <v>1066</v>
      </c>
      <c r="B675" s="67" t="s">
        <v>276</v>
      </c>
      <c r="C675" s="70">
        <v>46232</v>
      </c>
      <c r="D675" s="70">
        <v>46234</v>
      </c>
      <c r="E675" s="67" t="s">
        <v>404</v>
      </c>
      <c r="F675" s="67" t="s">
        <v>408</v>
      </c>
      <c r="G675" s="67">
        <v>4</v>
      </c>
    </row>
    <row r="676" spans="1:7">
      <c r="A676" s="67" t="s">
        <v>1067</v>
      </c>
      <c r="B676" s="67" t="s">
        <v>286</v>
      </c>
      <c r="C676" s="70">
        <v>46233</v>
      </c>
      <c r="D676" s="70">
        <v>46239</v>
      </c>
      <c r="E676" s="67" t="s">
        <v>383</v>
      </c>
      <c r="F676" s="67" t="s">
        <v>394</v>
      </c>
      <c r="G676" s="67"/>
    </row>
    <row r="677" spans="1:7">
      <c r="A677" s="67" t="s">
        <v>1068</v>
      </c>
      <c r="B677" s="67" t="s">
        <v>300</v>
      </c>
      <c r="C677" s="70">
        <v>46235</v>
      </c>
      <c r="D677" s="70">
        <v>46248</v>
      </c>
      <c r="E677" s="67" t="s">
        <v>383</v>
      </c>
      <c r="F677" s="67" t="s">
        <v>386</v>
      </c>
      <c r="G677" s="67"/>
    </row>
    <row r="678" spans="1:7">
      <c r="A678" s="67" t="s">
        <v>1069</v>
      </c>
      <c r="B678" s="67" t="s">
        <v>194</v>
      </c>
      <c r="C678" s="70">
        <v>46236</v>
      </c>
      <c r="D678" s="70">
        <v>46239</v>
      </c>
      <c r="E678" s="67" t="s">
        <v>383</v>
      </c>
      <c r="F678" s="67" t="s">
        <v>408</v>
      </c>
      <c r="G678" s="67">
        <v>2</v>
      </c>
    </row>
    <row r="679" spans="1:7">
      <c r="A679" s="67" t="s">
        <v>1070</v>
      </c>
      <c r="B679" s="67" t="s">
        <v>35</v>
      </c>
      <c r="C679" s="70">
        <v>46237</v>
      </c>
      <c r="D679" s="70">
        <v>46251</v>
      </c>
      <c r="E679" s="67" t="s">
        <v>390</v>
      </c>
      <c r="F679" s="67" t="s">
        <v>408</v>
      </c>
      <c r="G679" s="67">
        <v>4</v>
      </c>
    </row>
    <row r="680" spans="1:7">
      <c r="A680" s="67" t="s">
        <v>1071</v>
      </c>
      <c r="B680" s="67" t="s">
        <v>264</v>
      </c>
      <c r="C680" s="70">
        <v>46237</v>
      </c>
      <c r="D680" s="70">
        <v>46252</v>
      </c>
      <c r="E680" s="67" t="s">
        <v>383</v>
      </c>
      <c r="F680" s="67" t="s">
        <v>394</v>
      </c>
      <c r="G680" s="67"/>
    </row>
    <row r="681" spans="1:7">
      <c r="A681" s="67" t="s">
        <v>1072</v>
      </c>
      <c r="B681" s="67" t="s">
        <v>51</v>
      </c>
      <c r="C681" s="70">
        <v>46238</v>
      </c>
      <c r="D681" s="70">
        <v>46252</v>
      </c>
      <c r="E681" s="67" t="s">
        <v>390</v>
      </c>
      <c r="F681" s="67" t="s">
        <v>396</v>
      </c>
      <c r="G681" s="67"/>
    </row>
    <row r="682" spans="1:7">
      <c r="A682" s="67" t="s">
        <v>1073</v>
      </c>
      <c r="B682" s="67" t="s">
        <v>106</v>
      </c>
      <c r="C682" s="70">
        <v>46239</v>
      </c>
      <c r="D682" s="70">
        <v>46239</v>
      </c>
      <c r="E682" s="67" t="s">
        <v>390</v>
      </c>
      <c r="F682" s="67" t="s">
        <v>392</v>
      </c>
      <c r="G682" s="67">
        <v>4</v>
      </c>
    </row>
    <row r="683" spans="1:7">
      <c r="A683" s="67" t="s">
        <v>1074</v>
      </c>
      <c r="B683" s="67" t="s">
        <v>122</v>
      </c>
      <c r="C683" s="70">
        <v>46239</v>
      </c>
      <c r="D683" s="70">
        <v>46248</v>
      </c>
      <c r="E683" s="67" t="s">
        <v>404</v>
      </c>
      <c r="F683" s="67" t="s">
        <v>394</v>
      </c>
      <c r="G683" s="67"/>
    </row>
    <row r="684" spans="1:7">
      <c r="A684" s="67" t="s">
        <v>1075</v>
      </c>
      <c r="B684" s="67" t="s">
        <v>152</v>
      </c>
      <c r="C684" s="70">
        <v>46239</v>
      </c>
      <c r="D684" s="70">
        <v>46246</v>
      </c>
      <c r="E684" s="67" t="s">
        <v>383</v>
      </c>
      <c r="F684" s="67" t="s">
        <v>392</v>
      </c>
      <c r="G684" s="67">
        <v>3</v>
      </c>
    </row>
    <row r="685" spans="1:7">
      <c r="A685" s="67" t="s">
        <v>1076</v>
      </c>
      <c r="B685" s="67" t="s">
        <v>166</v>
      </c>
      <c r="C685" s="70">
        <v>46239</v>
      </c>
      <c r="D685" s="70">
        <v>46248</v>
      </c>
      <c r="E685" s="67" t="s">
        <v>390</v>
      </c>
      <c r="F685" s="67" t="s">
        <v>388</v>
      </c>
      <c r="G685" s="67"/>
    </row>
    <row r="686" spans="1:7">
      <c r="A686" s="67" t="s">
        <v>1077</v>
      </c>
      <c r="B686" s="67" t="s">
        <v>254</v>
      </c>
      <c r="C686" s="70">
        <v>46239</v>
      </c>
      <c r="D686" s="70">
        <v>46239</v>
      </c>
      <c r="E686" s="67" t="s">
        <v>390</v>
      </c>
      <c r="F686" s="67" t="s">
        <v>396</v>
      </c>
      <c r="G686" s="67">
        <v>4</v>
      </c>
    </row>
    <row r="687" spans="1:7">
      <c r="A687" s="67" t="s">
        <v>1078</v>
      </c>
      <c r="B687" s="67" t="s">
        <v>300</v>
      </c>
      <c r="C687" s="70">
        <v>46239</v>
      </c>
      <c r="D687" s="70">
        <v>46239</v>
      </c>
      <c r="E687" s="67" t="s">
        <v>383</v>
      </c>
      <c r="F687" s="67" t="s">
        <v>392</v>
      </c>
      <c r="G687" s="67">
        <v>4</v>
      </c>
    </row>
    <row r="688" spans="1:7">
      <c r="A688" s="67" t="s">
        <v>1079</v>
      </c>
      <c r="B688" s="67" t="s">
        <v>54</v>
      </c>
      <c r="C688" s="70">
        <v>46240</v>
      </c>
      <c r="D688" s="70">
        <v>46268</v>
      </c>
      <c r="E688" s="67" t="s">
        <v>390</v>
      </c>
      <c r="F688" s="67" t="s">
        <v>408</v>
      </c>
      <c r="G688" s="67"/>
    </row>
    <row r="689" spans="1:7">
      <c r="A689" s="67" t="s">
        <v>1080</v>
      </c>
      <c r="B689" s="67" t="s">
        <v>96</v>
      </c>
      <c r="C689" s="70">
        <v>46240</v>
      </c>
      <c r="D689" s="70">
        <v>46240</v>
      </c>
      <c r="E689" s="67" t="s">
        <v>390</v>
      </c>
      <c r="F689" s="67" t="s">
        <v>386</v>
      </c>
      <c r="G689" s="67">
        <v>3</v>
      </c>
    </row>
    <row r="690" spans="1:7">
      <c r="A690" s="67" t="s">
        <v>1081</v>
      </c>
      <c r="B690" s="67" t="s">
        <v>124</v>
      </c>
      <c r="C690" s="70">
        <v>46240</v>
      </c>
      <c r="D690" s="70">
        <v>46242</v>
      </c>
      <c r="E690" s="67" t="s">
        <v>404</v>
      </c>
      <c r="F690" s="67" t="s">
        <v>388</v>
      </c>
      <c r="G690" s="67"/>
    </row>
    <row r="691" spans="1:7">
      <c r="A691" s="67" t="s">
        <v>1082</v>
      </c>
      <c r="B691" s="67" t="s">
        <v>212</v>
      </c>
      <c r="C691" s="70">
        <v>46240</v>
      </c>
      <c r="D691" s="70">
        <v>46240</v>
      </c>
      <c r="E691" s="67" t="s">
        <v>390</v>
      </c>
      <c r="F691" s="67" t="s">
        <v>408</v>
      </c>
      <c r="G691" s="67">
        <v>5</v>
      </c>
    </row>
    <row r="692" spans="1:7">
      <c r="A692" s="67" t="s">
        <v>1083</v>
      </c>
      <c r="B692" s="67" t="s">
        <v>218</v>
      </c>
      <c r="C692" s="70">
        <v>46240</v>
      </c>
      <c r="D692" s="70">
        <v>46245</v>
      </c>
      <c r="E692" s="67" t="s">
        <v>383</v>
      </c>
      <c r="F692" s="67" t="s">
        <v>388</v>
      </c>
      <c r="G692" s="67">
        <v>4</v>
      </c>
    </row>
    <row r="693" spans="1:7">
      <c r="A693" s="67" t="s">
        <v>1084</v>
      </c>
      <c r="B693" s="67" t="s">
        <v>340</v>
      </c>
      <c r="C693" s="70">
        <v>46241</v>
      </c>
      <c r="D693" s="70">
        <v>46244</v>
      </c>
      <c r="E693" s="67" t="s">
        <v>390</v>
      </c>
      <c r="F693" s="67" t="s">
        <v>408</v>
      </c>
      <c r="G693" s="67">
        <v>4</v>
      </c>
    </row>
    <row r="694" spans="1:7">
      <c r="A694" s="67" t="s">
        <v>1085</v>
      </c>
      <c r="B694" s="67" t="s">
        <v>51</v>
      </c>
      <c r="C694" s="70">
        <v>46243</v>
      </c>
      <c r="D694" s="70">
        <v>46250</v>
      </c>
      <c r="E694" s="67" t="s">
        <v>383</v>
      </c>
      <c r="F694" s="67" t="s">
        <v>384</v>
      </c>
      <c r="G694" s="67">
        <v>5</v>
      </c>
    </row>
    <row r="695" spans="1:7">
      <c r="A695" s="67" t="s">
        <v>1086</v>
      </c>
      <c r="B695" s="67" t="s">
        <v>98</v>
      </c>
      <c r="C695" s="70">
        <v>46243</v>
      </c>
      <c r="D695" s="70">
        <v>46244</v>
      </c>
      <c r="E695" s="67" t="s">
        <v>383</v>
      </c>
      <c r="F695" s="67" t="s">
        <v>386</v>
      </c>
      <c r="G695" s="67">
        <v>4</v>
      </c>
    </row>
    <row r="696" spans="1:7">
      <c r="A696" s="67" t="s">
        <v>1087</v>
      </c>
      <c r="B696" s="67" t="s">
        <v>276</v>
      </c>
      <c r="C696" s="70">
        <v>46243</v>
      </c>
      <c r="D696" s="70">
        <v>46248</v>
      </c>
      <c r="E696" s="67" t="s">
        <v>390</v>
      </c>
      <c r="F696" s="67" t="s">
        <v>388</v>
      </c>
      <c r="G696" s="67"/>
    </row>
    <row r="697" spans="1:7">
      <c r="A697" s="67" t="s">
        <v>1088</v>
      </c>
      <c r="B697" s="67" t="s">
        <v>152</v>
      </c>
      <c r="C697" s="70">
        <v>46244</v>
      </c>
      <c r="D697" s="70">
        <v>46263</v>
      </c>
      <c r="E697" s="67" t="s">
        <v>404</v>
      </c>
      <c r="F697" s="67" t="s">
        <v>386</v>
      </c>
      <c r="G697" s="67"/>
    </row>
    <row r="698" spans="1:7">
      <c r="A698" s="67" t="s">
        <v>1089</v>
      </c>
      <c r="B698" s="67" t="s">
        <v>302</v>
      </c>
      <c r="C698" s="70">
        <v>46244</v>
      </c>
      <c r="D698" s="70">
        <v>46245</v>
      </c>
      <c r="E698" s="67" t="s">
        <v>383</v>
      </c>
      <c r="F698" s="67" t="s">
        <v>392</v>
      </c>
      <c r="G698" s="67">
        <v>4</v>
      </c>
    </row>
    <row r="699" spans="1:7">
      <c r="A699" s="67" t="s">
        <v>1090</v>
      </c>
      <c r="B699" s="67" t="s">
        <v>124</v>
      </c>
      <c r="C699" s="70">
        <v>46245</v>
      </c>
      <c r="D699" s="70">
        <v>46246</v>
      </c>
      <c r="E699" s="67" t="s">
        <v>398</v>
      </c>
      <c r="F699" s="67" t="s">
        <v>396</v>
      </c>
      <c r="G699" s="67">
        <v>4</v>
      </c>
    </row>
    <row r="700" spans="1:7">
      <c r="A700" s="67" t="s">
        <v>1091</v>
      </c>
      <c r="B700" s="67" t="s">
        <v>212</v>
      </c>
      <c r="C700" s="70">
        <v>46245</v>
      </c>
      <c r="D700" s="70">
        <v>46245</v>
      </c>
      <c r="E700" s="67" t="s">
        <v>383</v>
      </c>
      <c r="F700" s="67" t="s">
        <v>396</v>
      </c>
      <c r="G700" s="67">
        <v>3</v>
      </c>
    </row>
    <row r="701" spans="1:7">
      <c r="A701" s="67" t="s">
        <v>1092</v>
      </c>
      <c r="B701" s="67" t="s">
        <v>246</v>
      </c>
      <c r="C701" s="70">
        <v>46245</v>
      </c>
      <c r="D701" s="70">
        <v>46245</v>
      </c>
      <c r="E701" s="67" t="s">
        <v>390</v>
      </c>
      <c r="F701" s="67" t="s">
        <v>408</v>
      </c>
      <c r="G701" s="67"/>
    </row>
    <row r="702" spans="1:7">
      <c r="A702" s="67" t="s">
        <v>1093</v>
      </c>
      <c r="B702" s="67" t="s">
        <v>334</v>
      </c>
      <c r="C702" s="70">
        <v>46245</v>
      </c>
      <c r="D702" s="70">
        <v>46253</v>
      </c>
      <c r="E702" s="67" t="s">
        <v>383</v>
      </c>
      <c r="F702" s="67" t="s">
        <v>394</v>
      </c>
      <c r="G702" s="67"/>
    </row>
    <row r="703" spans="1:7">
      <c r="A703" s="67" t="s">
        <v>1094</v>
      </c>
      <c r="B703" s="67" t="s">
        <v>244</v>
      </c>
      <c r="C703" s="70">
        <v>46246</v>
      </c>
      <c r="D703" s="70">
        <v>46246</v>
      </c>
      <c r="E703" s="67" t="s">
        <v>398</v>
      </c>
      <c r="F703" s="67" t="s">
        <v>388</v>
      </c>
      <c r="G703" s="67"/>
    </row>
    <row r="704" spans="1:7">
      <c r="A704" s="67" t="s">
        <v>1095</v>
      </c>
      <c r="B704" s="67" t="s">
        <v>316</v>
      </c>
      <c r="C704" s="70">
        <v>46247</v>
      </c>
      <c r="D704" s="70">
        <v>46247</v>
      </c>
      <c r="E704" s="67" t="s">
        <v>404</v>
      </c>
      <c r="F704" s="67" t="s">
        <v>408</v>
      </c>
      <c r="G704" s="67"/>
    </row>
    <row r="705" spans="1:7">
      <c r="A705" s="67" t="s">
        <v>1096</v>
      </c>
      <c r="B705" s="67" t="s">
        <v>276</v>
      </c>
      <c r="C705" s="70">
        <v>46250</v>
      </c>
      <c r="D705" s="70">
        <v>46273</v>
      </c>
      <c r="E705" s="67" t="s">
        <v>383</v>
      </c>
      <c r="F705" s="67" t="s">
        <v>392</v>
      </c>
      <c r="G705" s="67">
        <v>4</v>
      </c>
    </row>
    <row r="706" spans="1:7">
      <c r="A706" s="67" t="s">
        <v>1097</v>
      </c>
      <c r="B706" s="67" t="s">
        <v>300</v>
      </c>
      <c r="C706" s="70">
        <v>46250</v>
      </c>
      <c r="D706" s="70">
        <v>46271</v>
      </c>
      <c r="E706" s="67" t="s">
        <v>390</v>
      </c>
      <c r="F706" s="67" t="s">
        <v>408</v>
      </c>
      <c r="G706" s="67"/>
    </row>
    <row r="707" spans="1:7">
      <c r="A707" s="67" t="s">
        <v>1098</v>
      </c>
      <c r="B707" s="67" t="s">
        <v>334</v>
      </c>
      <c r="C707" s="70">
        <v>46250</v>
      </c>
      <c r="D707" s="70">
        <v>46292</v>
      </c>
      <c r="E707" s="67" t="s">
        <v>390</v>
      </c>
      <c r="F707" s="67" t="s">
        <v>388</v>
      </c>
      <c r="G707" s="67"/>
    </row>
    <row r="708" spans="1:7">
      <c r="A708" s="67" t="s">
        <v>1099</v>
      </c>
      <c r="B708" s="67" t="s">
        <v>106</v>
      </c>
      <c r="C708" s="70">
        <v>46251</v>
      </c>
      <c r="D708" s="70">
        <v>46267</v>
      </c>
      <c r="E708" s="67" t="s">
        <v>383</v>
      </c>
      <c r="F708" s="67" t="s">
        <v>394</v>
      </c>
      <c r="G708" s="67"/>
    </row>
    <row r="709" spans="1:7">
      <c r="A709" s="67" t="s">
        <v>1100</v>
      </c>
      <c r="B709" s="67" t="s">
        <v>154</v>
      </c>
      <c r="C709" s="70">
        <v>46251</v>
      </c>
      <c r="D709" s="70">
        <v>46265</v>
      </c>
      <c r="E709" s="67" t="s">
        <v>404</v>
      </c>
      <c r="F709" s="67" t="s">
        <v>386</v>
      </c>
      <c r="G709" s="67">
        <v>1</v>
      </c>
    </row>
    <row r="710" spans="1:7">
      <c r="A710" s="67" t="s">
        <v>1101</v>
      </c>
      <c r="B710" s="67" t="s">
        <v>174</v>
      </c>
      <c r="C710" s="70">
        <v>46251</v>
      </c>
      <c r="D710" s="70">
        <v>46256</v>
      </c>
      <c r="E710" s="67" t="s">
        <v>383</v>
      </c>
      <c r="F710" s="67" t="s">
        <v>408</v>
      </c>
      <c r="G710" s="67">
        <v>5</v>
      </c>
    </row>
    <row r="711" spans="1:7">
      <c r="A711" s="67" t="s">
        <v>1102</v>
      </c>
      <c r="B711" s="67" t="s">
        <v>194</v>
      </c>
      <c r="C711" s="70">
        <v>46251</v>
      </c>
      <c r="D711" s="70">
        <v>46252</v>
      </c>
      <c r="E711" s="67" t="s">
        <v>383</v>
      </c>
      <c r="F711" s="67" t="s">
        <v>392</v>
      </c>
      <c r="G711" s="67">
        <v>3</v>
      </c>
    </row>
    <row r="712" spans="1:7">
      <c r="A712" s="67" t="s">
        <v>1103</v>
      </c>
      <c r="B712" s="67" t="s">
        <v>152</v>
      </c>
      <c r="C712" s="70">
        <v>46252</v>
      </c>
      <c r="D712" s="70">
        <v>46257</v>
      </c>
      <c r="E712" s="67" t="s">
        <v>404</v>
      </c>
      <c r="F712" s="67" t="s">
        <v>408</v>
      </c>
      <c r="G712" s="67">
        <v>4</v>
      </c>
    </row>
    <row r="713" spans="1:7">
      <c r="A713" s="67" t="s">
        <v>1104</v>
      </c>
      <c r="B713" s="67" t="s">
        <v>122</v>
      </c>
      <c r="C713" s="70">
        <v>46253</v>
      </c>
      <c r="D713" s="70">
        <v>46254</v>
      </c>
      <c r="E713" s="67" t="s">
        <v>390</v>
      </c>
      <c r="F713" s="67" t="s">
        <v>396</v>
      </c>
      <c r="G713" s="67"/>
    </row>
    <row r="714" spans="1:7">
      <c r="A714" s="67" t="s">
        <v>1105</v>
      </c>
      <c r="B714" s="67" t="s">
        <v>186</v>
      </c>
      <c r="C714" s="70">
        <v>46253</v>
      </c>
      <c r="D714" s="70">
        <v>46261</v>
      </c>
      <c r="E714" s="67" t="s">
        <v>383</v>
      </c>
      <c r="F714" s="67" t="s">
        <v>388</v>
      </c>
      <c r="G714" s="67"/>
    </row>
    <row r="715" spans="1:7">
      <c r="A715" s="67" t="s">
        <v>1106</v>
      </c>
      <c r="B715" s="67" t="s">
        <v>212</v>
      </c>
      <c r="C715" s="70">
        <v>46254</v>
      </c>
      <c r="D715" s="70">
        <v>46262</v>
      </c>
      <c r="E715" s="67" t="s">
        <v>390</v>
      </c>
      <c r="F715" s="67" t="s">
        <v>408</v>
      </c>
      <c r="G715" s="67"/>
    </row>
    <row r="716" spans="1:7">
      <c r="A716" s="67" t="s">
        <v>1107</v>
      </c>
      <c r="B716" s="67" t="s">
        <v>272</v>
      </c>
      <c r="C716" s="70">
        <v>46254</v>
      </c>
      <c r="D716" s="70">
        <v>46260</v>
      </c>
      <c r="E716" s="67" t="s">
        <v>383</v>
      </c>
      <c r="F716" s="67" t="s">
        <v>396</v>
      </c>
      <c r="G716" s="67"/>
    </row>
    <row r="717" spans="1:7">
      <c r="A717" s="67" t="s">
        <v>1108</v>
      </c>
      <c r="B717" s="67" t="s">
        <v>336</v>
      </c>
      <c r="C717" s="70">
        <v>46254</v>
      </c>
      <c r="D717" s="70">
        <v>46257</v>
      </c>
      <c r="E717" s="67" t="s">
        <v>383</v>
      </c>
      <c r="F717" s="67" t="s">
        <v>396</v>
      </c>
      <c r="G717" s="67"/>
    </row>
    <row r="718" spans="1:7">
      <c r="A718" s="67" t="s">
        <v>1109</v>
      </c>
      <c r="B718" s="67" t="s">
        <v>126</v>
      </c>
      <c r="C718" s="70">
        <v>46255</v>
      </c>
      <c r="D718" s="70">
        <v>46256</v>
      </c>
      <c r="E718" s="67" t="s">
        <v>398</v>
      </c>
      <c r="F718" s="67" t="s">
        <v>394</v>
      </c>
      <c r="G718" s="67">
        <v>3</v>
      </c>
    </row>
    <row r="719" spans="1:7">
      <c r="A719" s="67" t="s">
        <v>1110</v>
      </c>
      <c r="B719" s="67" t="s">
        <v>190</v>
      </c>
      <c r="C719" s="70">
        <v>46255</v>
      </c>
      <c r="D719" s="70">
        <v>46255</v>
      </c>
      <c r="E719" s="67" t="s">
        <v>398</v>
      </c>
      <c r="F719" s="67" t="s">
        <v>388</v>
      </c>
      <c r="G719" s="67"/>
    </row>
    <row r="720" spans="1:7">
      <c r="A720" s="67" t="s">
        <v>1111</v>
      </c>
      <c r="B720" s="67" t="s">
        <v>228</v>
      </c>
      <c r="C720" s="70">
        <v>46256</v>
      </c>
      <c r="D720" s="70">
        <v>46260</v>
      </c>
      <c r="E720" s="67" t="s">
        <v>404</v>
      </c>
      <c r="F720" s="67" t="s">
        <v>394</v>
      </c>
      <c r="G720" s="67">
        <v>4</v>
      </c>
    </row>
    <row r="721" spans="1:7">
      <c r="A721" s="67" t="s">
        <v>1112</v>
      </c>
      <c r="B721" s="67" t="s">
        <v>35</v>
      </c>
      <c r="C721" s="70">
        <v>46257</v>
      </c>
      <c r="D721" s="70">
        <v>46258</v>
      </c>
      <c r="E721" s="67" t="s">
        <v>390</v>
      </c>
      <c r="F721" s="67" t="s">
        <v>384</v>
      </c>
      <c r="G721" s="67">
        <v>3</v>
      </c>
    </row>
    <row r="722" spans="1:7">
      <c r="A722" s="67" t="s">
        <v>1113</v>
      </c>
      <c r="B722" s="67" t="s">
        <v>118</v>
      </c>
      <c r="C722" s="70">
        <v>46257</v>
      </c>
      <c r="D722" s="70">
        <v>46264</v>
      </c>
      <c r="E722" s="67" t="s">
        <v>404</v>
      </c>
      <c r="F722" s="67" t="s">
        <v>384</v>
      </c>
      <c r="G722" s="67"/>
    </row>
    <row r="723" spans="1:7">
      <c r="A723" s="67" t="s">
        <v>1114</v>
      </c>
      <c r="B723" s="67" t="s">
        <v>152</v>
      </c>
      <c r="C723" s="70">
        <v>46257</v>
      </c>
      <c r="D723" s="70"/>
      <c r="E723" s="67" t="s">
        <v>390</v>
      </c>
      <c r="F723" s="67" t="s">
        <v>386</v>
      </c>
      <c r="G723" s="67"/>
    </row>
    <row r="724" spans="1:7">
      <c r="A724" s="67" t="s">
        <v>1115</v>
      </c>
      <c r="B724" s="67" t="s">
        <v>328</v>
      </c>
      <c r="C724" s="70">
        <v>46257</v>
      </c>
      <c r="D724" s="70">
        <v>46257</v>
      </c>
      <c r="E724" s="67" t="s">
        <v>383</v>
      </c>
      <c r="F724" s="67" t="s">
        <v>396</v>
      </c>
      <c r="G724" s="67">
        <v>4</v>
      </c>
    </row>
    <row r="725" spans="1:7">
      <c r="A725" s="67" t="s">
        <v>1116</v>
      </c>
      <c r="B725" s="67" t="s">
        <v>122</v>
      </c>
      <c r="C725" s="70">
        <v>46258</v>
      </c>
      <c r="D725" s="70">
        <v>46266</v>
      </c>
      <c r="E725" s="67" t="s">
        <v>383</v>
      </c>
      <c r="F725" s="67" t="s">
        <v>396</v>
      </c>
      <c r="G725" s="67"/>
    </row>
    <row r="726" spans="1:7">
      <c r="A726" s="67" t="s">
        <v>1117</v>
      </c>
      <c r="B726" s="67" t="s">
        <v>180</v>
      </c>
      <c r="C726" s="70">
        <v>46258</v>
      </c>
      <c r="D726" s="70">
        <v>46263</v>
      </c>
      <c r="E726" s="67" t="s">
        <v>383</v>
      </c>
      <c r="F726" s="67" t="s">
        <v>384</v>
      </c>
      <c r="G726" s="67"/>
    </row>
    <row r="727" spans="1:7">
      <c r="A727" s="67" t="s">
        <v>1118</v>
      </c>
      <c r="B727" s="67" t="s">
        <v>292</v>
      </c>
      <c r="C727" s="70">
        <v>46258</v>
      </c>
      <c r="D727" s="70">
        <v>46278</v>
      </c>
      <c r="E727" s="67" t="s">
        <v>390</v>
      </c>
      <c r="F727" s="67" t="s">
        <v>386</v>
      </c>
      <c r="G727" s="67"/>
    </row>
    <row r="728" spans="1:7">
      <c r="A728" s="67" t="s">
        <v>1119</v>
      </c>
      <c r="B728" s="67" t="s">
        <v>336</v>
      </c>
      <c r="C728" s="70">
        <v>46258</v>
      </c>
      <c r="D728" s="70">
        <v>46261</v>
      </c>
      <c r="E728" s="67" t="s">
        <v>398</v>
      </c>
      <c r="F728" s="67" t="s">
        <v>408</v>
      </c>
      <c r="G728" s="67">
        <v>4</v>
      </c>
    </row>
    <row r="729" spans="1:7">
      <c r="A729" s="67" t="s">
        <v>1120</v>
      </c>
      <c r="B729" s="67" t="s">
        <v>122</v>
      </c>
      <c r="C729" s="70">
        <v>46259</v>
      </c>
      <c r="D729" s="70">
        <v>46271</v>
      </c>
      <c r="E729" s="67" t="s">
        <v>383</v>
      </c>
      <c r="F729" s="67" t="s">
        <v>408</v>
      </c>
      <c r="G729" s="67">
        <v>2</v>
      </c>
    </row>
    <row r="730" spans="1:7">
      <c r="A730" s="67" t="s">
        <v>1121</v>
      </c>
      <c r="B730" s="67" t="s">
        <v>228</v>
      </c>
      <c r="C730" s="70">
        <v>46259</v>
      </c>
      <c r="D730" s="70">
        <v>46259</v>
      </c>
      <c r="E730" s="67" t="s">
        <v>398</v>
      </c>
      <c r="F730" s="67" t="s">
        <v>384</v>
      </c>
      <c r="G730" s="67">
        <v>3</v>
      </c>
    </row>
    <row r="731" spans="1:7">
      <c r="A731" s="67" t="s">
        <v>1122</v>
      </c>
      <c r="B731" s="67" t="s">
        <v>71</v>
      </c>
      <c r="C731" s="70">
        <v>46260</v>
      </c>
      <c r="D731" s="70">
        <v>46268</v>
      </c>
      <c r="E731" s="67" t="s">
        <v>404</v>
      </c>
      <c r="F731" s="67" t="s">
        <v>386</v>
      </c>
      <c r="G731" s="67"/>
    </row>
    <row r="732" spans="1:7">
      <c r="A732" s="67" t="s">
        <v>1123</v>
      </c>
      <c r="B732" s="67" t="s">
        <v>85</v>
      </c>
      <c r="C732" s="70">
        <v>46261</v>
      </c>
      <c r="D732" s="70"/>
      <c r="E732" s="67" t="s">
        <v>390</v>
      </c>
      <c r="F732" s="67" t="s">
        <v>396</v>
      </c>
      <c r="G732" s="67"/>
    </row>
    <row r="733" spans="1:7">
      <c r="A733" s="67" t="s">
        <v>1124</v>
      </c>
      <c r="B733" s="67" t="s">
        <v>152</v>
      </c>
      <c r="C733" s="70">
        <v>46261</v>
      </c>
      <c r="D733" s="70">
        <v>46271</v>
      </c>
      <c r="E733" s="67" t="s">
        <v>383</v>
      </c>
      <c r="F733" s="67" t="s">
        <v>386</v>
      </c>
      <c r="G733" s="67">
        <v>4</v>
      </c>
    </row>
    <row r="734" spans="1:7">
      <c r="A734" s="67" t="s">
        <v>1125</v>
      </c>
      <c r="B734" s="67" t="s">
        <v>236</v>
      </c>
      <c r="C734" s="70">
        <v>46262</v>
      </c>
      <c r="D734" s="70">
        <v>46268</v>
      </c>
      <c r="E734" s="67" t="s">
        <v>390</v>
      </c>
      <c r="F734" s="67" t="s">
        <v>386</v>
      </c>
      <c r="G734" s="67">
        <v>2</v>
      </c>
    </row>
    <row r="735" spans="1:7">
      <c r="A735" s="67" t="s">
        <v>1126</v>
      </c>
      <c r="B735" s="67" t="s">
        <v>276</v>
      </c>
      <c r="C735" s="70">
        <v>46262</v>
      </c>
      <c r="D735" s="70">
        <v>46262</v>
      </c>
      <c r="E735" s="67" t="s">
        <v>404</v>
      </c>
      <c r="F735" s="67" t="s">
        <v>394</v>
      </c>
      <c r="G735" s="67">
        <v>3</v>
      </c>
    </row>
    <row r="736" spans="1:7">
      <c r="A736" s="67" t="s">
        <v>1127</v>
      </c>
      <c r="B736" s="67" t="s">
        <v>57</v>
      </c>
      <c r="C736" s="70">
        <v>46263</v>
      </c>
      <c r="D736" s="70">
        <v>46276</v>
      </c>
      <c r="E736" s="67" t="s">
        <v>383</v>
      </c>
      <c r="F736" s="67" t="s">
        <v>396</v>
      </c>
      <c r="G736" s="67">
        <v>5</v>
      </c>
    </row>
    <row r="737" spans="1:7">
      <c r="A737" s="67" t="s">
        <v>1128</v>
      </c>
      <c r="B737" s="67" t="s">
        <v>288</v>
      </c>
      <c r="C737" s="70">
        <v>46264</v>
      </c>
      <c r="D737" s="70">
        <v>46287</v>
      </c>
      <c r="E737" s="67" t="s">
        <v>390</v>
      </c>
      <c r="F737" s="67" t="s">
        <v>388</v>
      </c>
      <c r="G737" s="67"/>
    </row>
    <row r="738" spans="1:7">
      <c r="A738" s="67" t="s">
        <v>1129</v>
      </c>
      <c r="B738" s="67" t="s">
        <v>35</v>
      </c>
      <c r="C738" s="70">
        <v>46265</v>
      </c>
      <c r="D738" s="70">
        <v>46266</v>
      </c>
      <c r="E738" s="67" t="s">
        <v>390</v>
      </c>
      <c r="F738" s="67" t="s">
        <v>394</v>
      </c>
      <c r="G738" s="67"/>
    </row>
    <row r="739" spans="1:7">
      <c r="A739" s="67" t="s">
        <v>1130</v>
      </c>
      <c r="B739" s="67" t="s">
        <v>106</v>
      </c>
      <c r="C739" s="70">
        <v>46267</v>
      </c>
      <c r="D739" s="70">
        <v>46295</v>
      </c>
      <c r="E739" s="67" t="s">
        <v>383</v>
      </c>
      <c r="F739" s="67" t="s">
        <v>394</v>
      </c>
      <c r="G739" s="67"/>
    </row>
    <row r="740" spans="1:7">
      <c r="A740" s="67" t="s">
        <v>1131</v>
      </c>
      <c r="B740" s="67" t="s">
        <v>292</v>
      </c>
      <c r="C740" s="70">
        <v>46267</v>
      </c>
      <c r="D740" s="70">
        <v>46268</v>
      </c>
      <c r="E740" s="67" t="s">
        <v>404</v>
      </c>
      <c r="F740" s="67" t="s">
        <v>386</v>
      </c>
      <c r="G740" s="67">
        <v>3</v>
      </c>
    </row>
    <row r="741" spans="1:7">
      <c r="A741" s="67" t="s">
        <v>1132</v>
      </c>
      <c r="B741" s="67" t="s">
        <v>296</v>
      </c>
      <c r="C741" s="70">
        <v>46267</v>
      </c>
      <c r="D741" s="70">
        <v>46288</v>
      </c>
      <c r="E741" s="67" t="s">
        <v>390</v>
      </c>
      <c r="F741" s="67" t="s">
        <v>386</v>
      </c>
      <c r="G741" s="67"/>
    </row>
    <row r="742" spans="1:7">
      <c r="A742" s="67" t="s">
        <v>1133</v>
      </c>
      <c r="B742" s="67" t="s">
        <v>140</v>
      </c>
      <c r="C742" s="70">
        <v>46268</v>
      </c>
      <c r="D742" s="70">
        <v>46284</v>
      </c>
      <c r="E742" s="67" t="s">
        <v>383</v>
      </c>
      <c r="F742" s="67" t="s">
        <v>392</v>
      </c>
      <c r="G742" s="67">
        <v>2</v>
      </c>
    </row>
    <row r="743" spans="1:7">
      <c r="A743" s="67" t="s">
        <v>1134</v>
      </c>
      <c r="B743" s="67" t="s">
        <v>156</v>
      </c>
      <c r="C743" s="70">
        <v>46268</v>
      </c>
      <c r="D743" s="70">
        <v>46274</v>
      </c>
      <c r="E743" s="67" t="s">
        <v>390</v>
      </c>
      <c r="F743" s="67" t="s">
        <v>396</v>
      </c>
      <c r="G743" s="67">
        <v>5</v>
      </c>
    </row>
    <row r="744" spans="1:7">
      <c r="A744" s="67" t="s">
        <v>1135</v>
      </c>
      <c r="B744" s="67" t="s">
        <v>106</v>
      </c>
      <c r="C744" s="70">
        <v>46269</v>
      </c>
      <c r="D744" s="70">
        <v>46277</v>
      </c>
      <c r="E744" s="67" t="s">
        <v>383</v>
      </c>
      <c r="F744" s="67" t="s">
        <v>386</v>
      </c>
      <c r="G744" s="67"/>
    </row>
    <row r="745" spans="1:7">
      <c r="A745" s="67" t="s">
        <v>1136</v>
      </c>
      <c r="B745" s="67" t="s">
        <v>124</v>
      </c>
      <c r="C745" s="70">
        <v>46269</v>
      </c>
      <c r="D745" s="70">
        <v>46275</v>
      </c>
      <c r="E745" s="67" t="s">
        <v>383</v>
      </c>
      <c r="F745" s="67" t="s">
        <v>392</v>
      </c>
      <c r="G745" s="67"/>
    </row>
    <row r="746" spans="1:7">
      <c r="A746" s="67" t="s">
        <v>1137</v>
      </c>
      <c r="B746" s="67" t="s">
        <v>242</v>
      </c>
      <c r="C746" s="70">
        <v>46269</v>
      </c>
      <c r="D746" s="70">
        <v>46269</v>
      </c>
      <c r="E746" s="67" t="s">
        <v>383</v>
      </c>
      <c r="F746" s="67" t="s">
        <v>388</v>
      </c>
      <c r="G746" s="67">
        <v>5</v>
      </c>
    </row>
    <row r="747" spans="1:7">
      <c r="A747" s="67" t="s">
        <v>1138</v>
      </c>
      <c r="B747" s="67" t="s">
        <v>35</v>
      </c>
      <c r="C747" s="70">
        <v>46274</v>
      </c>
      <c r="D747" s="70">
        <v>46275</v>
      </c>
      <c r="E747" s="67" t="s">
        <v>398</v>
      </c>
      <c r="F747" s="67" t="s">
        <v>408</v>
      </c>
      <c r="G747" s="67">
        <v>3</v>
      </c>
    </row>
    <row r="748" spans="1:7">
      <c r="A748" s="67" t="s">
        <v>1139</v>
      </c>
      <c r="B748" s="67" t="s">
        <v>122</v>
      </c>
      <c r="C748" s="70">
        <v>46275</v>
      </c>
      <c r="D748" s="70">
        <v>46283</v>
      </c>
      <c r="E748" s="67" t="s">
        <v>383</v>
      </c>
      <c r="F748" s="67" t="s">
        <v>384</v>
      </c>
      <c r="G748" s="67"/>
    </row>
    <row r="749" spans="1:7">
      <c r="A749" s="67" t="s">
        <v>1140</v>
      </c>
      <c r="B749" s="67" t="s">
        <v>246</v>
      </c>
      <c r="C749" s="70">
        <v>46275</v>
      </c>
      <c r="D749" s="70">
        <v>46289</v>
      </c>
      <c r="E749" s="67" t="s">
        <v>383</v>
      </c>
      <c r="F749" s="67" t="s">
        <v>388</v>
      </c>
      <c r="G749" s="67">
        <v>4</v>
      </c>
    </row>
    <row r="750" spans="1:7">
      <c r="A750" s="67" t="s">
        <v>1141</v>
      </c>
      <c r="B750" s="67" t="s">
        <v>182</v>
      </c>
      <c r="C750" s="70">
        <v>46276</v>
      </c>
      <c r="D750" s="70">
        <v>46280</v>
      </c>
      <c r="E750" s="67" t="s">
        <v>404</v>
      </c>
      <c r="F750" s="67" t="s">
        <v>392</v>
      </c>
      <c r="G750" s="67"/>
    </row>
    <row r="751" spans="1:7">
      <c r="A751" s="67" t="s">
        <v>1142</v>
      </c>
      <c r="B751" s="67" t="s">
        <v>212</v>
      </c>
      <c r="C751" s="70">
        <v>46276</v>
      </c>
      <c r="D751" s="70"/>
      <c r="E751" s="67" t="s">
        <v>390</v>
      </c>
      <c r="F751" s="67" t="s">
        <v>386</v>
      </c>
      <c r="G751" s="67"/>
    </row>
    <row r="752" spans="1:7">
      <c r="A752" s="67" t="s">
        <v>1143</v>
      </c>
      <c r="B752" s="67" t="s">
        <v>336</v>
      </c>
      <c r="C752" s="70">
        <v>46276</v>
      </c>
      <c r="D752" s="70">
        <v>46283</v>
      </c>
      <c r="E752" s="67" t="s">
        <v>383</v>
      </c>
      <c r="F752" s="67" t="s">
        <v>384</v>
      </c>
      <c r="G752" s="67">
        <v>4</v>
      </c>
    </row>
    <row r="753" spans="1:7">
      <c r="A753" s="67" t="s">
        <v>1144</v>
      </c>
      <c r="B753" s="67" t="s">
        <v>230</v>
      </c>
      <c r="C753" s="70">
        <v>46277</v>
      </c>
      <c r="D753" s="70">
        <v>46279</v>
      </c>
      <c r="E753" s="67" t="s">
        <v>383</v>
      </c>
      <c r="F753" s="67" t="s">
        <v>384</v>
      </c>
      <c r="G753" s="67">
        <v>5</v>
      </c>
    </row>
    <row r="754" spans="1:7">
      <c r="A754" s="67" t="s">
        <v>1145</v>
      </c>
      <c r="B754" s="67" t="s">
        <v>148</v>
      </c>
      <c r="C754" s="70">
        <v>46279</v>
      </c>
      <c r="D754" s="70"/>
      <c r="E754" s="67" t="s">
        <v>383</v>
      </c>
      <c r="F754" s="67" t="s">
        <v>384</v>
      </c>
      <c r="G754" s="67"/>
    </row>
    <row r="755" spans="1:7">
      <c r="A755" s="67" t="s">
        <v>1146</v>
      </c>
      <c r="B755" s="67" t="s">
        <v>126</v>
      </c>
      <c r="C755" s="70">
        <v>46281</v>
      </c>
      <c r="D755" s="70">
        <v>46285</v>
      </c>
      <c r="E755" s="67" t="s">
        <v>383</v>
      </c>
      <c r="F755" s="67" t="s">
        <v>408</v>
      </c>
      <c r="G755" s="67"/>
    </row>
    <row r="756" spans="1:7">
      <c r="A756" s="67" t="s">
        <v>1147</v>
      </c>
      <c r="B756" s="67" t="s">
        <v>144</v>
      </c>
      <c r="C756" s="70">
        <v>46281</v>
      </c>
      <c r="D756" s="70"/>
      <c r="E756" s="67" t="s">
        <v>390</v>
      </c>
      <c r="F756" s="67" t="s">
        <v>388</v>
      </c>
      <c r="G756" s="67"/>
    </row>
    <row r="757" spans="1:7">
      <c r="A757" s="67" t="s">
        <v>1148</v>
      </c>
      <c r="B757" s="67" t="s">
        <v>214</v>
      </c>
      <c r="C757" s="70">
        <v>46282</v>
      </c>
      <c r="D757" s="70">
        <v>46291</v>
      </c>
      <c r="E757" s="67" t="s">
        <v>404</v>
      </c>
      <c r="F757" s="67" t="s">
        <v>386</v>
      </c>
      <c r="G757" s="67">
        <v>4</v>
      </c>
    </row>
    <row r="758" spans="1:7">
      <c r="A758" s="67" t="s">
        <v>1149</v>
      </c>
      <c r="B758" s="67" t="s">
        <v>292</v>
      </c>
      <c r="C758" s="70">
        <v>46284</v>
      </c>
      <c r="D758" s="70">
        <v>46289</v>
      </c>
      <c r="E758" s="67" t="s">
        <v>383</v>
      </c>
      <c r="F758" s="67" t="s">
        <v>384</v>
      </c>
      <c r="G758" s="67"/>
    </row>
    <row r="759" spans="1:7">
      <c r="A759" s="67" t="s">
        <v>1150</v>
      </c>
      <c r="B759" s="67" t="s">
        <v>302</v>
      </c>
      <c r="C759" s="70">
        <v>46284</v>
      </c>
      <c r="D759" s="70">
        <v>46285</v>
      </c>
      <c r="E759" s="67" t="s">
        <v>404</v>
      </c>
      <c r="F759" s="67" t="s">
        <v>394</v>
      </c>
      <c r="G759" s="67"/>
    </row>
    <row r="760" spans="1:7">
      <c r="A760" s="67" t="s">
        <v>1151</v>
      </c>
      <c r="B760" s="67" t="s">
        <v>118</v>
      </c>
      <c r="C760" s="70">
        <v>46285</v>
      </c>
      <c r="D760" s="70">
        <v>46294</v>
      </c>
      <c r="E760" s="67" t="s">
        <v>390</v>
      </c>
      <c r="F760" s="67" t="s">
        <v>388</v>
      </c>
      <c r="G760" s="67">
        <v>5</v>
      </c>
    </row>
    <row r="761" spans="1:7">
      <c r="A761" s="67" t="s">
        <v>1152</v>
      </c>
      <c r="B761" s="67" t="s">
        <v>148</v>
      </c>
      <c r="C761" s="70">
        <v>46285</v>
      </c>
      <c r="D761" s="70">
        <v>46295</v>
      </c>
      <c r="E761" s="67" t="s">
        <v>383</v>
      </c>
      <c r="F761" s="67" t="s">
        <v>384</v>
      </c>
      <c r="G761" s="67">
        <v>4</v>
      </c>
    </row>
    <row r="762" spans="1:7">
      <c r="A762" s="67" t="s">
        <v>1153</v>
      </c>
      <c r="B762" s="67" t="s">
        <v>150</v>
      </c>
      <c r="C762" s="70">
        <v>46286</v>
      </c>
      <c r="D762" s="70">
        <v>46289</v>
      </c>
      <c r="E762" s="67" t="s">
        <v>390</v>
      </c>
      <c r="F762" s="67" t="s">
        <v>386</v>
      </c>
      <c r="G762" s="67"/>
    </row>
    <row r="763" spans="1:7">
      <c r="A763" s="67" t="s">
        <v>1154</v>
      </c>
      <c r="B763" s="67" t="s">
        <v>218</v>
      </c>
      <c r="C763" s="70">
        <v>46286</v>
      </c>
      <c r="D763" s="70">
        <v>46293</v>
      </c>
      <c r="E763" s="67" t="s">
        <v>383</v>
      </c>
      <c r="F763" s="67" t="s">
        <v>394</v>
      </c>
      <c r="G763" s="67">
        <v>4</v>
      </c>
    </row>
    <row r="764" spans="1:7">
      <c r="A764" s="67" t="s">
        <v>1155</v>
      </c>
      <c r="B764" s="67" t="s">
        <v>312</v>
      </c>
      <c r="C764" s="70">
        <v>46287</v>
      </c>
      <c r="D764" s="70"/>
      <c r="E764" s="67" t="s">
        <v>390</v>
      </c>
      <c r="F764" s="67" t="s">
        <v>386</v>
      </c>
      <c r="G764" s="67"/>
    </row>
    <row r="765" spans="1:7">
      <c r="A765" s="67" t="s">
        <v>1156</v>
      </c>
      <c r="B765" s="67" t="s">
        <v>182</v>
      </c>
      <c r="C765" s="70">
        <v>46288</v>
      </c>
      <c r="D765" s="70"/>
      <c r="E765" s="67" t="s">
        <v>383</v>
      </c>
      <c r="F765" s="67" t="s">
        <v>394</v>
      </c>
      <c r="G765" s="67"/>
    </row>
    <row r="766" spans="1:7">
      <c r="A766" s="67" t="s">
        <v>1157</v>
      </c>
      <c r="B766" s="67" t="s">
        <v>186</v>
      </c>
      <c r="C766" s="70">
        <v>46288</v>
      </c>
      <c r="D766" s="70">
        <v>46288</v>
      </c>
      <c r="E766" s="67" t="s">
        <v>404</v>
      </c>
      <c r="F766" s="67" t="s">
        <v>408</v>
      </c>
      <c r="G766" s="67">
        <v>2</v>
      </c>
    </row>
    <row r="767" spans="1:7">
      <c r="A767" s="67" t="s">
        <v>1158</v>
      </c>
      <c r="B767" s="67" t="s">
        <v>208</v>
      </c>
      <c r="C767" s="70">
        <v>46288</v>
      </c>
      <c r="D767" s="70">
        <v>46291</v>
      </c>
      <c r="E767" s="67" t="s">
        <v>383</v>
      </c>
      <c r="F767" s="67" t="s">
        <v>392</v>
      </c>
      <c r="G767" s="67">
        <v>4</v>
      </c>
    </row>
    <row r="768" spans="1:7">
      <c r="A768" s="67" t="s">
        <v>1159</v>
      </c>
      <c r="B768" s="67" t="s">
        <v>276</v>
      </c>
      <c r="C768" s="70">
        <v>46289</v>
      </c>
      <c r="D768" s="70"/>
      <c r="E768" s="67" t="s">
        <v>383</v>
      </c>
      <c r="F768" s="67" t="s">
        <v>394</v>
      </c>
      <c r="G768" s="67"/>
    </row>
    <row r="769" spans="1:7">
      <c r="A769" s="67" t="s">
        <v>1160</v>
      </c>
      <c r="B769" s="67" t="s">
        <v>300</v>
      </c>
      <c r="C769" s="70">
        <v>46289</v>
      </c>
      <c r="D769" s="70"/>
      <c r="E769" s="67" t="s">
        <v>390</v>
      </c>
      <c r="F769" s="67" t="s">
        <v>394</v>
      </c>
      <c r="G769" s="67"/>
    </row>
    <row r="770" spans="1:7">
      <c r="A770" s="67" t="s">
        <v>1161</v>
      </c>
      <c r="B770" s="67" t="s">
        <v>87</v>
      </c>
      <c r="C770" s="70">
        <v>46291</v>
      </c>
      <c r="D770" s="70"/>
      <c r="E770" s="67" t="s">
        <v>404</v>
      </c>
      <c r="F770" s="67" t="s">
        <v>392</v>
      </c>
      <c r="G770" s="67"/>
    </row>
    <row r="771" spans="1:7">
      <c r="A771" s="67" t="s">
        <v>1162</v>
      </c>
      <c r="B771" s="67" t="s">
        <v>122</v>
      </c>
      <c r="C771" s="70">
        <v>46293</v>
      </c>
      <c r="D771" s="70"/>
      <c r="E771" s="67" t="s">
        <v>383</v>
      </c>
      <c r="F771" s="67" t="s">
        <v>388</v>
      </c>
      <c r="G771" s="67"/>
    </row>
    <row r="772" spans="1:7">
      <c r="A772" s="67" t="s">
        <v>1163</v>
      </c>
      <c r="B772" s="67" t="s">
        <v>124</v>
      </c>
      <c r="C772" s="70">
        <v>46293</v>
      </c>
      <c r="D772" s="70"/>
      <c r="E772" s="67" t="s">
        <v>383</v>
      </c>
      <c r="F772" s="67" t="s">
        <v>396</v>
      </c>
      <c r="G772" s="67"/>
    </row>
    <row r="773" spans="1:7">
      <c r="A773" s="67" t="s">
        <v>1164</v>
      </c>
      <c r="B773" s="67" t="s">
        <v>186</v>
      </c>
      <c r="C773" s="70">
        <v>46293</v>
      </c>
      <c r="D773" s="70">
        <v>46295</v>
      </c>
      <c r="E773" s="67" t="s">
        <v>383</v>
      </c>
      <c r="F773" s="67" t="s">
        <v>386</v>
      </c>
      <c r="G773" s="67"/>
    </row>
    <row r="774" spans="1:7">
      <c r="A774" s="67" t="s">
        <v>1165</v>
      </c>
      <c r="B774" s="67" t="s">
        <v>284</v>
      </c>
      <c r="C774" s="70">
        <v>46294</v>
      </c>
      <c r="D774" s="70"/>
      <c r="E774" s="67" t="s">
        <v>390</v>
      </c>
      <c r="F774" s="67" t="s">
        <v>396</v>
      </c>
      <c r="G774" s="67"/>
    </row>
    <row r="775" spans="1:7">
      <c r="A775" s="67" t="s">
        <v>1166</v>
      </c>
      <c r="B775" s="67" t="s">
        <v>246</v>
      </c>
      <c r="C775" s="70">
        <v>46295</v>
      </c>
      <c r="D775" s="70"/>
      <c r="E775" s="67" t="s">
        <v>383</v>
      </c>
      <c r="F775" s="67" t="s">
        <v>386</v>
      </c>
      <c r="G775" s="67"/>
    </row>
  </sheetData>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sheetPr>
    <tabColor rgb="FF808080"/>
  </sheetPr>
  <dimension ref="A1:D179"/>
  <sheetViews>
    <sheetView workbookViewId="0">
      <pane ySplit="1" topLeftCell="A2" activePane="bottomLeft" state="frozen"/>
      <selection pane="bottomLeft"/>
    </sheetView>
  </sheetViews>
  <sheetFormatPr defaultRowHeight="15"/>
  <cols>
    <col min="1" max="1" width="11.7109375" customWidth="1"/>
    <col min="2" max="2" width="12.7109375" customWidth="1"/>
    <col min="3" max="3" width="15.7109375" customWidth="1"/>
    <col min="4" max="4" width="8.7109375" customWidth="1"/>
  </cols>
  <sheetData>
    <row r="1" spans="1:4">
      <c r="A1" t="s">
        <v>1167</v>
      </c>
      <c r="B1" t="s">
        <v>0</v>
      </c>
      <c r="C1" t="s">
        <v>1168</v>
      </c>
      <c r="D1" t="s">
        <v>1169</v>
      </c>
    </row>
    <row r="2" spans="1:4">
      <c r="A2" s="67" t="s">
        <v>1170</v>
      </c>
      <c r="B2" s="67" t="s">
        <v>158</v>
      </c>
      <c r="C2" s="70">
        <v>45815</v>
      </c>
      <c r="D2" s="67">
        <v>7</v>
      </c>
    </row>
    <row r="3" spans="1:4">
      <c r="A3" s="67" t="s">
        <v>1171</v>
      </c>
      <c r="B3" s="67" t="s">
        <v>334</v>
      </c>
      <c r="C3" s="70">
        <v>45815</v>
      </c>
      <c r="D3" s="67">
        <v>2</v>
      </c>
    </row>
    <row r="4" spans="1:4">
      <c r="A4" s="67" t="s">
        <v>1172</v>
      </c>
      <c r="B4" s="67" t="s">
        <v>254</v>
      </c>
      <c r="C4" s="70">
        <v>45816</v>
      </c>
      <c r="D4" s="67">
        <v>6</v>
      </c>
    </row>
    <row r="5" spans="1:4">
      <c r="A5" s="67" t="s">
        <v>1173</v>
      </c>
      <c r="B5" s="67" t="s">
        <v>252</v>
      </c>
      <c r="C5" s="70">
        <v>45818</v>
      </c>
      <c r="D5" s="67">
        <v>5</v>
      </c>
    </row>
    <row r="6" spans="1:4">
      <c r="A6" s="67" t="s">
        <v>1174</v>
      </c>
      <c r="B6" s="67" t="s">
        <v>262</v>
      </c>
      <c r="C6" s="70">
        <v>45819</v>
      </c>
      <c r="D6" s="67">
        <v>8</v>
      </c>
    </row>
    <row r="7" spans="1:4">
      <c r="A7" s="67" t="s">
        <v>1175</v>
      </c>
      <c r="B7" s="67" t="s">
        <v>316</v>
      </c>
      <c r="C7" s="70">
        <v>45819</v>
      </c>
      <c r="D7" s="67">
        <v>7</v>
      </c>
    </row>
    <row r="8" spans="1:4">
      <c r="A8" s="67" t="s">
        <v>1176</v>
      </c>
      <c r="B8" s="67" t="s">
        <v>114</v>
      </c>
      <c r="C8" s="70">
        <v>45828</v>
      </c>
      <c r="D8" s="67">
        <v>8</v>
      </c>
    </row>
    <row r="9" spans="1:4">
      <c r="A9" s="67" t="s">
        <v>1177</v>
      </c>
      <c r="B9" s="67" t="s">
        <v>226</v>
      </c>
      <c r="C9" s="70">
        <v>45829</v>
      </c>
      <c r="D9" s="67">
        <v>6</v>
      </c>
    </row>
    <row r="10" spans="1:4">
      <c r="A10" s="67" t="s">
        <v>1178</v>
      </c>
      <c r="B10" s="67" t="s">
        <v>172</v>
      </c>
      <c r="C10" s="70">
        <v>45835</v>
      </c>
      <c r="D10" s="67">
        <v>9</v>
      </c>
    </row>
    <row r="11" spans="1:4">
      <c r="A11" s="67" t="s">
        <v>1179</v>
      </c>
      <c r="B11" s="67" t="s">
        <v>172</v>
      </c>
      <c r="C11" s="70">
        <v>45836</v>
      </c>
      <c r="D11" s="67">
        <v>8</v>
      </c>
    </row>
    <row r="12" spans="1:4">
      <c r="A12" s="67" t="s">
        <v>1180</v>
      </c>
      <c r="B12" s="67" t="s">
        <v>176</v>
      </c>
      <c r="C12" s="70">
        <v>45836</v>
      </c>
      <c r="D12" s="67">
        <v>2</v>
      </c>
    </row>
    <row r="13" spans="1:4">
      <c r="A13" s="67" t="s">
        <v>1181</v>
      </c>
      <c r="B13" s="67" t="s">
        <v>286</v>
      </c>
      <c r="C13" s="70">
        <v>45839</v>
      </c>
      <c r="D13" s="67">
        <v>7</v>
      </c>
    </row>
    <row r="14" spans="1:4">
      <c r="A14" s="67" t="s">
        <v>1182</v>
      </c>
      <c r="B14" s="67" t="s">
        <v>90</v>
      </c>
      <c r="C14" s="70">
        <v>45843</v>
      </c>
      <c r="D14" s="67">
        <v>4</v>
      </c>
    </row>
    <row r="15" spans="1:4">
      <c r="A15" s="67" t="s">
        <v>1183</v>
      </c>
      <c r="B15" s="67" t="s">
        <v>198</v>
      </c>
      <c r="C15" s="70">
        <v>45844</v>
      </c>
      <c r="D15" s="67">
        <v>10</v>
      </c>
    </row>
    <row r="16" spans="1:4">
      <c r="A16" s="67" t="s">
        <v>1184</v>
      </c>
      <c r="B16" s="67" t="s">
        <v>322</v>
      </c>
      <c r="C16" s="70">
        <v>45847</v>
      </c>
      <c r="D16" s="67">
        <v>5</v>
      </c>
    </row>
    <row r="17" spans="1:4">
      <c r="A17" s="67" t="s">
        <v>1185</v>
      </c>
      <c r="B17" s="67" t="s">
        <v>87</v>
      </c>
      <c r="C17" s="70">
        <v>45848</v>
      </c>
      <c r="D17" s="67">
        <v>5</v>
      </c>
    </row>
    <row r="18" spans="1:4">
      <c r="A18" s="67" t="s">
        <v>1186</v>
      </c>
      <c r="B18" s="67" t="s">
        <v>228</v>
      </c>
      <c r="C18" s="70">
        <v>45849</v>
      </c>
      <c r="D18" s="67">
        <v>6</v>
      </c>
    </row>
    <row r="19" spans="1:4">
      <c r="A19" s="67" t="s">
        <v>1187</v>
      </c>
      <c r="B19" s="67" t="s">
        <v>47</v>
      </c>
      <c r="C19" s="70">
        <v>45850</v>
      </c>
      <c r="D19" s="67">
        <v>3</v>
      </c>
    </row>
    <row r="20" spans="1:4">
      <c r="A20" s="67" t="s">
        <v>1188</v>
      </c>
      <c r="B20" s="67" t="s">
        <v>224</v>
      </c>
      <c r="C20" s="70">
        <v>45856</v>
      </c>
      <c r="D20" s="67">
        <v>10</v>
      </c>
    </row>
    <row r="21" spans="1:4">
      <c r="A21" s="67" t="s">
        <v>1189</v>
      </c>
      <c r="B21" s="67" t="s">
        <v>152</v>
      </c>
      <c r="C21" s="70">
        <v>45857</v>
      </c>
      <c r="D21" s="67">
        <v>6</v>
      </c>
    </row>
    <row r="22" spans="1:4">
      <c r="A22" s="67" t="s">
        <v>1190</v>
      </c>
      <c r="B22" s="67" t="s">
        <v>140</v>
      </c>
      <c r="C22" s="70">
        <v>45858</v>
      </c>
      <c r="D22" s="67">
        <v>3</v>
      </c>
    </row>
    <row r="23" spans="1:4">
      <c r="A23" s="67" t="s">
        <v>1191</v>
      </c>
      <c r="B23" s="67" t="s">
        <v>206</v>
      </c>
      <c r="C23" s="70">
        <v>45860</v>
      </c>
      <c r="D23" s="67">
        <v>4</v>
      </c>
    </row>
    <row r="24" spans="1:4">
      <c r="A24" s="67" t="s">
        <v>1192</v>
      </c>
      <c r="B24" s="67" t="s">
        <v>208</v>
      </c>
      <c r="C24" s="70">
        <v>45869</v>
      </c>
      <c r="D24" s="67">
        <v>10</v>
      </c>
    </row>
    <row r="25" spans="1:4">
      <c r="A25" s="67" t="s">
        <v>1193</v>
      </c>
      <c r="B25" s="67" t="s">
        <v>212</v>
      </c>
      <c r="C25" s="70">
        <v>45869</v>
      </c>
      <c r="D25" s="67">
        <v>8</v>
      </c>
    </row>
    <row r="26" spans="1:4">
      <c r="A26" s="67" t="s">
        <v>1194</v>
      </c>
      <c r="B26" s="67" t="s">
        <v>78</v>
      </c>
      <c r="C26" s="70">
        <v>45871</v>
      </c>
      <c r="D26" s="67">
        <v>7</v>
      </c>
    </row>
    <row r="27" spans="1:4">
      <c r="A27" s="67" t="s">
        <v>1195</v>
      </c>
      <c r="B27" s="67" t="s">
        <v>318</v>
      </c>
      <c r="C27" s="70">
        <v>45871</v>
      </c>
      <c r="D27" s="67">
        <v>7</v>
      </c>
    </row>
    <row r="28" spans="1:4">
      <c r="A28" s="67" t="s">
        <v>1196</v>
      </c>
      <c r="B28" s="67" t="s">
        <v>314</v>
      </c>
      <c r="C28" s="70">
        <v>45872</v>
      </c>
      <c r="D28" s="67">
        <v>7</v>
      </c>
    </row>
    <row r="29" spans="1:4">
      <c r="A29" s="67" t="s">
        <v>1197</v>
      </c>
      <c r="B29" s="67" t="s">
        <v>248</v>
      </c>
      <c r="C29" s="70">
        <v>45873</v>
      </c>
      <c r="D29" s="67">
        <v>6</v>
      </c>
    </row>
    <row r="30" spans="1:4">
      <c r="A30" s="67" t="s">
        <v>1198</v>
      </c>
      <c r="B30" s="67" t="s">
        <v>30</v>
      </c>
      <c r="C30" s="70">
        <v>45874</v>
      </c>
      <c r="D30" s="67">
        <v>7</v>
      </c>
    </row>
    <row r="31" spans="1:4">
      <c r="A31" s="67" t="s">
        <v>1199</v>
      </c>
      <c r="B31" s="67" t="s">
        <v>218</v>
      </c>
      <c r="C31" s="70">
        <v>45874</v>
      </c>
      <c r="D31" s="67">
        <v>8</v>
      </c>
    </row>
    <row r="32" spans="1:4">
      <c r="A32" s="67" t="s">
        <v>1200</v>
      </c>
      <c r="B32" s="67" t="s">
        <v>218</v>
      </c>
      <c r="C32" s="70">
        <v>45874</v>
      </c>
      <c r="D32" s="67">
        <v>8</v>
      </c>
    </row>
    <row r="33" spans="1:4">
      <c r="A33" s="67" t="s">
        <v>1201</v>
      </c>
      <c r="B33" s="67" t="s">
        <v>312</v>
      </c>
      <c r="C33" s="70">
        <v>45875</v>
      </c>
      <c r="D33" s="67">
        <v>8</v>
      </c>
    </row>
    <row r="34" spans="1:4">
      <c r="A34" s="67" t="s">
        <v>1202</v>
      </c>
      <c r="B34" s="67" t="s">
        <v>156</v>
      </c>
      <c r="C34" s="70">
        <v>45882</v>
      </c>
      <c r="D34" s="67">
        <v>9</v>
      </c>
    </row>
    <row r="35" spans="1:4">
      <c r="A35" s="67" t="s">
        <v>1203</v>
      </c>
      <c r="B35" s="67" t="s">
        <v>336</v>
      </c>
      <c r="C35" s="70">
        <v>45882</v>
      </c>
      <c r="D35" s="67">
        <v>7</v>
      </c>
    </row>
    <row r="36" spans="1:4">
      <c r="A36" s="67" t="s">
        <v>1204</v>
      </c>
      <c r="B36" s="67" t="s">
        <v>204</v>
      </c>
      <c r="C36" s="70">
        <v>45888</v>
      </c>
      <c r="D36" s="67">
        <v>7</v>
      </c>
    </row>
    <row r="37" spans="1:4">
      <c r="A37" s="67" t="s">
        <v>1205</v>
      </c>
      <c r="B37" s="67" t="s">
        <v>108</v>
      </c>
      <c r="C37" s="70">
        <v>45889</v>
      </c>
      <c r="D37" s="67">
        <v>8</v>
      </c>
    </row>
    <row r="38" spans="1:4">
      <c r="A38" s="67" t="s">
        <v>1206</v>
      </c>
      <c r="B38" s="67" t="s">
        <v>41</v>
      </c>
      <c r="C38" s="70">
        <v>45890</v>
      </c>
      <c r="D38" s="67">
        <v>8</v>
      </c>
    </row>
    <row r="39" spans="1:4">
      <c r="A39" s="67" t="s">
        <v>1207</v>
      </c>
      <c r="B39" s="67" t="s">
        <v>78</v>
      </c>
      <c r="C39" s="70">
        <v>45890</v>
      </c>
      <c r="D39" s="67">
        <v>7</v>
      </c>
    </row>
    <row r="40" spans="1:4">
      <c r="A40" s="67" t="s">
        <v>1208</v>
      </c>
      <c r="B40" s="67" t="s">
        <v>302</v>
      </c>
      <c r="C40" s="70">
        <v>45891</v>
      </c>
      <c r="D40" s="67">
        <v>8</v>
      </c>
    </row>
    <row r="41" spans="1:4">
      <c r="A41" s="67" t="s">
        <v>1209</v>
      </c>
      <c r="B41" s="67" t="s">
        <v>304</v>
      </c>
      <c r="C41" s="70">
        <v>45893</v>
      </c>
      <c r="D41" s="67">
        <v>5</v>
      </c>
    </row>
    <row r="42" spans="1:4">
      <c r="A42" s="67" t="s">
        <v>1210</v>
      </c>
      <c r="B42" s="67" t="s">
        <v>254</v>
      </c>
      <c r="C42" s="70">
        <v>45902</v>
      </c>
      <c r="D42" s="67">
        <v>7</v>
      </c>
    </row>
    <row r="43" spans="1:4">
      <c r="A43" s="67" t="s">
        <v>1211</v>
      </c>
      <c r="B43" s="67" t="s">
        <v>212</v>
      </c>
      <c r="C43" s="70">
        <v>45905</v>
      </c>
      <c r="D43" s="67">
        <v>7</v>
      </c>
    </row>
    <row r="44" spans="1:4">
      <c r="A44" s="67" t="s">
        <v>1212</v>
      </c>
      <c r="B44" s="67" t="s">
        <v>242</v>
      </c>
      <c r="C44" s="70">
        <v>45905</v>
      </c>
      <c r="D44" s="67">
        <v>10</v>
      </c>
    </row>
    <row r="45" spans="1:4">
      <c r="A45" s="67" t="s">
        <v>1213</v>
      </c>
      <c r="B45" s="67" t="s">
        <v>140</v>
      </c>
      <c r="C45" s="70">
        <v>45906</v>
      </c>
      <c r="D45" s="67">
        <v>4</v>
      </c>
    </row>
    <row r="46" spans="1:4">
      <c r="A46" s="67" t="s">
        <v>1214</v>
      </c>
      <c r="B46" s="67" t="s">
        <v>83</v>
      </c>
      <c r="C46" s="70">
        <v>45913</v>
      </c>
      <c r="D46" s="67">
        <v>7</v>
      </c>
    </row>
    <row r="47" spans="1:4">
      <c r="A47" s="67" t="s">
        <v>1215</v>
      </c>
      <c r="B47" s="67" t="s">
        <v>248</v>
      </c>
      <c r="C47" s="70">
        <v>45914</v>
      </c>
      <c r="D47" s="67">
        <v>10</v>
      </c>
    </row>
    <row r="48" spans="1:4">
      <c r="A48" s="67" t="s">
        <v>1216</v>
      </c>
      <c r="B48" s="67" t="s">
        <v>83</v>
      </c>
      <c r="C48" s="70">
        <v>45915</v>
      </c>
      <c r="D48" s="67">
        <v>6</v>
      </c>
    </row>
    <row r="49" spans="1:4">
      <c r="A49" s="67" t="s">
        <v>1217</v>
      </c>
      <c r="B49" s="67" t="s">
        <v>326</v>
      </c>
      <c r="C49" s="70">
        <v>45917</v>
      </c>
      <c r="D49" s="67">
        <v>9</v>
      </c>
    </row>
    <row r="50" spans="1:4">
      <c r="A50" s="67" t="s">
        <v>1218</v>
      </c>
      <c r="B50" s="67" t="s">
        <v>75</v>
      </c>
      <c r="C50" s="70">
        <v>45921</v>
      </c>
      <c r="D50" s="67">
        <v>10</v>
      </c>
    </row>
    <row r="51" spans="1:4">
      <c r="A51" s="67" t="s">
        <v>1219</v>
      </c>
      <c r="B51" s="67" t="s">
        <v>120</v>
      </c>
      <c r="C51" s="70">
        <v>45925</v>
      </c>
      <c r="D51" s="67">
        <v>5</v>
      </c>
    </row>
    <row r="52" spans="1:4">
      <c r="A52" s="67" t="s">
        <v>1220</v>
      </c>
      <c r="B52" s="67" t="s">
        <v>166</v>
      </c>
      <c r="C52" s="70">
        <v>45925</v>
      </c>
      <c r="D52" s="67">
        <v>6</v>
      </c>
    </row>
    <row r="53" spans="1:4">
      <c r="A53" s="67" t="s">
        <v>1221</v>
      </c>
      <c r="B53" s="67" t="s">
        <v>122</v>
      </c>
      <c r="C53" s="70">
        <v>45942</v>
      </c>
      <c r="D53" s="67">
        <v>6</v>
      </c>
    </row>
    <row r="54" spans="1:4">
      <c r="A54" s="67" t="s">
        <v>1222</v>
      </c>
      <c r="B54" s="67" t="s">
        <v>41</v>
      </c>
      <c r="C54" s="70">
        <v>45947</v>
      </c>
      <c r="D54" s="67">
        <v>7</v>
      </c>
    </row>
    <row r="55" spans="1:4">
      <c r="A55" s="67" t="s">
        <v>1223</v>
      </c>
      <c r="B55" s="67" t="s">
        <v>330</v>
      </c>
      <c r="C55" s="70">
        <v>45947</v>
      </c>
      <c r="D55" s="67">
        <v>10</v>
      </c>
    </row>
    <row r="56" spans="1:4">
      <c r="A56" s="67" t="s">
        <v>1224</v>
      </c>
      <c r="B56" s="67" t="s">
        <v>344</v>
      </c>
      <c r="C56" s="70">
        <v>45950</v>
      </c>
      <c r="D56" s="67">
        <v>8</v>
      </c>
    </row>
    <row r="57" spans="1:4">
      <c r="A57" s="67" t="s">
        <v>1225</v>
      </c>
      <c r="B57" s="67" t="s">
        <v>278</v>
      </c>
      <c r="C57" s="70">
        <v>45953</v>
      </c>
      <c r="D57" s="67">
        <v>8</v>
      </c>
    </row>
    <row r="58" spans="1:4">
      <c r="A58" s="67" t="s">
        <v>1226</v>
      </c>
      <c r="B58" s="67" t="s">
        <v>186</v>
      </c>
      <c r="C58" s="70">
        <v>45957</v>
      </c>
      <c r="D58" s="67">
        <v>7</v>
      </c>
    </row>
    <row r="59" spans="1:4">
      <c r="A59" s="67" t="s">
        <v>1227</v>
      </c>
      <c r="B59" s="67" t="s">
        <v>138</v>
      </c>
      <c r="C59" s="70">
        <v>45967</v>
      </c>
      <c r="D59" s="67">
        <v>5</v>
      </c>
    </row>
    <row r="60" spans="1:4">
      <c r="A60" s="67" t="s">
        <v>1228</v>
      </c>
      <c r="B60" s="67" t="s">
        <v>320</v>
      </c>
      <c r="C60" s="70">
        <v>45968</v>
      </c>
      <c r="D60" s="67">
        <v>3</v>
      </c>
    </row>
    <row r="61" spans="1:4">
      <c r="A61" s="67" t="s">
        <v>1229</v>
      </c>
      <c r="B61" s="67" t="s">
        <v>234</v>
      </c>
      <c r="C61" s="70">
        <v>45969</v>
      </c>
      <c r="D61" s="67">
        <v>8</v>
      </c>
    </row>
    <row r="62" spans="1:4">
      <c r="A62" s="67" t="s">
        <v>1230</v>
      </c>
      <c r="B62" s="67" t="s">
        <v>328</v>
      </c>
      <c r="C62" s="70">
        <v>45970</v>
      </c>
      <c r="D62" s="67">
        <v>8</v>
      </c>
    </row>
    <row r="63" spans="1:4">
      <c r="A63" s="67" t="s">
        <v>1231</v>
      </c>
      <c r="B63" s="67" t="s">
        <v>190</v>
      </c>
      <c r="C63" s="70">
        <v>45973</v>
      </c>
      <c r="D63" s="67">
        <v>8</v>
      </c>
    </row>
    <row r="64" spans="1:4">
      <c r="A64" s="67" t="s">
        <v>1232</v>
      </c>
      <c r="B64" s="67" t="s">
        <v>134</v>
      </c>
      <c r="C64" s="70">
        <v>45976</v>
      </c>
      <c r="D64" s="67">
        <v>10</v>
      </c>
    </row>
    <row r="65" spans="1:4">
      <c r="A65" s="67" t="s">
        <v>1233</v>
      </c>
      <c r="B65" s="67" t="s">
        <v>134</v>
      </c>
      <c r="C65" s="70">
        <v>45976</v>
      </c>
      <c r="D65" s="67">
        <v>8</v>
      </c>
    </row>
    <row r="66" spans="1:4">
      <c r="A66" s="67" t="s">
        <v>1234</v>
      </c>
      <c r="B66" s="67" t="s">
        <v>150</v>
      </c>
      <c r="C66" s="70">
        <v>45979</v>
      </c>
      <c r="D66" s="67">
        <v>4</v>
      </c>
    </row>
    <row r="67" spans="1:4">
      <c r="A67" s="67" t="s">
        <v>1235</v>
      </c>
      <c r="B67" s="67" t="s">
        <v>200</v>
      </c>
      <c r="C67" s="70">
        <v>45981</v>
      </c>
      <c r="D67" s="67">
        <v>8</v>
      </c>
    </row>
    <row r="68" spans="1:4">
      <c r="A68" s="67" t="s">
        <v>1236</v>
      </c>
      <c r="B68" s="67" t="s">
        <v>222</v>
      </c>
      <c r="C68" s="70">
        <v>45982</v>
      </c>
      <c r="D68" s="67">
        <v>6</v>
      </c>
    </row>
    <row r="69" spans="1:4">
      <c r="A69" s="67" t="s">
        <v>1237</v>
      </c>
      <c r="B69" s="67" t="s">
        <v>182</v>
      </c>
      <c r="C69" s="70">
        <v>45983</v>
      </c>
      <c r="D69" s="67">
        <v>6</v>
      </c>
    </row>
    <row r="70" spans="1:4">
      <c r="A70" s="67" t="s">
        <v>1238</v>
      </c>
      <c r="B70" s="67" t="s">
        <v>63</v>
      </c>
      <c r="C70" s="70">
        <v>45985</v>
      </c>
      <c r="D70" s="67">
        <v>5</v>
      </c>
    </row>
    <row r="71" spans="1:4">
      <c r="A71" s="67" t="s">
        <v>1239</v>
      </c>
      <c r="B71" s="67" t="s">
        <v>124</v>
      </c>
      <c r="C71" s="70">
        <v>45985</v>
      </c>
      <c r="D71" s="67">
        <v>7</v>
      </c>
    </row>
    <row r="72" spans="1:4">
      <c r="A72" s="67" t="s">
        <v>1240</v>
      </c>
      <c r="B72" s="67" t="s">
        <v>138</v>
      </c>
      <c r="C72" s="70">
        <v>45986</v>
      </c>
      <c r="D72" s="67">
        <v>7</v>
      </c>
    </row>
    <row r="73" spans="1:4">
      <c r="A73" s="67" t="s">
        <v>1241</v>
      </c>
      <c r="B73" s="67" t="s">
        <v>132</v>
      </c>
      <c r="C73" s="70">
        <v>45989</v>
      </c>
      <c r="D73" s="67">
        <v>5</v>
      </c>
    </row>
    <row r="74" spans="1:4">
      <c r="A74" s="67" t="s">
        <v>1242</v>
      </c>
      <c r="B74" s="67" t="s">
        <v>30</v>
      </c>
      <c r="C74" s="70">
        <v>45990</v>
      </c>
      <c r="D74" s="67">
        <v>10</v>
      </c>
    </row>
    <row r="75" spans="1:4">
      <c r="A75" s="67" t="s">
        <v>1243</v>
      </c>
      <c r="B75" s="67" t="s">
        <v>242</v>
      </c>
      <c r="C75" s="70">
        <v>45990</v>
      </c>
      <c r="D75" s="67">
        <v>7</v>
      </c>
    </row>
    <row r="76" spans="1:4">
      <c r="A76" s="67" t="s">
        <v>1244</v>
      </c>
      <c r="B76" s="67" t="s">
        <v>210</v>
      </c>
      <c r="C76" s="70">
        <v>45994</v>
      </c>
      <c r="D76" s="67">
        <v>6</v>
      </c>
    </row>
    <row r="77" spans="1:4">
      <c r="A77" s="67" t="s">
        <v>1245</v>
      </c>
      <c r="B77" s="67" t="s">
        <v>57</v>
      </c>
      <c r="C77" s="70">
        <v>45995</v>
      </c>
      <c r="D77" s="67">
        <v>10</v>
      </c>
    </row>
    <row r="78" spans="1:4">
      <c r="A78" s="67" t="s">
        <v>1246</v>
      </c>
      <c r="B78" s="67" t="s">
        <v>132</v>
      </c>
      <c r="C78" s="70">
        <v>45997</v>
      </c>
      <c r="D78" s="67">
        <v>7</v>
      </c>
    </row>
    <row r="79" spans="1:4">
      <c r="A79" s="67" t="s">
        <v>1247</v>
      </c>
      <c r="B79" s="67" t="s">
        <v>144</v>
      </c>
      <c r="C79" s="70">
        <v>45999</v>
      </c>
      <c r="D79" s="67">
        <v>4</v>
      </c>
    </row>
    <row r="80" spans="1:4">
      <c r="A80" s="67" t="s">
        <v>1248</v>
      </c>
      <c r="B80" s="67" t="s">
        <v>124</v>
      </c>
      <c r="C80" s="70">
        <v>46006</v>
      </c>
      <c r="D80" s="67">
        <v>5</v>
      </c>
    </row>
    <row r="81" spans="1:4">
      <c r="A81" s="67" t="s">
        <v>1249</v>
      </c>
      <c r="B81" s="67" t="s">
        <v>96</v>
      </c>
      <c r="C81" s="70">
        <v>46014</v>
      </c>
      <c r="D81" s="67">
        <v>7</v>
      </c>
    </row>
    <row r="82" spans="1:4">
      <c r="A82" s="67" t="s">
        <v>1250</v>
      </c>
      <c r="B82" s="67" t="s">
        <v>114</v>
      </c>
      <c r="C82" s="70">
        <v>46014</v>
      </c>
      <c r="D82" s="67">
        <v>9</v>
      </c>
    </row>
    <row r="83" spans="1:4">
      <c r="A83" s="67" t="s">
        <v>1251</v>
      </c>
      <c r="B83" s="67" t="s">
        <v>92</v>
      </c>
      <c r="C83" s="70">
        <v>46018</v>
      </c>
      <c r="D83" s="67">
        <v>3</v>
      </c>
    </row>
    <row r="84" spans="1:4">
      <c r="A84" s="67" t="s">
        <v>1252</v>
      </c>
      <c r="B84" s="67" t="s">
        <v>142</v>
      </c>
      <c r="C84" s="70">
        <v>46021</v>
      </c>
      <c r="D84" s="67">
        <v>10</v>
      </c>
    </row>
    <row r="85" spans="1:4">
      <c r="A85" s="67" t="s">
        <v>1253</v>
      </c>
      <c r="B85" s="67" t="s">
        <v>256</v>
      </c>
      <c r="C85" s="70">
        <v>46022</v>
      </c>
      <c r="D85" s="67">
        <v>8</v>
      </c>
    </row>
    <row r="86" spans="1:4">
      <c r="A86" s="67" t="s">
        <v>1254</v>
      </c>
      <c r="B86" s="67" t="s">
        <v>300</v>
      </c>
      <c r="C86" s="70">
        <v>46022</v>
      </c>
      <c r="D86" s="67">
        <v>5</v>
      </c>
    </row>
    <row r="87" spans="1:4">
      <c r="A87" s="67" t="s">
        <v>1255</v>
      </c>
      <c r="B87" s="67" t="s">
        <v>198</v>
      </c>
      <c r="C87" s="70">
        <v>46025</v>
      </c>
      <c r="D87" s="67">
        <v>10</v>
      </c>
    </row>
    <row r="88" spans="1:4">
      <c r="A88" s="67" t="s">
        <v>1256</v>
      </c>
      <c r="B88" s="67" t="s">
        <v>90</v>
      </c>
      <c r="C88" s="70">
        <v>46029</v>
      </c>
      <c r="D88" s="67">
        <v>7</v>
      </c>
    </row>
    <row r="89" spans="1:4">
      <c r="A89" s="67" t="s">
        <v>1257</v>
      </c>
      <c r="B89" s="67" t="s">
        <v>81</v>
      </c>
      <c r="C89" s="70">
        <v>46043</v>
      </c>
      <c r="D89" s="67">
        <v>10</v>
      </c>
    </row>
    <row r="90" spans="1:4">
      <c r="A90" s="67" t="s">
        <v>1258</v>
      </c>
      <c r="B90" s="67" t="s">
        <v>318</v>
      </c>
      <c r="C90" s="70">
        <v>46044</v>
      </c>
      <c r="D90" s="67">
        <v>8</v>
      </c>
    </row>
    <row r="91" spans="1:4">
      <c r="A91" s="67" t="s">
        <v>1259</v>
      </c>
      <c r="B91" s="67" t="s">
        <v>98</v>
      </c>
      <c r="C91" s="70">
        <v>46047</v>
      </c>
      <c r="D91" s="67">
        <v>9</v>
      </c>
    </row>
    <row r="92" spans="1:4">
      <c r="A92" s="67" t="s">
        <v>1260</v>
      </c>
      <c r="B92" s="67" t="s">
        <v>23</v>
      </c>
      <c r="C92" s="70">
        <v>46054</v>
      </c>
      <c r="D92" s="67">
        <v>7</v>
      </c>
    </row>
    <row r="93" spans="1:4">
      <c r="A93" s="67" t="s">
        <v>1261</v>
      </c>
      <c r="B93" s="67" t="s">
        <v>280</v>
      </c>
      <c r="C93" s="70">
        <v>46056</v>
      </c>
      <c r="D93" s="67">
        <v>6</v>
      </c>
    </row>
    <row r="94" spans="1:4">
      <c r="A94" s="67" t="s">
        <v>1262</v>
      </c>
      <c r="B94" s="67" t="s">
        <v>194</v>
      </c>
      <c r="C94" s="70">
        <v>46057</v>
      </c>
      <c r="D94" s="67">
        <v>5</v>
      </c>
    </row>
    <row r="95" spans="1:4">
      <c r="A95" s="67" t="s">
        <v>1263</v>
      </c>
      <c r="B95" s="67" t="s">
        <v>164</v>
      </c>
      <c r="C95" s="70">
        <v>46061</v>
      </c>
      <c r="D95" s="67">
        <v>8</v>
      </c>
    </row>
    <row r="96" spans="1:4">
      <c r="A96" s="67" t="s">
        <v>1264</v>
      </c>
      <c r="B96" s="67" t="s">
        <v>110</v>
      </c>
      <c r="C96" s="70">
        <v>46066</v>
      </c>
      <c r="D96" s="67">
        <v>6</v>
      </c>
    </row>
    <row r="97" spans="1:4">
      <c r="A97" s="67" t="s">
        <v>1265</v>
      </c>
      <c r="B97" s="67" t="s">
        <v>236</v>
      </c>
      <c r="C97" s="70">
        <v>46069</v>
      </c>
      <c r="D97" s="67">
        <v>5</v>
      </c>
    </row>
    <row r="98" spans="1:4">
      <c r="A98" s="67" t="s">
        <v>1266</v>
      </c>
      <c r="B98" s="67" t="s">
        <v>182</v>
      </c>
      <c r="C98" s="70">
        <v>46073</v>
      </c>
      <c r="D98" s="67">
        <v>5</v>
      </c>
    </row>
    <row r="99" spans="1:4">
      <c r="A99" s="67" t="s">
        <v>1267</v>
      </c>
      <c r="B99" s="67" t="s">
        <v>186</v>
      </c>
      <c r="C99" s="70">
        <v>46073</v>
      </c>
      <c r="D99" s="67">
        <v>7</v>
      </c>
    </row>
    <row r="100" spans="1:4">
      <c r="A100" s="67" t="s">
        <v>1268</v>
      </c>
      <c r="B100" s="67" t="s">
        <v>158</v>
      </c>
      <c r="C100" s="70">
        <v>46075</v>
      </c>
      <c r="D100" s="67">
        <v>4</v>
      </c>
    </row>
    <row r="101" spans="1:4">
      <c r="A101" s="67" t="s">
        <v>1269</v>
      </c>
      <c r="B101" s="67" t="s">
        <v>292</v>
      </c>
      <c r="C101" s="70">
        <v>46075</v>
      </c>
      <c r="D101" s="67">
        <v>3</v>
      </c>
    </row>
    <row r="102" spans="1:4">
      <c r="A102" s="67" t="s">
        <v>1270</v>
      </c>
      <c r="B102" s="67" t="s">
        <v>98</v>
      </c>
      <c r="C102" s="70">
        <v>46078</v>
      </c>
      <c r="D102" s="67">
        <v>9</v>
      </c>
    </row>
    <row r="103" spans="1:4">
      <c r="A103" s="67" t="s">
        <v>1271</v>
      </c>
      <c r="B103" s="67" t="s">
        <v>324</v>
      </c>
      <c r="C103" s="70">
        <v>46086</v>
      </c>
      <c r="D103" s="67">
        <v>9</v>
      </c>
    </row>
    <row r="104" spans="1:4">
      <c r="A104" s="67" t="s">
        <v>1272</v>
      </c>
      <c r="B104" s="67" t="s">
        <v>114</v>
      </c>
      <c r="C104" s="70">
        <v>46087</v>
      </c>
      <c r="D104" s="67">
        <v>7</v>
      </c>
    </row>
    <row r="105" spans="1:4">
      <c r="A105" s="67" t="s">
        <v>1273</v>
      </c>
      <c r="B105" s="67" t="s">
        <v>184</v>
      </c>
      <c r="C105" s="70">
        <v>46088</v>
      </c>
      <c r="D105" s="67">
        <v>6</v>
      </c>
    </row>
    <row r="106" spans="1:4">
      <c r="A106" s="67" t="s">
        <v>1274</v>
      </c>
      <c r="B106" s="67" t="s">
        <v>204</v>
      </c>
      <c r="C106" s="70">
        <v>46091</v>
      </c>
      <c r="D106" s="67">
        <v>6</v>
      </c>
    </row>
    <row r="107" spans="1:4">
      <c r="A107" s="67" t="s">
        <v>1275</v>
      </c>
      <c r="B107" s="67" t="s">
        <v>90</v>
      </c>
      <c r="C107" s="70">
        <v>46092</v>
      </c>
      <c r="D107" s="67">
        <v>5</v>
      </c>
    </row>
    <row r="108" spans="1:4">
      <c r="A108" s="67" t="s">
        <v>1276</v>
      </c>
      <c r="B108" s="67" t="s">
        <v>162</v>
      </c>
      <c r="C108" s="70">
        <v>46092</v>
      </c>
      <c r="D108" s="67">
        <v>9</v>
      </c>
    </row>
    <row r="109" spans="1:4">
      <c r="A109" s="67" t="s">
        <v>1277</v>
      </c>
      <c r="B109" s="67" t="s">
        <v>238</v>
      </c>
      <c r="C109" s="70">
        <v>46095</v>
      </c>
      <c r="D109" s="67">
        <v>10</v>
      </c>
    </row>
    <row r="110" spans="1:4">
      <c r="A110" s="67" t="s">
        <v>1278</v>
      </c>
      <c r="B110" s="67" t="s">
        <v>212</v>
      </c>
      <c r="C110" s="70">
        <v>46096</v>
      </c>
      <c r="D110" s="67">
        <v>9</v>
      </c>
    </row>
    <row r="111" spans="1:4">
      <c r="A111" s="67" t="s">
        <v>1279</v>
      </c>
      <c r="B111" s="67" t="s">
        <v>250</v>
      </c>
      <c r="C111" s="70">
        <v>46099</v>
      </c>
      <c r="D111" s="67">
        <v>10</v>
      </c>
    </row>
    <row r="112" spans="1:4">
      <c r="A112" s="67" t="s">
        <v>1280</v>
      </c>
      <c r="B112" s="67" t="s">
        <v>274</v>
      </c>
      <c r="C112" s="70">
        <v>46101</v>
      </c>
      <c r="D112" s="67">
        <v>8</v>
      </c>
    </row>
    <row r="113" spans="1:4">
      <c r="A113" s="67" t="s">
        <v>1281</v>
      </c>
      <c r="B113" s="67" t="s">
        <v>188</v>
      </c>
      <c r="C113" s="70">
        <v>46102</v>
      </c>
      <c r="D113" s="67">
        <v>7</v>
      </c>
    </row>
    <row r="114" spans="1:4">
      <c r="A114" s="67" t="s">
        <v>1282</v>
      </c>
      <c r="B114" s="67" t="s">
        <v>136</v>
      </c>
      <c r="C114" s="70">
        <v>46103</v>
      </c>
      <c r="D114" s="67">
        <v>7</v>
      </c>
    </row>
    <row r="115" spans="1:4">
      <c r="A115" s="67" t="s">
        <v>1283</v>
      </c>
      <c r="B115" s="67" t="s">
        <v>340</v>
      </c>
      <c r="C115" s="70">
        <v>46109</v>
      </c>
      <c r="D115" s="67">
        <v>9</v>
      </c>
    </row>
    <row r="116" spans="1:4">
      <c r="A116" s="67" t="s">
        <v>1284</v>
      </c>
      <c r="B116" s="67" t="s">
        <v>170</v>
      </c>
      <c r="C116" s="70">
        <v>46110</v>
      </c>
      <c r="D116" s="67">
        <v>6</v>
      </c>
    </row>
    <row r="117" spans="1:4">
      <c r="A117" s="67" t="s">
        <v>1285</v>
      </c>
      <c r="B117" s="67" t="s">
        <v>96</v>
      </c>
      <c r="C117" s="70">
        <v>46113</v>
      </c>
      <c r="D117" s="67">
        <v>8</v>
      </c>
    </row>
    <row r="118" spans="1:4">
      <c r="A118" s="67" t="s">
        <v>1286</v>
      </c>
      <c r="B118" s="67" t="s">
        <v>41</v>
      </c>
      <c r="C118" s="70">
        <v>46118</v>
      </c>
      <c r="D118" s="67">
        <v>7</v>
      </c>
    </row>
    <row r="119" spans="1:4">
      <c r="A119" s="67" t="s">
        <v>1287</v>
      </c>
      <c r="B119" s="67" t="s">
        <v>176</v>
      </c>
      <c r="C119" s="70">
        <v>46119</v>
      </c>
      <c r="D119" s="67">
        <v>9</v>
      </c>
    </row>
    <row r="120" spans="1:4">
      <c r="A120" s="67" t="s">
        <v>1288</v>
      </c>
      <c r="B120" s="67" t="s">
        <v>69</v>
      </c>
      <c r="C120" s="70">
        <v>46123</v>
      </c>
      <c r="D120" s="67">
        <v>6</v>
      </c>
    </row>
    <row r="121" spans="1:4">
      <c r="A121" s="67" t="s">
        <v>1289</v>
      </c>
      <c r="B121" s="67" t="s">
        <v>226</v>
      </c>
      <c r="C121" s="70">
        <v>46124</v>
      </c>
      <c r="D121" s="67">
        <v>3</v>
      </c>
    </row>
    <row r="122" spans="1:4">
      <c r="A122" s="67" t="s">
        <v>1290</v>
      </c>
      <c r="B122" s="67" t="s">
        <v>170</v>
      </c>
      <c r="C122" s="70">
        <v>46129</v>
      </c>
      <c r="D122" s="67">
        <v>7</v>
      </c>
    </row>
    <row r="123" spans="1:4">
      <c r="A123" s="67" t="s">
        <v>1291</v>
      </c>
      <c r="B123" s="67" t="s">
        <v>324</v>
      </c>
      <c r="C123" s="70">
        <v>46132</v>
      </c>
      <c r="D123" s="67">
        <v>7</v>
      </c>
    </row>
    <row r="124" spans="1:4">
      <c r="A124" s="67" t="s">
        <v>1292</v>
      </c>
      <c r="B124" s="67" t="s">
        <v>92</v>
      </c>
      <c r="C124" s="70">
        <v>46137</v>
      </c>
      <c r="D124" s="67">
        <v>5</v>
      </c>
    </row>
    <row r="125" spans="1:4">
      <c r="A125" s="67" t="s">
        <v>1293</v>
      </c>
      <c r="B125" s="67" t="s">
        <v>75</v>
      </c>
      <c r="C125" s="70">
        <v>46145</v>
      </c>
      <c r="D125" s="67">
        <v>10</v>
      </c>
    </row>
    <row r="126" spans="1:4">
      <c r="A126" s="67" t="s">
        <v>1294</v>
      </c>
      <c r="B126" s="67" t="s">
        <v>148</v>
      </c>
      <c r="C126" s="70">
        <v>46145</v>
      </c>
      <c r="D126" s="67">
        <v>10</v>
      </c>
    </row>
    <row r="127" spans="1:4">
      <c r="A127" s="67" t="s">
        <v>1295</v>
      </c>
      <c r="B127" s="67" t="s">
        <v>292</v>
      </c>
      <c r="C127" s="70">
        <v>46145</v>
      </c>
      <c r="D127" s="67">
        <v>0</v>
      </c>
    </row>
    <row r="128" spans="1:4">
      <c r="A128" s="67" t="s">
        <v>1296</v>
      </c>
      <c r="B128" s="67" t="s">
        <v>47</v>
      </c>
      <c r="C128" s="70">
        <v>46149</v>
      </c>
      <c r="D128" s="67">
        <v>5</v>
      </c>
    </row>
    <row r="129" spans="1:4">
      <c r="A129" s="67" t="s">
        <v>1297</v>
      </c>
      <c r="B129" s="67" t="s">
        <v>104</v>
      </c>
      <c r="C129" s="70">
        <v>46160</v>
      </c>
      <c r="D129" s="67">
        <v>3</v>
      </c>
    </row>
    <row r="130" spans="1:4">
      <c r="A130" s="67" t="s">
        <v>1298</v>
      </c>
      <c r="B130" s="67" t="s">
        <v>268</v>
      </c>
      <c r="C130" s="70">
        <v>46162</v>
      </c>
      <c r="D130" s="67">
        <v>6</v>
      </c>
    </row>
    <row r="131" spans="1:4">
      <c r="A131" s="67" t="s">
        <v>1299</v>
      </c>
      <c r="B131" s="67" t="s">
        <v>94</v>
      </c>
      <c r="C131" s="70">
        <v>46165</v>
      </c>
      <c r="D131" s="67">
        <v>7</v>
      </c>
    </row>
    <row r="132" spans="1:4">
      <c r="A132" s="67" t="s">
        <v>1300</v>
      </c>
      <c r="B132" s="67" t="s">
        <v>132</v>
      </c>
      <c r="C132" s="70">
        <v>46165</v>
      </c>
      <c r="D132" s="67">
        <v>5</v>
      </c>
    </row>
    <row r="133" spans="1:4">
      <c r="A133" s="67" t="s">
        <v>1301</v>
      </c>
      <c r="B133" s="67" t="s">
        <v>144</v>
      </c>
      <c r="C133" s="70">
        <v>46168</v>
      </c>
      <c r="D133" s="67">
        <v>9</v>
      </c>
    </row>
    <row r="134" spans="1:4">
      <c r="A134" s="67" t="s">
        <v>1302</v>
      </c>
      <c r="B134" s="67" t="s">
        <v>54</v>
      </c>
      <c r="C134" s="70">
        <v>46177</v>
      </c>
      <c r="D134" s="67">
        <v>4</v>
      </c>
    </row>
    <row r="135" spans="1:4">
      <c r="A135" s="67" t="s">
        <v>1303</v>
      </c>
      <c r="B135" s="67" t="s">
        <v>322</v>
      </c>
      <c r="C135" s="70">
        <v>46177</v>
      </c>
      <c r="D135" s="67">
        <v>8</v>
      </c>
    </row>
    <row r="136" spans="1:4">
      <c r="A136" s="67" t="s">
        <v>1304</v>
      </c>
      <c r="B136" s="67" t="s">
        <v>208</v>
      </c>
      <c r="C136" s="70">
        <v>46181</v>
      </c>
      <c r="D136" s="67">
        <v>9</v>
      </c>
    </row>
    <row r="137" spans="1:4">
      <c r="A137" s="67" t="s">
        <v>1305</v>
      </c>
      <c r="B137" s="67" t="s">
        <v>63</v>
      </c>
      <c r="C137" s="70">
        <v>46185</v>
      </c>
      <c r="D137" s="67">
        <v>4</v>
      </c>
    </row>
    <row r="138" spans="1:4">
      <c r="A138" s="67" t="s">
        <v>1306</v>
      </c>
      <c r="B138" s="67" t="s">
        <v>94</v>
      </c>
      <c r="C138" s="70">
        <v>46187</v>
      </c>
      <c r="D138" s="67">
        <v>7</v>
      </c>
    </row>
    <row r="139" spans="1:4">
      <c r="A139" s="67" t="s">
        <v>1307</v>
      </c>
      <c r="B139" s="67" t="s">
        <v>262</v>
      </c>
      <c r="C139" s="70">
        <v>46192</v>
      </c>
      <c r="D139" s="67">
        <v>7</v>
      </c>
    </row>
    <row r="140" spans="1:4">
      <c r="A140" s="67" t="s">
        <v>1308</v>
      </c>
      <c r="B140" s="67" t="s">
        <v>202</v>
      </c>
      <c r="C140" s="70">
        <v>46197</v>
      </c>
      <c r="D140" s="67">
        <v>8</v>
      </c>
    </row>
    <row r="141" spans="1:4">
      <c r="A141" s="67" t="s">
        <v>1309</v>
      </c>
      <c r="B141" s="67" t="s">
        <v>152</v>
      </c>
      <c r="C141" s="70">
        <v>46198</v>
      </c>
      <c r="D141" s="67">
        <v>7</v>
      </c>
    </row>
    <row r="142" spans="1:4">
      <c r="A142" s="67" t="s">
        <v>1310</v>
      </c>
      <c r="B142" s="67" t="s">
        <v>96</v>
      </c>
      <c r="C142" s="70">
        <v>46202</v>
      </c>
      <c r="D142" s="67">
        <v>6</v>
      </c>
    </row>
    <row r="143" spans="1:4">
      <c r="A143" s="67" t="s">
        <v>1311</v>
      </c>
      <c r="B143" s="67" t="s">
        <v>344</v>
      </c>
      <c r="C143" s="70">
        <v>46203</v>
      </c>
      <c r="D143" s="67">
        <v>6</v>
      </c>
    </row>
    <row r="144" spans="1:4">
      <c r="A144" s="67" t="s">
        <v>1312</v>
      </c>
      <c r="B144" s="67" t="s">
        <v>166</v>
      </c>
      <c r="C144" s="70">
        <v>46206</v>
      </c>
      <c r="D144" s="67">
        <v>7</v>
      </c>
    </row>
    <row r="145" spans="1:4">
      <c r="A145" s="67" t="s">
        <v>1313</v>
      </c>
      <c r="B145" s="67" t="s">
        <v>262</v>
      </c>
      <c r="C145" s="70">
        <v>46208</v>
      </c>
      <c r="D145" s="67">
        <v>10</v>
      </c>
    </row>
    <row r="146" spans="1:4">
      <c r="A146" s="67" t="s">
        <v>1314</v>
      </c>
      <c r="B146" s="67" t="s">
        <v>318</v>
      </c>
      <c r="C146" s="70">
        <v>46208</v>
      </c>
      <c r="D146" s="67">
        <v>6</v>
      </c>
    </row>
    <row r="147" spans="1:4">
      <c r="A147" s="67" t="s">
        <v>1315</v>
      </c>
      <c r="B147" s="67" t="s">
        <v>290</v>
      </c>
      <c r="C147" s="70">
        <v>46209</v>
      </c>
      <c r="D147" s="67">
        <v>9</v>
      </c>
    </row>
    <row r="148" spans="1:4">
      <c r="A148" s="67" t="s">
        <v>1316</v>
      </c>
      <c r="B148" s="67" t="s">
        <v>184</v>
      </c>
      <c r="C148" s="70">
        <v>46220</v>
      </c>
      <c r="D148" s="67">
        <v>9</v>
      </c>
    </row>
    <row r="149" spans="1:4">
      <c r="A149" s="67" t="s">
        <v>1317</v>
      </c>
      <c r="B149" s="67" t="s">
        <v>230</v>
      </c>
      <c r="C149" s="70">
        <v>46222</v>
      </c>
      <c r="D149" s="67">
        <v>8</v>
      </c>
    </row>
    <row r="150" spans="1:4">
      <c r="A150" s="67" t="s">
        <v>1318</v>
      </c>
      <c r="B150" s="67" t="s">
        <v>340</v>
      </c>
      <c r="C150" s="70">
        <v>46222</v>
      </c>
      <c r="D150" s="67">
        <v>7</v>
      </c>
    </row>
    <row r="151" spans="1:4">
      <c r="A151" s="67" t="s">
        <v>1319</v>
      </c>
      <c r="B151" s="67" t="s">
        <v>156</v>
      </c>
      <c r="C151" s="70">
        <v>46223</v>
      </c>
      <c r="D151" s="67">
        <v>7</v>
      </c>
    </row>
    <row r="152" spans="1:4">
      <c r="A152" s="67" t="s">
        <v>1320</v>
      </c>
      <c r="B152" s="67" t="s">
        <v>290</v>
      </c>
      <c r="C152" s="70">
        <v>46223</v>
      </c>
      <c r="D152" s="67">
        <v>7</v>
      </c>
    </row>
    <row r="153" spans="1:4">
      <c r="A153" s="67" t="s">
        <v>1321</v>
      </c>
      <c r="B153" s="67" t="s">
        <v>57</v>
      </c>
      <c r="C153" s="70">
        <v>46224</v>
      </c>
      <c r="D153" s="67">
        <v>9</v>
      </c>
    </row>
    <row r="154" spans="1:4">
      <c r="A154" s="67" t="s">
        <v>1322</v>
      </c>
      <c r="B154" s="67" t="s">
        <v>240</v>
      </c>
      <c r="C154" s="70">
        <v>46224</v>
      </c>
      <c r="D154" s="67">
        <v>10</v>
      </c>
    </row>
    <row r="155" spans="1:4">
      <c r="A155" s="67" t="s">
        <v>1323</v>
      </c>
      <c r="B155" s="67" t="s">
        <v>282</v>
      </c>
      <c r="C155" s="70">
        <v>46233</v>
      </c>
      <c r="D155" s="67">
        <v>10</v>
      </c>
    </row>
    <row r="156" spans="1:4">
      <c r="A156" s="67" t="s">
        <v>1324</v>
      </c>
      <c r="B156" s="67" t="s">
        <v>322</v>
      </c>
      <c r="C156" s="70">
        <v>46237</v>
      </c>
      <c r="D156" s="67">
        <v>7</v>
      </c>
    </row>
    <row r="157" spans="1:4">
      <c r="A157" s="67" t="s">
        <v>1325</v>
      </c>
      <c r="B157" s="67" t="s">
        <v>298</v>
      </c>
      <c r="C157" s="70">
        <v>46243</v>
      </c>
      <c r="D157" s="67">
        <v>10</v>
      </c>
    </row>
    <row r="158" spans="1:4">
      <c r="A158" s="67" t="s">
        <v>1326</v>
      </c>
      <c r="B158" s="67" t="s">
        <v>94</v>
      </c>
      <c r="C158" s="70">
        <v>46244</v>
      </c>
      <c r="D158" s="67">
        <v>10</v>
      </c>
    </row>
    <row r="159" spans="1:4">
      <c r="A159" s="67" t="s">
        <v>1327</v>
      </c>
      <c r="B159" s="67" t="s">
        <v>292</v>
      </c>
      <c r="C159" s="70">
        <v>46247</v>
      </c>
      <c r="D159" s="67">
        <v>4</v>
      </c>
    </row>
    <row r="160" spans="1:4">
      <c r="A160" s="67" t="s">
        <v>1328</v>
      </c>
      <c r="B160" s="67" t="s">
        <v>71</v>
      </c>
      <c r="C160" s="70">
        <v>46248</v>
      </c>
      <c r="D160" s="67">
        <v>8</v>
      </c>
    </row>
    <row r="161" spans="1:4">
      <c r="A161" s="67" t="s">
        <v>1329</v>
      </c>
      <c r="B161" s="67" t="s">
        <v>260</v>
      </c>
      <c r="C161" s="70">
        <v>46250</v>
      </c>
      <c r="D161" s="67">
        <v>10</v>
      </c>
    </row>
    <row r="162" spans="1:4">
      <c r="A162" s="67" t="s">
        <v>1330</v>
      </c>
      <c r="B162" s="67" t="s">
        <v>224</v>
      </c>
      <c r="C162" s="70">
        <v>46254</v>
      </c>
      <c r="D162" s="67">
        <v>7</v>
      </c>
    </row>
    <row r="163" spans="1:4">
      <c r="A163" s="67" t="s">
        <v>1331</v>
      </c>
      <c r="B163" s="67" t="s">
        <v>266</v>
      </c>
      <c r="C163" s="70">
        <v>46255</v>
      </c>
      <c r="D163" s="67">
        <v>9</v>
      </c>
    </row>
    <row r="164" spans="1:4">
      <c r="A164" s="67" t="s">
        <v>1332</v>
      </c>
      <c r="B164" s="67" t="s">
        <v>44</v>
      </c>
      <c r="C164" s="70">
        <v>46259</v>
      </c>
      <c r="D164" s="67">
        <v>8</v>
      </c>
    </row>
    <row r="165" spans="1:4">
      <c r="A165" s="67" t="s">
        <v>1333</v>
      </c>
      <c r="B165" s="67" t="s">
        <v>126</v>
      </c>
      <c r="C165" s="70">
        <v>46262</v>
      </c>
      <c r="D165" s="67">
        <v>6</v>
      </c>
    </row>
    <row r="166" spans="1:4">
      <c r="A166" s="67" t="s">
        <v>1334</v>
      </c>
      <c r="B166" s="67" t="s">
        <v>332</v>
      </c>
      <c r="C166" s="70">
        <v>46264</v>
      </c>
      <c r="D166" s="67">
        <v>9</v>
      </c>
    </row>
    <row r="167" spans="1:4">
      <c r="A167" s="67" t="s">
        <v>1335</v>
      </c>
      <c r="B167" s="67" t="s">
        <v>288</v>
      </c>
      <c r="C167" s="70">
        <v>46270</v>
      </c>
      <c r="D167" s="67">
        <v>6</v>
      </c>
    </row>
    <row r="168" spans="1:4">
      <c r="A168" s="67" t="s">
        <v>1336</v>
      </c>
      <c r="B168" s="67" t="s">
        <v>83</v>
      </c>
      <c r="C168" s="70">
        <v>46272</v>
      </c>
      <c r="D168" s="67">
        <v>6</v>
      </c>
    </row>
    <row r="169" spans="1:4">
      <c r="A169" s="67" t="s">
        <v>1337</v>
      </c>
      <c r="B169" s="67" t="s">
        <v>78</v>
      </c>
      <c r="C169" s="70">
        <v>46274</v>
      </c>
      <c r="D169" s="67">
        <v>9</v>
      </c>
    </row>
    <row r="170" spans="1:4">
      <c r="A170" s="67" t="s">
        <v>1338</v>
      </c>
      <c r="B170" s="67" t="s">
        <v>106</v>
      </c>
      <c r="C170" s="70">
        <v>46275</v>
      </c>
      <c r="D170" s="67">
        <v>8</v>
      </c>
    </row>
    <row r="171" spans="1:4">
      <c r="A171" s="67" t="s">
        <v>1339</v>
      </c>
      <c r="B171" s="67" t="s">
        <v>206</v>
      </c>
      <c r="C171" s="70">
        <v>46275</v>
      </c>
      <c r="D171" s="67">
        <v>6</v>
      </c>
    </row>
    <row r="172" spans="1:4">
      <c r="A172" s="67" t="s">
        <v>1340</v>
      </c>
      <c r="B172" s="67" t="s">
        <v>164</v>
      </c>
      <c r="C172" s="70">
        <v>46280</v>
      </c>
      <c r="D172" s="67">
        <v>4</v>
      </c>
    </row>
    <row r="173" spans="1:4">
      <c r="A173" s="67" t="s">
        <v>1341</v>
      </c>
      <c r="B173" s="67" t="s">
        <v>162</v>
      </c>
      <c r="C173" s="70">
        <v>46284</v>
      </c>
      <c r="D173" s="67">
        <v>10</v>
      </c>
    </row>
    <row r="174" spans="1:4">
      <c r="A174" s="67" t="s">
        <v>1342</v>
      </c>
      <c r="B174" s="67" t="s">
        <v>326</v>
      </c>
      <c r="C174" s="70">
        <v>46284</v>
      </c>
      <c r="D174" s="67">
        <v>6</v>
      </c>
    </row>
    <row r="175" spans="1:4">
      <c r="A175" s="67" t="s">
        <v>1343</v>
      </c>
      <c r="B175" s="67" t="s">
        <v>87</v>
      </c>
      <c r="C175" s="70">
        <v>46286</v>
      </c>
      <c r="D175" s="67">
        <v>10</v>
      </c>
    </row>
    <row r="176" spans="1:4">
      <c r="A176" s="67" t="s">
        <v>1344</v>
      </c>
      <c r="B176" s="67" t="s">
        <v>174</v>
      </c>
      <c r="C176" s="70">
        <v>46287</v>
      </c>
      <c r="D176" s="67">
        <v>9</v>
      </c>
    </row>
    <row r="177" spans="1:4">
      <c r="A177" s="67" t="s">
        <v>1345</v>
      </c>
      <c r="B177" s="67" t="s">
        <v>35</v>
      </c>
      <c r="C177" s="70">
        <v>46294</v>
      </c>
      <c r="D177" s="67">
        <v>8</v>
      </c>
    </row>
    <row r="178" spans="1:4">
      <c r="A178" s="67" t="s">
        <v>1346</v>
      </c>
      <c r="B178" s="67" t="s">
        <v>208</v>
      </c>
      <c r="C178" s="70">
        <v>46295</v>
      </c>
      <c r="D178" s="67">
        <v>10</v>
      </c>
    </row>
    <row r="179" spans="1:4">
      <c r="A179" s="67" t="s">
        <v>1347</v>
      </c>
      <c r="B179" s="67" t="s">
        <v>274</v>
      </c>
      <c r="C179" s="70">
        <v>46295</v>
      </c>
      <c r="D179" s="67">
        <v>3</v>
      </c>
    </row>
  </sheetData>
  <pageMargins left="0.7" right="0.7" top="0.75" bottom="0.75" header="0.3" footer="0.3"/>
  <tableParts count="1">
    <tablePart r:id="rId1"/>
  </tableParts>
</worksheet>
</file>

<file path=xl/worksheets/sheet19.xml><?xml version="1.0" encoding="utf-8"?>
<worksheet xmlns="http://schemas.openxmlformats.org/spreadsheetml/2006/main" xmlns:r="http://schemas.openxmlformats.org/officeDocument/2006/relationships">
  <sheetPr>
    <tabColor rgb="FF808080"/>
  </sheetPr>
  <dimension ref="A1:K37"/>
  <sheetViews>
    <sheetView workbookViewId="0">
      <pane ySplit="1" topLeftCell="A2" activePane="bottomLeft" state="frozen"/>
      <selection pane="bottomLeft"/>
    </sheetView>
  </sheetViews>
  <sheetFormatPr defaultRowHeight="15"/>
  <cols>
    <col min="1" max="1" width="11.7109375" customWidth="1"/>
    <col min="2" max="2" width="38.7109375" customWidth="1"/>
    <col min="3" max="3" width="13.7109375" customWidth="1"/>
    <col min="4" max="4" width="15.7109375" customWidth="1"/>
    <col min="5" max="6" width="12.7109375" customWidth="1"/>
    <col min="7" max="7" width="16.7109375" customWidth="1"/>
    <col min="8" max="8" width="14.7109375" customWidth="1"/>
    <col min="9" max="9" width="15.7109375" customWidth="1"/>
    <col min="10" max="10" width="13.7109375" customWidth="1"/>
    <col min="11" max="11" width="19.7109375" customWidth="1"/>
  </cols>
  <sheetData>
    <row r="1" spans="1:11">
      <c r="A1" t="s">
        <v>1348</v>
      </c>
      <c r="B1" t="s">
        <v>1349</v>
      </c>
      <c r="C1" t="s">
        <v>1350</v>
      </c>
      <c r="D1" t="s">
        <v>1351</v>
      </c>
      <c r="E1" t="s">
        <v>1352</v>
      </c>
      <c r="F1" t="s">
        <v>1353</v>
      </c>
      <c r="G1" t="s">
        <v>1354</v>
      </c>
      <c r="H1" t="s">
        <v>1355</v>
      </c>
      <c r="I1" t="s">
        <v>1356</v>
      </c>
      <c r="J1" t="s">
        <v>1357</v>
      </c>
      <c r="K1" t="s">
        <v>1358</v>
      </c>
    </row>
    <row r="2" spans="1:11">
      <c r="A2" s="67" t="s">
        <v>1359</v>
      </c>
      <c r="B2" s="67" t="s">
        <v>1360</v>
      </c>
      <c r="C2" s="67" t="s">
        <v>1361</v>
      </c>
      <c r="D2" s="67" t="s">
        <v>1362</v>
      </c>
      <c r="E2" s="67" t="s">
        <v>1363</v>
      </c>
      <c r="F2" s="67" t="s">
        <v>1364</v>
      </c>
      <c r="G2" s="67" t="s">
        <v>1365</v>
      </c>
      <c r="H2" s="70">
        <v>45190</v>
      </c>
      <c r="I2" s="70">
        <v>45939</v>
      </c>
      <c r="J2" s="67">
        <v>24</v>
      </c>
      <c r="K2" s="71">
        <v>8</v>
      </c>
    </row>
    <row r="3" spans="1:11">
      <c r="A3" s="67" t="s">
        <v>1366</v>
      </c>
      <c r="B3" s="67" t="s">
        <v>1367</v>
      </c>
      <c r="C3" s="67" t="s">
        <v>1361</v>
      </c>
      <c r="D3" s="67" t="s">
        <v>1368</v>
      </c>
      <c r="E3" s="67" t="s">
        <v>1363</v>
      </c>
      <c r="F3" s="67" t="s">
        <v>1369</v>
      </c>
      <c r="G3" s="67" t="s">
        <v>1370</v>
      </c>
      <c r="H3" s="70">
        <v>45781</v>
      </c>
      <c r="I3" s="70">
        <v>46052</v>
      </c>
      <c r="J3" s="67">
        <v>39</v>
      </c>
      <c r="K3" s="71">
        <v>1.5</v>
      </c>
    </row>
    <row r="4" spans="1:11">
      <c r="A4" s="67" t="s">
        <v>1371</v>
      </c>
      <c r="B4" s="67" t="s">
        <v>1372</v>
      </c>
      <c r="C4" s="67" t="s">
        <v>1361</v>
      </c>
      <c r="D4" s="67" t="s">
        <v>1362</v>
      </c>
      <c r="E4" s="67" t="s">
        <v>1363</v>
      </c>
      <c r="F4" s="67" t="s">
        <v>1373</v>
      </c>
      <c r="G4" s="67" t="s">
        <v>1374</v>
      </c>
      <c r="H4" s="70">
        <v>45846</v>
      </c>
      <c r="I4" s="70">
        <v>46113</v>
      </c>
      <c r="J4" s="67">
        <v>7</v>
      </c>
      <c r="K4" s="71">
        <v>1.5</v>
      </c>
    </row>
    <row r="5" spans="1:11">
      <c r="A5" s="67" t="s">
        <v>1375</v>
      </c>
      <c r="B5" s="67" t="s">
        <v>1376</v>
      </c>
      <c r="C5" s="67" t="s">
        <v>1377</v>
      </c>
      <c r="D5" s="67" t="s">
        <v>1368</v>
      </c>
      <c r="E5" s="67" t="s">
        <v>62</v>
      </c>
      <c r="F5" s="67" t="s">
        <v>1369</v>
      </c>
      <c r="G5" s="67" t="s">
        <v>1370</v>
      </c>
      <c r="H5" s="70">
        <v>45325</v>
      </c>
      <c r="I5" s="70">
        <v>45906</v>
      </c>
      <c r="J5" s="67">
        <v>32</v>
      </c>
      <c r="K5" s="71">
        <v>0.5</v>
      </c>
    </row>
    <row r="6" spans="1:11">
      <c r="A6" s="67" t="s">
        <v>1378</v>
      </c>
      <c r="B6" s="67" t="s">
        <v>1379</v>
      </c>
      <c r="C6" s="67" t="s">
        <v>1361</v>
      </c>
      <c r="D6" s="67" t="s">
        <v>1368</v>
      </c>
      <c r="E6" s="67" t="s">
        <v>22</v>
      </c>
      <c r="F6" s="67" t="s">
        <v>1369</v>
      </c>
      <c r="G6" s="67" t="s">
        <v>1380</v>
      </c>
      <c r="H6" s="70">
        <v>44854</v>
      </c>
      <c r="I6" s="70">
        <v>46063</v>
      </c>
      <c r="J6" s="67">
        <v>18</v>
      </c>
      <c r="K6" s="71">
        <v>6</v>
      </c>
    </row>
    <row r="7" spans="1:11">
      <c r="A7" s="67" t="s">
        <v>1381</v>
      </c>
      <c r="B7" s="67" t="s">
        <v>1382</v>
      </c>
      <c r="C7" s="67" t="s">
        <v>1361</v>
      </c>
      <c r="D7" s="67" t="s">
        <v>1368</v>
      </c>
      <c r="E7" s="67" t="s">
        <v>1383</v>
      </c>
      <c r="F7" s="67" t="s">
        <v>1373</v>
      </c>
      <c r="G7" s="67" t="s">
        <v>1380</v>
      </c>
      <c r="H7" s="70">
        <v>44719</v>
      </c>
      <c r="I7" s="70">
        <v>45966</v>
      </c>
      <c r="J7" s="67">
        <v>37</v>
      </c>
      <c r="K7" s="71">
        <v>0.5</v>
      </c>
    </row>
    <row r="8" spans="1:11">
      <c r="A8" s="67" t="s">
        <v>1384</v>
      </c>
      <c r="B8" s="67" t="s">
        <v>1385</v>
      </c>
      <c r="C8" s="67" t="s">
        <v>1377</v>
      </c>
      <c r="D8" s="67" t="s">
        <v>1386</v>
      </c>
      <c r="E8" s="67" t="s">
        <v>22</v>
      </c>
      <c r="F8" s="67" t="s">
        <v>1373</v>
      </c>
      <c r="G8" s="67" t="s">
        <v>1365</v>
      </c>
      <c r="H8" s="70">
        <v>45671</v>
      </c>
      <c r="I8" s="70">
        <v>45800</v>
      </c>
      <c r="J8" s="67">
        <v>3</v>
      </c>
      <c r="K8" s="71">
        <v>0.5</v>
      </c>
    </row>
    <row r="9" spans="1:11">
      <c r="A9" s="67" t="s">
        <v>1387</v>
      </c>
      <c r="B9" s="67" t="s">
        <v>1388</v>
      </c>
      <c r="C9" s="67" t="s">
        <v>1361</v>
      </c>
      <c r="D9" s="67" t="s">
        <v>1368</v>
      </c>
      <c r="E9" s="67" t="s">
        <v>1363</v>
      </c>
      <c r="F9" s="67" t="s">
        <v>1369</v>
      </c>
      <c r="G9" s="67" t="s">
        <v>1374</v>
      </c>
      <c r="H9" s="70">
        <v>44756</v>
      </c>
      <c r="I9" s="70">
        <v>46172</v>
      </c>
      <c r="J9" s="67">
        <v>37</v>
      </c>
      <c r="K9" s="71">
        <v>6</v>
      </c>
    </row>
    <row r="10" spans="1:11">
      <c r="A10" s="67" t="s">
        <v>1389</v>
      </c>
      <c r="B10" s="67" t="s">
        <v>1390</v>
      </c>
      <c r="C10" s="67" t="s">
        <v>1361</v>
      </c>
      <c r="D10" s="67" t="s">
        <v>1368</v>
      </c>
      <c r="E10" s="67" t="s">
        <v>1363</v>
      </c>
      <c r="F10" s="67" t="s">
        <v>1369</v>
      </c>
      <c r="G10" s="67" t="s">
        <v>1380</v>
      </c>
      <c r="H10" s="70">
        <v>44770</v>
      </c>
      <c r="I10" s="70">
        <v>46237</v>
      </c>
      <c r="J10" s="67">
        <v>35</v>
      </c>
      <c r="K10" s="71">
        <v>3</v>
      </c>
    </row>
    <row r="11" spans="1:11">
      <c r="A11" s="67" t="s">
        <v>1391</v>
      </c>
      <c r="B11" s="67" t="s">
        <v>1392</v>
      </c>
      <c r="C11" s="67" t="s">
        <v>1377</v>
      </c>
      <c r="D11" s="67" t="s">
        <v>5</v>
      </c>
      <c r="E11" s="67" t="s">
        <v>22</v>
      </c>
      <c r="F11" s="67" t="s">
        <v>1369</v>
      </c>
      <c r="G11" s="67" t="s">
        <v>1380</v>
      </c>
      <c r="H11" s="70">
        <v>44668</v>
      </c>
      <c r="I11" s="70">
        <v>44934</v>
      </c>
      <c r="J11" s="67">
        <v>24</v>
      </c>
      <c r="K11" s="71">
        <v>1</v>
      </c>
    </row>
    <row r="12" spans="1:11">
      <c r="A12" s="67" t="s">
        <v>1393</v>
      </c>
      <c r="B12" s="67" t="s">
        <v>1394</v>
      </c>
      <c r="C12" s="67" t="s">
        <v>1395</v>
      </c>
      <c r="D12" s="67" t="s">
        <v>1396</v>
      </c>
      <c r="E12" s="67" t="s">
        <v>22</v>
      </c>
      <c r="F12" s="67" t="s">
        <v>1369</v>
      </c>
      <c r="G12" s="67" t="s">
        <v>1380</v>
      </c>
      <c r="H12" s="70">
        <v>44670</v>
      </c>
      <c r="I12" s="70">
        <v>44842</v>
      </c>
      <c r="J12" s="67">
        <v>3</v>
      </c>
      <c r="K12" s="71">
        <v>8</v>
      </c>
    </row>
    <row r="13" spans="1:11">
      <c r="A13" s="67" t="s">
        <v>1397</v>
      </c>
      <c r="B13" s="67" t="s">
        <v>1398</v>
      </c>
      <c r="C13" s="67" t="s">
        <v>1395</v>
      </c>
      <c r="D13" s="67" t="s">
        <v>1396</v>
      </c>
      <c r="E13" s="67" t="s">
        <v>62</v>
      </c>
      <c r="F13" s="67" t="s">
        <v>1373</v>
      </c>
      <c r="G13" s="67" t="s">
        <v>1370</v>
      </c>
      <c r="H13" s="70">
        <v>44713</v>
      </c>
      <c r="I13" s="70">
        <v>45830</v>
      </c>
      <c r="J13" s="67">
        <v>1</v>
      </c>
      <c r="K13" s="71">
        <v>8</v>
      </c>
    </row>
    <row r="14" spans="1:11">
      <c r="A14" s="67" t="s">
        <v>1399</v>
      </c>
      <c r="B14" s="67" t="s">
        <v>1400</v>
      </c>
      <c r="C14" s="67" t="s">
        <v>1361</v>
      </c>
      <c r="D14" s="67" t="s">
        <v>1362</v>
      </c>
      <c r="E14" s="67" t="s">
        <v>22</v>
      </c>
      <c r="F14" s="67" t="s">
        <v>1364</v>
      </c>
      <c r="G14" s="67" t="s">
        <v>1374</v>
      </c>
      <c r="H14" s="70">
        <v>45808</v>
      </c>
      <c r="I14" s="70">
        <v>45990</v>
      </c>
      <c r="J14" s="67">
        <v>18</v>
      </c>
      <c r="K14" s="71">
        <v>6</v>
      </c>
    </row>
    <row r="15" spans="1:11">
      <c r="A15" s="67" t="s">
        <v>1401</v>
      </c>
      <c r="B15" s="67" t="s">
        <v>1402</v>
      </c>
      <c r="C15" s="67" t="s">
        <v>1377</v>
      </c>
      <c r="D15" s="67" t="s">
        <v>1362</v>
      </c>
      <c r="E15" s="67" t="s">
        <v>1403</v>
      </c>
      <c r="F15" s="67" t="s">
        <v>1373</v>
      </c>
      <c r="G15" s="67" t="s">
        <v>1370</v>
      </c>
      <c r="H15" s="70">
        <v>45079</v>
      </c>
      <c r="I15" s="70">
        <v>45878</v>
      </c>
      <c r="J15" s="67">
        <v>15</v>
      </c>
      <c r="K15" s="71">
        <v>1.5</v>
      </c>
    </row>
    <row r="16" spans="1:11">
      <c r="A16" s="67" t="s">
        <v>1404</v>
      </c>
      <c r="B16" s="67" t="s">
        <v>1405</v>
      </c>
      <c r="C16" s="67" t="s">
        <v>1361</v>
      </c>
      <c r="D16" s="67" t="s">
        <v>1368</v>
      </c>
      <c r="E16" s="67" t="s">
        <v>1363</v>
      </c>
      <c r="F16" s="67" t="s">
        <v>1373</v>
      </c>
      <c r="G16" s="67" t="s">
        <v>1370</v>
      </c>
      <c r="H16" s="70">
        <v>45942</v>
      </c>
      <c r="I16" s="70">
        <v>46257</v>
      </c>
      <c r="J16" s="67">
        <v>20</v>
      </c>
      <c r="K16" s="71">
        <v>6</v>
      </c>
    </row>
    <row r="17" spans="1:11">
      <c r="A17" s="67" t="s">
        <v>1406</v>
      </c>
      <c r="B17" s="67" t="s">
        <v>1407</v>
      </c>
      <c r="C17" s="67" t="s">
        <v>1361</v>
      </c>
      <c r="D17" s="67" t="s">
        <v>1368</v>
      </c>
      <c r="E17" s="67" t="s">
        <v>1363</v>
      </c>
      <c r="F17" s="67" t="s">
        <v>1364</v>
      </c>
      <c r="G17" s="67" t="s">
        <v>1365</v>
      </c>
      <c r="H17" s="70">
        <v>45836</v>
      </c>
      <c r="I17" s="70">
        <v>46150</v>
      </c>
      <c r="J17" s="67">
        <v>32</v>
      </c>
      <c r="K17" s="71">
        <v>8</v>
      </c>
    </row>
    <row r="18" spans="1:11">
      <c r="A18" s="67" t="s">
        <v>1408</v>
      </c>
      <c r="B18" s="67" t="s">
        <v>1409</v>
      </c>
      <c r="C18" s="67" t="s">
        <v>1361</v>
      </c>
      <c r="D18" s="67" t="s">
        <v>1410</v>
      </c>
      <c r="E18" s="67" t="s">
        <v>22</v>
      </c>
      <c r="F18" s="67" t="s">
        <v>1373</v>
      </c>
      <c r="G18" s="67" t="s">
        <v>1370</v>
      </c>
      <c r="H18" s="70">
        <v>44745</v>
      </c>
      <c r="I18" s="70">
        <v>45834</v>
      </c>
      <c r="J18" s="67">
        <v>27</v>
      </c>
      <c r="K18" s="71">
        <v>1.5</v>
      </c>
    </row>
    <row r="19" spans="1:11">
      <c r="A19" s="67" t="s">
        <v>1411</v>
      </c>
      <c r="B19" s="67" t="s">
        <v>1412</v>
      </c>
      <c r="C19" s="67" t="s">
        <v>1377</v>
      </c>
      <c r="D19" s="67" t="s">
        <v>1413</v>
      </c>
      <c r="E19" s="67" t="s">
        <v>1403</v>
      </c>
      <c r="F19" s="67" t="s">
        <v>1369</v>
      </c>
      <c r="G19" s="67" t="s">
        <v>1370</v>
      </c>
      <c r="H19" s="70">
        <v>44718</v>
      </c>
      <c r="I19" s="70">
        <v>45894</v>
      </c>
      <c r="J19" s="67">
        <v>35</v>
      </c>
      <c r="K19" s="71">
        <v>8</v>
      </c>
    </row>
    <row r="20" spans="1:11">
      <c r="A20" s="67" t="s">
        <v>1414</v>
      </c>
      <c r="B20" s="67" t="s">
        <v>1415</v>
      </c>
      <c r="C20" s="67" t="s">
        <v>1377</v>
      </c>
      <c r="D20" s="67" t="s">
        <v>1416</v>
      </c>
      <c r="E20" s="67" t="s">
        <v>1403</v>
      </c>
      <c r="F20" s="67" t="s">
        <v>1373</v>
      </c>
      <c r="G20" s="67" t="s">
        <v>1380</v>
      </c>
      <c r="H20" s="70">
        <v>45680</v>
      </c>
      <c r="I20" s="70">
        <v>45812</v>
      </c>
      <c r="J20" s="67">
        <v>36</v>
      </c>
      <c r="K20" s="71">
        <v>2</v>
      </c>
    </row>
    <row r="21" spans="1:11">
      <c r="A21" s="67" t="s">
        <v>1417</v>
      </c>
      <c r="B21" s="67" t="s">
        <v>1418</v>
      </c>
      <c r="C21" s="67" t="s">
        <v>1361</v>
      </c>
      <c r="D21" s="67" t="s">
        <v>1362</v>
      </c>
      <c r="E21" s="67" t="s">
        <v>22</v>
      </c>
      <c r="F21" s="67" t="s">
        <v>1369</v>
      </c>
      <c r="G21" s="67" t="s">
        <v>1380</v>
      </c>
      <c r="H21" s="70">
        <v>44984</v>
      </c>
      <c r="I21" s="70">
        <v>45062</v>
      </c>
      <c r="J21" s="67">
        <v>36</v>
      </c>
      <c r="K21" s="71">
        <v>0.5</v>
      </c>
    </row>
    <row r="22" spans="1:11">
      <c r="A22" s="67" t="s">
        <v>1419</v>
      </c>
      <c r="B22" s="67" t="s">
        <v>1420</v>
      </c>
      <c r="C22" s="67" t="s">
        <v>1377</v>
      </c>
      <c r="D22" s="67" t="s">
        <v>1368</v>
      </c>
      <c r="E22" s="67" t="s">
        <v>1363</v>
      </c>
      <c r="F22" s="67" t="s">
        <v>1364</v>
      </c>
      <c r="G22" s="67" t="s">
        <v>1374</v>
      </c>
      <c r="H22" s="70">
        <v>45179</v>
      </c>
      <c r="I22" s="70">
        <v>45560</v>
      </c>
      <c r="J22" s="67">
        <v>26</v>
      </c>
      <c r="K22" s="71">
        <v>0.5</v>
      </c>
    </row>
    <row r="23" spans="1:11">
      <c r="A23" s="67" t="s">
        <v>1421</v>
      </c>
      <c r="B23" s="67" t="s">
        <v>1422</v>
      </c>
      <c r="C23" s="67" t="s">
        <v>1377</v>
      </c>
      <c r="D23" s="67" t="s">
        <v>5</v>
      </c>
      <c r="E23" s="67" t="s">
        <v>22</v>
      </c>
      <c r="F23" s="67" t="s">
        <v>1369</v>
      </c>
      <c r="G23" s="67" t="s">
        <v>1380</v>
      </c>
      <c r="H23" s="70">
        <v>45444</v>
      </c>
      <c r="I23" s="70">
        <v>45474</v>
      </c>
      <c r="J23" s="67">
        <v>27</v>
      </c>
      <c r="K23" s="71">
        <v>6</v>
      </c>
    </row>
    <row r="24" spans="1:11">
      <c r="A24" s="67" t="s">
        <v>1423</v>
      </c>
      <c r="B24" s="67" t="s">
        <v>1424</v>
      </c>
      <c r="C24" s="67" t="s">
        <v>1361</v>
      </c>
      <c r="D24" s="67" t="s">
        <v>1410</v>
      </c>
      <c r="E24" s="67" t="s">
        <v>1383</v>
      </c>
      <c r="F24" s="67" t="s">
        <v>1369</v>
      </c>
      <c r="G24" s="67" t="s">
        <v>1370</v>
      </c>
      <c r="H24" s="70">
        <v>44727</v>
      </c>
      <c r="I24" s="70">
        <v>45406</v>
      </c>
      <c r="J24" s="67">
        <v>39</v>
      </c>
      <c r="K24" s="71">
        <v>0.5</v>
      </c>
    </row>
    <row r="25" spans="1:11">
      <c r="A25" s="67" t="s">
        <v>1425</v>
      </c>
      <c r="B25" s="67" t="s">
        <v>1426</v>
      </c>
      <c r="C25" s="67" t="s">
        <v>1361</v>
      </c>
      <c r="D25" s="67" t="s">
        <v>1416</v>
      </c>
      <c r="E25" s="67" t="s">
        <v>22</v>
      </c>
      <c r="F25" s="67" t="s">
        <v>1373</v>
      </c>
      <c r="G25" s="67" t="s">
        <v>1365</v>
      </c>
      <c r="H25" s="70">
        <v>45933</v>
      </c>
      <c r="I25" s="70">
        <v>46277</v>
      </c>
      <c r="J25" s="67">
        <v>13</v>
      </c>
      <c r="K25" s="71">
        <v>3</v>
      </c>
    </row>
    <row r="26" spans="1:11">
      <c r="A26" s="67" t="s">
        <v>1427</v>
      </c>
      <c r="B26" s="67" t="s">
        <v>1428</v>
      </c>
      <c r="C26" s="67" t="s">
        <v>1377</v>
      </c>
      <c r="D26" s="67" t="s">
        <v>1362</v>
      </c>
      <c r="E26" s="67" t="s">
        <v>62</v>
      </c>
      <c r="F26" s="67" t="s">
        <v>1364</v>
      </c>
      <c r="G26" s="67" t="s">
        <v>1380</v>
      </c>
      <c r="H26" s="70">
        <v>44886</v>
      </c>
      <c r="I26" s="70">
        <v>45246</v>
      </c>
      <c r="J26" s="67">
        <v>26</v>
      </c>
      <c r="K26" s="71">
        <v>3</v>
      </c>
    </row>
    <row r="27" spans="1:11">
      <c r="A27" s="67" t="s">
        <v>1429</v>
      </c>
      <c r="B27" s="67" t="s">
        <v>1430</v>
      </c>
      <c r="C27" s="67" t="s">
        <v>1361</v>
      </c>
      <c r="D27" s="67" t="s">
        <v>1368</v>
      </c>
      <c r="E27" s="67" t="s">
        <v>1363</v>
      </c>
      <c r="F27" s="67" t="s">
        <v>1369</v>
      </c>
      <c r="G27" s="67" t="s">
        <v>1370</v>
      </c>
      <c r="H27" s="70">
        <v>45481</v>
      </c>
      <c r="I27" s="70">
        <v>45667</v>
      </c>
      <c r="J27" s="67">
        <v>32</v>
      </c>
      <c r="K27" s="71">
        <v>6</v>
      </c>
    </row>
    <row r="28" spans="1:11">
      <c r="A28" s="67" t="s">
        <v>1431</v>
      </c>
      <c r="B28" s="67" t="s">
        <v>1432</v>
      </c>
      <c r="C28" s="67" t="s">
        <v>1377</v>
      </c>
      <c r="D28" s="67" t="s">
        <v>1433</v>
      </c>
      <c r="E28" s="67" t="s">
        <v>22</v>
      </c>
      <c r="F28" s="67" t="s">
        <v>1369</v>
      </c>
      <c r="G28" s="67" t="s">
        <v>1380</v>
      </c>
      <c r="H28" s="70">
        <v>45594</v>
      </c>
      <c r="I28" s="70">
        <v>45737</v>
      </c>
      <c r="J28" s="67">
        <v>21</v>
      </c>
      <c r="K28" s="71">
        <v>1.5</v>
      </c>
    </row>
    <row r="29" spans="1:11">
      <c r="A29" s="67" t="s">
        <v>1434</v>
      </c>
      <c r="B29" s="67" t="s">
        <v>1435</v>
      </c>
      <c r="C29" s="67" t="s">
        <v>1377</v>
      </c>
      <c r="D29" s="67" t="s">
        <v>1362</v>
      </c>
      <c r="E29" s="67" t="s">
        <v>22</v>
      </c>
      <c r="F29" s="67" t="s">
        <v>1373</v>
      </c>
      <c r="G29" s="67" t="s">
        <v>1374</v>
      </c>
      <c r="H29" s="70">
        <v>44688</v>
      </c>
      <c r="I29" s="70">
        <v>45193</v>
      </c>
      <c r="J29" s="67">
        <v>37</v>
      </c>
      <c r="K29" s="71">
        <v>3</v>
      </c>
    </row>
    <row r="30" spans="1:11">
      <c r="A30" s="67" t="s">
        <v>1436</v>
      </c>
      <c r="B30" s="67" t="s">
        <v>1437</v>
      </c>
      <c r="C30" s="67" t="s">
        <v>1377</v>
      </c>
      <c r="D30" s="67" t="s">
        <v>1362</v>
      </c>
      <c r="E30" s="67" t="s">
        <v>22</v>
      </c>
      <c r="F30" s="67" t="s">
        <v>1373</v>
      </c>
      <c r="G30" s="67" t="s">
        <v>1374</v>
      </c>
      <c r="H30" s="70">
        <v>45194</v>
      </c>
      <c r="I30" s="70">
        <v>45649</v>
      </c>
      <c r="J30" s="67">
        <v>37</v>
      </c>
      <c r="K30" s="71">
        <v>1</v>
      </c>
    </row>
    <row r="31" spans="1:11">
      <c r="A31" s="67" t="s">
        <v>1438</v>
      </c>
      <c r="B31" s="67" t="s">
        <v>1439</v>
      </c>
      <c r="C31" s="67" t="s">
        <v>1361</v>
      </c>
      <c r="D31" s="67" t="s">
        <v>1368</v>
      </c>
      <c r="E31" s="67" t="s">
        <v>22</v>
      </c>
      <c r="F31" s="67" t="s">
        <v>1364</v>
      </c>
      <c r="G31" s="67" t="s">
        <v>1374</v>
      </c>
      <c r="H31" s="70">
        <v>45299</v>
      </c>
      <c r="I31" s="70">
        <v>45713</v>
      </c>
      <c r="J31" s="67">
        <v>19</v>
      </c>
      <c r="K31" s="71">
        <v>1</v>
      </c>
    </row>
    <row r="32" spans="1:11">
      <c r="A32" s="67" t="s">
        <v>1440</v>
      </c>
      <c r="B32" s="67" t="s">
        <v>1441</v>
      </c>
      <c r="C32" s="67" t="s">
        <v>1395</v>
      </c>
      <c r="D32" s="67" t="s">
        <v>1396</v>
      </c>
      <c r="E32" s="67" t="s">
        <v>22</v>
      </c>
      <c r="F32" s="67" t="s">
        <v>1369</v>
      </c>
      <c r="G32" s="67" t="s">
        <v>1374</v>
      </c>
      <c r="H32" s="70">
        <v>44602</v>
      </c>
      <c r="I32" s="70">
        <v>45273</v>
      </c>
      <c r="J32" s="67">
        <v>5</v>
      </c>
      <c r="K32" s="71">
        <v>4</v>
      </c>
    </row>
    <row r="33" spans="1:11">
      <c r="A33" s="67" t="s">
        <v>1442</v>
      </c>
      <c r="B33" s="67" t="s">
        <v>1443</v>
      </c>
      <c r="C33" s="67" t="s">
        <v>1377</v>
      </c>
      <c r="D33" s="67" t="s">
        <v>1386</v>
      </c>
      <c r="E33" s="67" t="s">
        <v>1403</v>
      </c>
      <c r="F33" s="67" t="s">
        <v>1373</v>
      </c>
      <c r="G33" s="67" t="s">
        <v>1380</v>
      </c>
      <c r="H33" s="70">
        <v>45006</v>
      </c>
      <c r="I33" s="70">
        <v>45370</v>
      </c>
      <c r="J33" s="67">
        <v>4</v>
      </c>
      <c r="K33" s="71">
        <v>1.5</v>
      </c>
    </row>
    <row r="34" spans="1:11">
      <c r="A34" s="67" t="s">
        <v>1444</v>
      </c>
      <c r="B34" s="67" t="s">
        <v>1445</v>
      </c>
      <c r="C34" s="67" t="s">
        <v>1361</v>
      </c>
      <c r="D34" s="67" t="s">
        <v>1362</v>
      </c>
      <c r="E34" s="67" t="s">
        <v>22</v>
      </c>
      <c r="F34" s="67" t="s">
        <v>1364</v>
      </c>
      <c r="G34" s="67" t="s">
        <v>1370</v>
      </c>
      <c r="H34" s="70">
        <v>44817</v>
      </c>
      <c r="I34" s="70">
        <v>45168</v>
      </c>
      <c r="J34" s="67">
        <v>40</v>
      </c>
      <c r="K34" s="71">
        <v>2</v>
      </c>
    </row>
    <row r="35" spans="1:11">
      <c r="A35" s="67" t="s">
        <v>1446</v>
      </c>
      <c r="B35" s="67" t="s">
        <v>1447</v>
      </c>
      <c r="C35" s="67" t="s">
        <v>1361</v>
      </c>
      <c r="D35" s="67" t="s">
        <v>1362</v>
      </c>
      <c r="E35" s="67" t="s">
        <v>1363</v>
      </c>
      <c r="F35" s="67" t="s">
        <v>1373</v>
      </c>
      <c r="G35" s="67" t="s">
        <v>1380</v>
      </c>
      <c r="H35" s="70">
        <v>45540</v>
      </c>
      <c r="I35" s="70">
        <v>45891</v>
      </c>
      <c r="J35" s="67">
        <v>9</v>
      </c>
      <c r="K35" s="71">
        <v>2</v>
      </c>
    </row>
    <row r="36" spans="1:11">
      <c r="A36" s="67" t="s">
        <v>1448</v>
      </c>
      <c r="B36" s="67" t="s">
        <v>1449</v>
      </c>
      <c r="C36" s="67" t="s">
        <v>1361</v>
      </c>
      <c r="D36" s="67" t="s">
        <v>1433</v>
      </c>
      <c r="E36" s="67" t="s">
        <v>1383</v>
      </c>
      <c r="F36" s="67" t="s">
        <v>1369</v>
      </c>
      <c r="G36" s="67" t="s">
        <v>1370</v>
      </c>
      <c r="H36" s="70">
        <v>44962</v>
      </c>
      <c r="I36" s="70">
        <v>45179</v>
      </c>
      <c r="J36" s="67">
        <v>26</v>
      </c>
      <c r="K36" s="71">
        <v>4</v>
      </c>
    </row>
    <row r="37" spans="1:11">
      <c r="A37" s="67" t="s">
        <v>1450</v>
      </c>
      <c r="B37" s="67" t="s">
        <v>1451</v>
      </c>
      <c r="C37" s="67" t="s">
        <v>1377</v>
      </c>
      <c r="D37" s="67" t="s">
        <v>1413</v>
      </c>
      <c r="E37" s="67" t="s">
        <v>22</v>
      </c>
      <c r="F37" s="67" t="s">
        <v>1364</v>
      </c>
      <c r="G37" s="67" t="s">
        <v>1370</v>
      </c>
      <c r="H37" s="70">
        <v>45943</v>
      </c>
      <c r="I37" s="70">
        <v>46273</v>
      </c>
      <c r="J37" s="67">
        <v>36</v>
      </c>
      <c r="K37" s="71">
        <v>3</v>
      </c>
    </row>
  </sheetData>
  <pageMargins left="0.7" right="0.7" top="0.75" bottom="0.75" header="0.3" footer="0.3"/>
  <tableParts count="1">
    <tablePart r:id="rId1"/>
  </tableParts>
</worksheet>
</file>

<file path=xl/worksheets/sheet20.xml><?xml version="1.0" encoding="utf-8"?>
<worksheet xmlns="http://schemas.openxmlformats.org/spreadsheetml/2006/main" xmlns:r="http://schemas.openxmlformats.org/officeDocument/2006/relationships">
  <sheetPr>
    <tabColor rgb="FF808080"/>
  </sheetPr>
  <dimension ref="A1:G3632"/>
  <sheetViews>
    <sheetView workbookViewId="0">
      <pane ySplit="1" topLeftCell="A2" activePane="bottomLeft" state="frozen"/>
      <selection pane="bottomLeft"/>
    </sheetView>
  </sheetViews>
  <sheetFormatPr defaultRowHeight="15"/>
  <cols>
    <col min="1" max="1" width="11.7109375" customWidth="1"/>
    <col min="2" max="2" width="12.7109375" customWidth="1"/>
    <col min="3" max="3" width="11.7109375" customWidth="1"/>
    <col min="4" max="4" width="33.7109375" customWidth="1"/>
    <col min="5" max="5" width="17.7109375" customWidth="1"/>
    <col min="6" max="6" width="11.7109375" customWidth="1"/>
    <col min="7" max="7" width="14.7109375" customWidth="1"/>
  </cols>
  <sheetData>
    <row r="1" spans="1:7">
      <c r="A1" t="s">
        <v>1452</v>
      </c>
      <c r="B1" t="s">
        <v>1453</v>
      </c>
      <c r="C1" t="s">
        <v>1348</v>
      </c>
      <c r="D1" t="s">
        <v>1454</v>
      </c>
      <c r="E1" t="s">
        <v>1455</v>
      </c>
      <c r="F1" t="s">
        <v>1456</v>
      </c>
      <c r="G1" t="s">
        <v>1457</v>
      </c>
    </row>
    <row r="2" spans="1:7">
      <c r="A2" s="67" t="s">
        <v>1458</v>
      </c>
      <c r="B2" s="70">
        <v>46116</v>
      </c>
      <c r="C2" s="67" t="s">
        <v>1359</v>
      </c>
      <c r="D2" s="67" t="s">
        <v>1459</v>
      </c>
      <c r="E2" s="67" t="s">
        <v>1362</v>
      </c>
      <c r="F2" s="67" t="s">
        <v>1460</v>
      </c>
      <c r="G2" s="69">
        <v>18</v>
      </c>
    </row>
    <row r="3" spans="1:7">
      <c r="A3" s="67" t="s">
        <v>1461</v>
      </c>
      <c r="B3" s="70">
        <v>46116</v>
      </c>
      <c r="C3" s="67" t="s">
        <v>1366</v>
      </c>
      <c r="D3" s="67" t="s">
        <v>353</v>
      </c>
      <c r="E3" s="67" t="s">
        <v>1368</v>
      </c>
      <c r="F3" s="67" t="s">
        <v>1462</v>
      </c>
      <c r="G3" s="69">
        <v>332</v>
      </c>
    </row>
    <row r="4" spans="1:7">
      <c r="A4" s="67" t="s">
        <v>1463</v>
      </c>
      <c r="B4" s="70">
        <v>46116</v>
      </c>
      <c r="C4" s="67" t="s">
        <v>1366</v>
      </c>
      <c r="D4" s="67" t="s">
        <v>363</v>
      </c>
      <c r="E4" s="67" t="s">
        <v>1368</v>
      </c>
      <c r="F4" s="67" t="s">
        <v>1462</v>
      </c>
      <c r="G4" s="69">
        <v>209</v>
      </c>
    </row>
    <row r="5" spans="1:7">
      <c r="A5" s="67" t="s">
        <v>1464</v>
      </c>
      <c r="B5" s="70">
        <v>46116</v>
      </c>
      <c r="C5" s="67" t="s">
        <v>1366</v>
      </c>
      <c r="D5" s="67" t="s">
        <v>358</v>
      </c>
      <c r="E5" s="67" t="s">
        <v>1368</v>
      </c>
      <c r="F5" s="67" t="s">
        <v>1462</v>
      </c>
      <c r="G5" s="69">
        <v>212</v>
      </c>
    </row>
    <row r="6" spans="1:7">
      <c r="A6" s="67" t="s">
        <v>1465</v>
      </c>
      <c r="B6" s="70">
        <v>46116</v>
      </c>
      <c r="C6" s="67" t="s">
        <v>1371</v>
      </c>
      <c r="D6" s="67" t="s">
        <v>1466</v>
      </c>
      <c r="E6" s="67" t="s">
        <v>1386</v>
      </c>
      <c r="F6" s="67" t="s">
        <v>1462</v>
      </c>
      <c r="G6" s="69">
        <v>405</v>
      </c>
    </row>
    <row r="7" spans="1:7">
      <c r="A7" s="67" t="s">
        <v>1467</v>
      </c>
      <c r="B7" s="70">
        <v>46116</v>
      </c>
      <c r="C7" s="67" t="s">
        <v>1371</v>
      </c>
      <c r="D7" s="67" t="s">
        <v>1459</v>
      </c>
      <c r="E7" s="67" t="s">
        <v>1362</v>
      </c>
      <c r="F7" s="67" t="s">
        <v>1462</v>
      </c>
      <c r="G7" s="69">
        <v>84</v>
      </c>
    </row>
    <row r="8" spans="1:7">
      <c r="A8" s="67" t="s">
        <v>1468</v>
      </c>
      <c r="B8" s="70">
        <v>46116</v>
      </c>
      <c r="C8" s="67" t="s">
        <v>1375</v>
      </c>
      <c r="D8" s="67" t="s">
        <v>1469</v>
      </c>
      <c r="E8" s="67" t="s">
        <v>1470</v>
      </c>
      <c r="F8" s="67" t="s">
        <v>1462</v>
      </c>
      <c r="G8" s="69">
        <v>274</v>
      </c>
    </row>
    <row r="9" spans="1:7">
      <c r="A9" s="67" t="s">
        <v>1471</v>
      </c>
      <c r="B9" s="70">
        <v>46116</v>
      </c>
      <c r="C9" s="67" t="s">
        <v>1381</v>
      </c>
      <c r="D9" s="67" t="s">
        <v>356</v>
      </c>
      <c r="E9" s="67" t="s">
        <v>1368</v>
      </c>
      <c r="F9" s="67" t="s">
        <v>1462</v>
      </c>
      <c r="G9" s="69">
        <v>518</v>
      </c>
    </row>
    <row r="10" spans="1:7">
      <c r="A10" s="67" t="s">
        <v>1472</v>
      </c>
      <c r="B10" s="70">
        <v>46116</v>
      </c>
      <c r="C10" s="67" t="s">
        <v>1381</v>
      </c>
      <c r="D10" s="67" t="s">
        <v>367</v>
      </c>
      <c r="E10" s="67" t="s">
        <v>1368</v>
      </c>
      <c r="F10" s="67" t="s">
        <v>1462</v>
      </c>
      <c r="G10" s="69">
        <v>536</v>
      </c>
    </row>
    <row r="11" spans="1:7">
      <c r="A11" s="67" t="s">
        <v>1473</v>
      </c>
      <c r="B11" s="70">
        <v>46116</v>
      </c>
      <c r="C11" s="67" t="s">
        <v>1389</v>
      </c>
      <c r="D11" s="67" t="s">
        <v>363</v>
      </c>
      <c r="E11" s="67" t="s">
        <v>1368</v>
      </c>
      <c r="F11" s="67" t="s">
        <v>1462</v>
      </c>
      <c r="G11" s="69">
        <v>106</v>
      </c>
    </row>
    <row r="12" spans="1:7">
      <c r="A12" s="67" t="s">
        <v>1474</v>
      </c>
      <c r="B12" s="70">
        <v>46116</v>
      </c>
      <c r="C12" s="67" t="s">
        <v>1399</v>
      </c>
      <c r="D12" s="67" t="s">
        <v>356</v>
      </c>
      <c r="E12" s="67" t="s">
        <v>1368</v>
      </c>
      <c r="F12" s="67" t="s">
        <v>1462</v>
      </c>
      <c r="G12" s="69">
        <v>172</v>
      </c>
    </row>
    <row r="13" spans="1:7">
      <c r="A13" s="67" t="s">
        <v>1475</v>
      </c>
      <c r="B13" s="70">
        <v>46116</v>
      </c>
      <c r="C13" s="67" t="s">
        <v>1399</v>
      </c>
      <c r="D13" s="67" t="s">
        <v>1476</v>
      </c>
      <c r="E13" s="67" t="s">
        <v>1362</v>
      </c>
      <c r="F13" s="67" t="s">
        <v>1462</v>
      </c>
      <c r="G13" s="69">
        <v>418</v>
      </c>
    </row>
    <row r="14" spans="1:7">
      <c r="A14" s="67" t="s">
        <v>1477</v>
      </c>
      <c r="B14" s="70">
        <v>46116</v>
      </c>
      <c r="C14" s="67" t="s">
        <v>1399</v>
      </c>
      <c r="D14" s="67" t="s">
        <v>1466</v>
      </c>
      <c r="E14" s="67" t="s">
        <v>1386</v>
      </c>
      <c r="F14" s="67" t="s">
        <v>1460</v>
      </c>
      <c r="G14" s="69">
        <v>10</v>
      </c>
    </row>
    <row r="15" spans="1:7">
      <c r="A15" s="67" t="s">
        <v>1478</v>
      </c>
      <c r="B15" s="70">
        <v>46116</v>
      </c>
      <c r="C15" s="67" t="s">
        <v>1408</v>
      </c>
      <c r="D15" s="67" t="s">
        <v>1479</v>
      </c>
      <c r="E15" s="67" t="s">
        <v>1410</v>
      </c>
      <c r="F15" s="67" t="s">
        <v>1462</v>
      </c>
      <c r="G15" s="69">
        <v>508</v>
      </c>
    </row>
    <row r="16" spans="1:7">
      <c r="A16" s="67" t="s">
        <v>1480</v>
      </c>
      <c r="B16" s="70">
        <v>46116</v>
      </c>
      <c r="C16" s="67" t="s">
        <v>1411</v>
      </c>
      <c r="D16" s="67" t="s">
        <v>1481</v>
      </c>
      <c r="E16" s="67" t="s">
        <v>1482</v>
      </c>
      <c r="F16" s="67" t="s">
        <v>1462</v>
      </c>
      <c r="G16" s="69">
        <v>381</v>
      </c>
    </row>
    <row r="17" spans="1:7">
      <c r="A17" s="67" t="s">
        <v>1483</v>
      </c>
      <c r="B17" s="70">
        <v>46116</v>
      </c>
      <c r="C17" s="67" t="s">
        <v>1414</v>
      </c>
      <c r="D17" s="67" t="s">
        <v>1484</v>
      </c>
      <c r="E17" s="67" t="s">
        <v>1470</v>
      </c>
      <c r="F17" s="67" t="s">
        <v>1462</v>
      </c>
      <c r="G17" s="69">
        <v>172</v>
      </c>
    </row>
    <row r="18" spans="1:7">
      <c r="A18" s="67" t="s">
        <v>1485</v>
      </c>
      <c r="B18" s="70">
        <v>46116</v>
      </c>
      <c r="C18" s="67" t="s">
        <v>1414</v>
      </c>
      <c r="D18" s="67" t="s">
        <v>1484</v>
      </c>
      <c r="E18" s="67" t="s">
        <v>1470</v>
      </c>
      <c r="F18" s="67" t="s">
        <v>1462</v>
      </c>
      <c r="G18" s="69">
        <v>78</v>
      </c>
    </row>
    <row r="19" spans="1:7">
      <c r="A19" s="67" t="s">
        <v>1486</v>
      </c>
      <c r="B19" s="70">
        <v>46116</v>
      </c>
      <c r="C19" s="67" t="s">
        <v>1423</v>
      </c>
      <c r="D19" s="67" t="s">
        <v>1487</v>
      </c>
      <c r="E19" s="67" t="s">
        <v>1410</v>
      </c>
      <c r="F19" s="67" t="s">
        <v>1488</v>
      </c>
      <c r="G19" s="69">
        <v>7</v>
      </c>
    </row>
    <row r="20" spans="1:7">
      <c r="A20" s="67" t="s">
        <v>1489</v>
      </c>
      <c r="B20" s="70">
        <v>46116</v>
      </c>
      <c r="C20" s="67" t="s">
        <v>1425</v>
      </c>
      <c r="D20" s="67" t="s">
        <v>1484</v>
      </c>
      <c r="E20" s="67" t="s">
        <v>1470</v>
      </c>
      <c r="F20" s="67" t="s">
        <v>1462</v>
      </c>
      <c r="G20" s="69">
        <v>553</v>
      </c>
    </row>
    <row r="21" spans="1:7">
      <c r="A21" s="67" t="s">
        <v>1490</v>
      </c>
      <c r="B21" s="70">
        <v>46116</v>
      </c>
      <c r="C21" s="67" t="s">
        <v>1425</v>
      </c>
      <c r="D21" s="67" t="s">
        <v>1491</v>
      </c>
      <c r="E21" s="67" t="s">
        <v>1470</v>
      </c>
      <c r="F21" s="67" t="s">
        <v>1462</v>
      </c>
      <c r="G21" s="69">
        <v>295</v>
      </c>
    </row>
    <row r="22" spans="1:7">
      <c r="A22" s="67" t="s">
        <v>1492</v>
      </c>
      <c r="B22" s="70">
        <v>46116</v>
      </c>
      <c r="C22" s="67" t="s">
        <v>1429</v>
      </c>
      <c r="D22" s="67" t="s">
        <v>358</v>
      </c>
      <c r="E22" s="67" t="s">
        <v>1368</v>
      </c>
      <c r="F22" s="67" t="s">
        <v>1462</v>
      </c>
      <c r="G22" s="69">
        <v>351</v>
      </c>
    </row>
    <row r="23" spans="1:7">
      <c r="A23" s="67" t="s">
        <v>1493</v>
      </c>
      <c r="B23" s="70">
        <v>46116</v>
      </c>
      <c r="C23" s="67" t="s">
        <v>1442</v>
      </c>
      <c r="D23" s="67" t="s">
        <v>1466</v>
      </c>
      <c r="E23" s="67" t="s">
        <v>1386</v>
      </c>
      <c r="F23" s="67" t="s">
        <v>1462</v>
      </c>
      <c r="G23" s="69">
        <v>34</v>
      </c>
    </row>
    <row r="24" spans="1:7">
      <c r="A24" s="67" t="s">
        <v>1494</v>
      </c>
      <c r="B24" s="70">
        <v>46116</v>
      </c>
      <c r="C24" s="67" t="s">
        <v>1444</v>
      </c>
      <c r="D24" s="67" t="s">
        <v>367</v>
      </c>
      <c r="E24" s="67" t="s">
        <v>1368</v>
      </c>
      <c r="F24" s="67" t="s">
        <v>1460</v>
      </c>
      <c r="G24" s="69">
        <v>14</v>
      </c>
    </row>
    <row r="25" spans="1:7">
      <c r="A25" s="67" t="s">
        <v>1495</v>
      </c>
      <c r="B25" s="70">
        <v>46116</v>
      </c>
      <c r="C25" s="67" t="s">
        <v>1446</v>
      </c>
      <c r="D25" s="67" t="s">
        <v>356</v>
      </c>
      <c r="E25" s="67" t="s">
        <v>1368</v>
      </c>
      <c r="F25" s="67" t="s">
        <v>1462</v>
      </c>
      <c r="G25" s="69">
        <v>506</v>
      </c>
    </row>
    <row r="26" spans="1:7">
      <c r="A26" s="67" t="s">
        <v>1496</v>
      </c>
      <c r="B26" s="70">
        <v>46117</v>
      </c>
      <c r="C26" s="67" t="s">
        <v>1366</v>
      </c>
      <c r="D26" s="67" t="s">
        <v>358</v>
      </c>
      <c r="E26" s="67" t="s">
        <v>1368</v>
      </c>
      <c r="F26" s="67" t="s">
        <v>1462</v>
      </c>
      <c r="G26" s="69">
        <v>381</v>
      </c>
    </row>
    <row r="27" spans="1:7">
      <c r="A27" s="67" t="s">
        <v>1497</v>
      </c>
      <c r="B27" s="70">
        <v>46117</v>
      </c>
      <c r="C27" s="67" t="s">
        <v>1378</v>
      </c>
      <c r="D27" s="67" t="s">
        <v>369</v>
      </c>
      <c r="E27" s="67" t="s">
        <v>1368</v>
      </c>
      <c r="F27" s="67" t="s">
        <v>1462</v>
      </c>
      <c r="G27" s="69">
        <v>501</v>
      </c>
    </row>
    <row r="28" spans="1:7">
      <c r="A28" s="67" t="s">
        <v>1498</v>
      </c>
      <c r="B28" s="70">
        <v>46117</v>
      </c>
      <c r="C28" s="67" t="s">
        <v>1381</v>
      </c>
      <c r="D28" s="67" t="s">
        <v>353</v>
      </c>
      <c r="E28" s="67" t="s">
        <v>1368</v>
      </c>
      <c r="F28" s="67" t="s">
        <v>1460</v>
      </c>
      <c r="G28" s="69">
        <v>25</v>
      </c>
    </row>
    <row r="29" spans="1:7">
      <c r="A29" s="67" t="s">
        <v>1499</v>
      </c>
      <c r="B29" s="70">
        <v>46117</v>
      </c>
      <c r="C29" s="67" t="s">
        <v>1381</v>
      </c>
      <c r="D29" s="67" t="s">
        <v>356</v>
      </c>
      <c r="E29" s="67" t="s">
        <v>1368</v>
      </c>
      <c r="F29" s="67" t="s">
        <v>1462</v>
      </c>
      <c r="G29" s="69">
        <v>552</v>
      </c>
    </row>
    <row r="30" spans="1:7">
      <c r="A30" s="67" t="s">
        <v>1500</v>
      </c>
      <c r="B30" s="70">
        <v>46117</v>
      </c>
      <c r="C30" s="67" t="s">
        <v>1381</v>
      </c>
      <c r="D30" s="67" t="s">
        <v>369</v>
      </c>
      <c r="E30" s="67" t="s">
        <v>1368</v>
      </c>
      <c r="F30" s="67" t="s">
        <v>1460</v>
      </c>
      <c r="G30" s="69">
        <v>10</v>
      </c>
    </row>
    <row r="31" spans="1:7">
      <c r="A31" s="67" t="s">
        <v>1501</v>
      </c>
      <c r="B31" s="70">
        <v>46117</v>
      </c>
      <c r="C31" s="67" t="s">
        <v>1384</v>
      </c>
      <c r="D31" s="67" t="s">
        <v>1466</v>
      </c>
      <c r="E31" s="67" t="s">
        <v>1386</v>
      </c>
      <c r="F31" s="67" t="s">
        <v>1460</v>
      </c>
      <c r="G31" s="69">
        <v>16</v>
      </c>
    </row>
    <row r="32" spans="1:7">
      <c r="A32" s="67" t="s">
        <v>1502</v>
      </c>
      <c r="B32" s="70">
        <v>46117</v>
      </c>
      <c r="C32" s="67" t="s">
        <v>1389</v>
      </c>
      <c r="D32" s="67" t="s">
        <v>353</v>
      </c>
      <c r="E32" s="67" t="s">
        <v>1368</v>
      </c>
      <c r="F32" s="67" t="s">
        <v>1462</v>
      </c>
      <c r="G32" s="69">
        <v>582</v>
      </c>
    </row>
    <row r="33" spans="1:7">
      <c r="A33" s="67" t="s">
        <v>1503</v>
      </c>
      <c r="B33" s="70">
        <v>46117</v>
      </c>
      <c r="C33" s="67" t="s">
        <v>1404</v>
      </c>
      <c r="D33" s="67" t="s">
        <v>1459</v>
      </c>
      <c r="E33" s="67" t="s">
        <v>1362</v>
      </c>
      <c r="F33" s="67" t="s">
        <v>1462</v>
      </c>
      <c r="G33" s="69">
        <v>470</v>
      </c>
    </row>
    <row r="34" spans="1:7">
      <c r="A34" s="67" t="s">
        <v>1504</v>
      </c>
      <c r="B34" s="70">
        <v>46117</v>
      </c>
      <c r="C34" s="67" t="s">
        <v>1404</v>
      </c>
      <c r="D34" s="67" t="s">
        <v>358</v>
      </c>
      <c r="E34" s="67" t="s">
        <v>1368</v>
      </c>
      <c r="F34" s="67" t="s">
        <v>1462</v>
      </c>
      <c r="G34" s="69">
        <v>92</v>
      </c>
    </row>
    <row r="35" spans="1:7">
      <c r="A35" s="67" t="s">
        <v>1505</v>
      </c>
      <c r="B35" s="70">
        <v>46117</v>
      </c>
      <c r="C35" s="67" t="s">
        <v>1411</v>
      </c>
      <c r="D35" s="67" t="s">
        <v>1506</v>
      </c>
      <c r="E35" s="67" t="s">
        <v>1482</v>
      </c>
      <c r="F35" s="67" t="s">
        <v>1462</v>
      </c>
      <c r="G35" s="69">
        <v>446</v>
      </c>
    </row>
    <row r="36" spans="1:7">
      <c r="A36" s="67" t="s">
        <v>1507</v>
      </c>
      <c r="B36" s="70">
        <v>46117</v>
      </c>
      <c r="C36" s="67" t="s">
        <v>1411</v>
      </c>
      <c r="D36" s="67" t="s">
        <v>1506</v>
      </c>
      <c r="E36" s="67" t="s">
        <v>1482</v>
      </c>
      <c r="F36" s="67" t="s">
        <v>1462</v>
      </c>
      <c r="G36" s="69">
        <v>529</v>
      </c>
    </row>
    <row r="37" spans="1:7">
      <c r="A37" s="67" t="s">
        <v>1508</v>
      </c>
      <c r="B37" s="70">
        <v>46117</v>
      </c>
      <c r="C37" s="67" t="s">
        <v>1411</v>
      </c>
      <c r="D37" s="67" t="s">
        <v>1481</v>
      </c>
      <c r="E37" s="67" t="s">
        <v>1482</v>
      </c>
      <c r="F37" s="67" t="s">
        <v>1462</v>
      </c>
      <c r="G37" s="69">
        <v>70</v>
      </c>
    </row>
    <row r="38" spans="1:7">
      <c r="A38" s="67" t="s">
        <v>1509</v>
      </c>
      <c r="B38" s="70">
        <v>46117</v>
      </c>
      <c r="C38" s="67" t="s">
        <v>1411</v>
      </c>
      <c r="D38" s="67" t="s">
        <v>358</v>
      </c>
      <c r="E38" s="67" t="s">
        <v>1368</v>
      </c>
      <c r="F38" s="67" t="s">
        <v>1462</v>
      </c>
      <c r="G38" s="69">
        <v>86</v>
      </c>
    </row>
    <row r="39" spans="1:7">
      <c r="A39" s="67" t="s">
        <v>1510</v>
      </c>
      <c r="B39" s="70">
        <v>46117</v>
      </c>
      <c r="C39" s="67" t="s">
        <v>1414</v>
      </c>
      <c r="D39" s="67" t="s">
        <v>1511</v>
      </c>
      <c r="E39" s="67" t="s">
        <v>1470</v>
      </c>
      <c r="F39" s="67" t="s">
        <v>1460</v>
      </c>
      <c r="G39" s="69">
        <v>15</v>
      </c>
    </row>
    <row r="40" spans="1:7">
      <c r="A40" s="67" t="s">
        <v>1512</v>
      </c>
      <c r="B40" s="70">
        <v>46117</v>
      </c>
      <c r="C40" s="67" t="s">
        <v>1414</v>
      </c>
      <c r="D40" s="67" t="s">
        <v>1491</v>
      </c>
      <c r="E40" s="67" t="s">
        <v>1470</v>
      </c>
      <c r="F40" s="67" t="s">
        <v>1462</v>
      </c>
      <c r="G40" s="69">
        <v>145</v>
      </c>
    </row>
    <row r="41" spans="1:7">
      <c r="A41" s="67" t="s">
        <v>1513</v>
      </c>
      <c r="B41" s="70">
        <v>46117</v>
      </c>
      <c r="C41" s="67" t="s">
        <v>1423</v>
      </c>
      <c r="D41" s="67" t="s">
        <v>1479</v>
      </c>
      <c r="E41" s="67" t="s">
        <v>1410</v>
      </c>
      <c r="F41" s="67" t="s">
        <v>1462</v>
      </c>
      <c r="G41" s="69">
        <v>347</v>
      </c>
    </row>
    <row r="42" spans="1:7">
      <c r="A42" s="67" t="s">
        <v>1514</v>
      </c>
      <c r="B42" s="70">
        <v>46117</v>
      </c>
      <c r="C42" s="67" t="s">
        <v>1423</v>
      </c>
      <c r="D42" s="67" t="s">
        <v>1515</v>
      </c>
      <c r="E42" s="67" t="s">
        <v>1410</v>
      </c>
      <c r="F42" s="67" t="s">
        <v>1460</v>
      </c>
      <c r="G42" s="69">
        <v>15</v>
      </c>
    </row>
    <row r="43" spans="1:7">
      <c r="A43" s="67" t="s">
        <v>1516</v>
      </c>
      <c r="B43" s="70">
        <v>46117</v>
      </c>
      <c r="C43" s="67" t="s">
        <v>1425</v>
      </c>
      <c r="D43" s="67" t="s">
        <v>1511</v>
      </c>
      <c r="E43" s="67" t="s">
        <v>1470</v>
      </c>
      <c r="F43" s="67" t="s">
        <v>1462</v>
      </c>
      <c r="G43" s="69">
        <v>537</v>
      </c>
    </row>
    <row r="44" spans="1:7">
      <c r="A44" s="67" t="s">
        <v>1517</v>
      </c>
      <c r="B44" s="70">
        <v>46117</v>
      </c>
      <c r="C44" s="67" t="s">
        <v>1429</v>
      </c>
      <c r="D44" s="67" t="s">
        <v>356</v>
      </c>
      <c r="E44" s="67" t="s">
        <v>1368</v>
      </c>
      <c r="F44" s="67" t="s">
        <v>1460</v>
      </c>
      <c r="G44" s="69">
        <v>26</v>
      </c>
    </row>
    <row r="45" spans="1:7">
      <c r="A45" s="67" t="s">
        <v>1518</v>
      </c>
      <c r="B45" s="70">
        <v>46117</v>
      </c>
      <c r="C45" s="67" t="s">
        <v>1446</v>
      </c>
      <c r="D45" s="67" t="s">
        <v>1466</v>
      </c>
      <c r="E45" s="67" t="s">
        <v>1386</v>
      </c>
      <c r="F45" s="67" t="s">
        <v>1488</v>
      </c>
      <c r="G45" s="69">
        <v>5</v>
      </c>
    </row>
    <row r="46" spans="1:7">
      <c r="A46" s="67" t="s">
        <v>1519</v>
      </c>
      <c r="B46" s="70">
        <v>46117</v>
      </c>
      <c r="C46" s="67" t="s">
        <v>1448</v>
      </c>
      <c r="D46" s="67" t="s">
        <v>1520</v>
      </c>
      <c r="E46" s="67" t="s">
        <v>1433</v>
      </c>
      <c r="F46" s="67" t="s">
        <v>1462</v>
      </c>
      <c r="G46" s="69">
        <v>347</v>
      </c>
    </row>
    <row r="47" spans="1:7">
      <c r="A47" s="67" t="s">
        <v>1521</v>
      </c>
      <c r="B47" s="70">
        <v>46118</v>
      </c>
      <c r="C47" s="67" t="s">
        <v>1359</v>
      </c>
      <c r="D47" s="67" t="s">
        <v>1459</v>
      </c>
      <c r="E47" s="67" t="s">
        <v>1362</v>
      </c>
      <c r="F47" s="67" t="s">
        <v>1460</v>
      </c>
      <c r="G47" s="69">
        <v>15</v>
      </c>
    </row>
    <row r="48" spans="1:7">
      <c r="A48" s="67" t="s">
        <v>1522</v>
      </c>
      <c r="B48" s="70">
        <v>46118</v>
      </c>
      <c r="C48" s="67" t="s">
        <v>1366</v>
      </c>
      <c r="D48" s="67" t="s">
        <v>353</v>
      </c>
      <c r="E48" s="67" t="s">
        <v>1368</v>
      </c>
      <c r="F48" s="67" t="s">
        <v>1462</v>
      </c>
      <c r="G48" s="69">
        <v>547</v>
      </c>
    </row>
    <row r="49" spans="1:7">
      <c r="A49" s="67" t="s">
        <v>1523</v>
      </c>
      <c r="B49" s="70">
        <v>46118</v>
      </c>
      <c r="C49" s="67" t="s">
        <v>1366</v>
      </c>
      <c r="D49" s="67" t="s">
        <v>367</v>
      </c>
      <c r="E49" s="67" t="s">
        <v>1368</v>
      </c>
      <c r="F49" s="67" t="s">
        <v>1462</v>
      </c>
      <c r="G49" s="69">
        <v>277</v>
      </c>
    </row>
    <row r="50" spans="1:7">
      <c r="A50" s="67" t="s">
        <v>1524</v>
      </c>
      <c r="B50" s="70">
        <v>46118</v>
      </c>
      <c r="C50" s="67" t="s">
        <v>1366</v>
      </c>
      <c r="D50" s="67" t="s">
        <v>369</v>
      </c>
      <c r="E50" s="67" t="s">
        <v>1368</v>
      </c>
      <c r="F50" s="67" t="s">
        <v>1462</v>
      </c>
      <c r="G50" s="69">
        <v>495</v>
      </c>
    </row>
    <row r="51" spans="1:7">
      <c r="A51" s="67" t="s">
        <v>1525</v>
      </c>
      <c r="B51" s="70">
        <v>46118</v>
      </c>
      <c r="C51" s="67" t="s">
        <v>1366</v>
      </c>
      <c r="D51" s="67" t="s">
        <v>358</v>
      </c>
      <c r="E51" s="67" t="s">
        <v>1368</v>
      </c>
      <c r="F51" s="67" t="s">
        <v>1462</v>
      </c>
      <c r="G51" s="69">
        <v>531</v>
      </c>
    </row>
    <row r="52" spans="1:7">
      <c r="A52" s="67" t="s">
        <v>1526</v>
      </c>
      <c r="B52" s="70">
        <v>46118</v>
      </c>
      <c r="C52" s="67" t="s">
        <v>1371</v>
      </c>
      <c r="D52" s="67" t="s">
        <v>1476</v>
      </c>
      <c r="E52" s="67" t="s">
        <v>1362</v>
      </c>
      <c r="F52" s="67" t="s">
        <v>1462</v>
      </c>
      <c r="G52" s="69">
        <v>290</v>
      </c>
    </row>
    <row r="53" spans="1:7">
      <c r="A53" s="67" t="s">
        <v>1527</v>
      </c>
      <c r="B53" s="70">
        <v>46118</v>
      </c>
      <c r="C53" s="67" t="s">
        <v>1371</v>
      </c>
      <c r="D53" s="67" t="s">
        <v>1476</v>
      </c>
      <c r="E53" s="67" t="s">
        <v>1362</v>
      </c>
      <c r="F53" s="67" t="s">
        <v>1460</v>
      </c>
      <c r="G53" s="69">
        <v>18</v>
      </c>
    </row>
    <row r="54" spans="1:7">
      <c r="A54" s="67" t="s">
        <v>1528</v>
      </c>
      <c r="B54" s="70">
        <v>46118</v>
      </c>
      <c r="C54" s="67" t="s">
        <v>1371</v>
      </c>
      <c r="D54" s="67" t="s">
        <v>369</v>
      </c>
      <c r="E54" s="67" t="s">
        <v>1368</v>
      </c>
      <c r="F54" s="67" t="s">
        <v>1462</v>
      </c>
      <c r="G54" s="69">
        <v>556</v>
      </c>
    </row>
    <row r="55" spans="1:7">
      <c r="A55" s="67" t="s">
        <v>1529</v>
      </c>
      <c r="B55" s="70">
        <v>46118</v>
      </c>
      <c r="C55" s="67" t="s">
        <v>1371</v>
      </c>
      <c r="D55" s="67" t="s">
        <v>1466</v>
      </c>
      <c r="E55" s="67" t="s">
        <v>1386</v>
      </c>
      <c r="F55" s="67" t="s">
        <v>1462</v>
      </c>
      <c r="G55" s="69">
        <v>558</v>
      </c>
    </row>
    <row r="56" spans="1:7">
      <c r="A56" s="67" t="s">
        <v>1530</v>
      </c>
      <c r="B56" s="70">
        <v>46118</v>
      </c>
      <c r="C56" s="67" t="s">
        <v>1371</v>
      </c>
      <c r="D56" s="67" t="s">
        <v>1466</v>
      </c>
      <c r="E56" s="67" t="s">
        <v>1386</v>
      </c>
      <c r="F56" s="67" t="s">
        <v>1460</v>
      </c>
      <c r="G56" s="69">
        <v>7</v>
      </c>
    </row>
    <row r="57" spans="1:7">
      <c r="A57" s="67" t="s">
        <v>1531</v>
      </c>
      <c r="B57" s="70">
        <v>46118</v>
      </c>
      <c r="C57" s="67" t="s">
        <v>1371</v>
      </c>
      <c r="D57" s="67" t="s">
        <v>1459</v>
      </c>
      <c r="E57" s="67" t="s">
        <v>1362</v>
      </c>
      <c r="F57" s="67" t="s">
        <v>1462</v>
      </c>
      <c r="G57" s="69">
        <v>87</v>
      </c>
    </row>
    <row r="58" spans="1:7">
      <c r="A58" s="67" t="s">
        <v>1532</v>
      </c>
      <c r="B58" s="70">
        <v>46118</v>
      </c>
      <c r="C58" s="67" t="s">
        <v>1371</v>
      </c>
      <c r="D58" s="67" t="s">
        <v>358</v>
      </c>
      <c r="E58" s="67" t="s">
        <v>1368</v>
      </c>
      <c r="F58" s="67" t="s">
        <v>1462</v>
      </c>
      <c r="G58" s="69">
        <v>196</v>
      </c>
    </row>
    <row r="59" spans="1:7">
      <c r="A59" s="67" t="s">
        <v>1533</v>
      </c>
      <c r="B59" s="70">
        <v>46118</v>
      </c>
      <c r="C59" s="67" t="s">
        <v>1375</v>
      </c>
      <c r="D59" s="67" t="s">
        <v>1476</v>
      </c>
      <c r="E59" s="67" t="s">
        <v>1362</v>
      </c>
      <c r="F59" s="67" t="s">
        <v>1462</v>
      </c>
      <c r="G59" s="69">
        <v>292</v>
      </c>
    </row>
    <row r="60" spans="1:7">
      <c r="A60" s="67" t="s">
        <v>1534</v>
      </c>
      <c r="B60" s="70">
        <v>46118</v>
      </c>
      <c r="C60" s="67" t="s">
        <v>1389</v>
      </c>
      <c r="D60" s="67" t="s">
        <v>365</v>
      </c>
      <c r="E60" s="67" t="s">
        <v>1368</v>
      </c>
      <c r="F60" s="67" t="s">
        <v>1462</v>
      </c>
      <c r="G60" s="69">
        <v>251</v>
      </c>
    </row>
    <row r="61" spans="1:7">
      <c r="A61" s="67" t="s">
        <v>1535</v>
      </c>
      <c r="B61" s="70">
        <v>46118</v>
      </c>
      <c r="C61" s="67" t="s">
        <v>1389</v>
      </c>
      <c r="D61" s="67" t="s">
        <v>367</v>
      </c>
      <c r="E61" s="67" t="s">
        <v>1368</v>
      </c>
      <c r="F61" s="67" t="s">
        <v>1462</v>
      </c>
      <c r="G61" s="69">
        <v>567</v>
      </c>
    </row>
    <row r="62" spans="1:7">
      <c r="A62" s="67" t="s">
        <v>1536</v>
      </c>
      <c r="B62" s="70">
        <v>46118</v>
      </c>
      <c r="C62" s="67" t="s">
        <v>1393</v>
      </c>
      <c r="D62" s="67" t="s">
        <v>353</v>
      </c>
      <c r="E62" s="67" t="s">
        <v>1368</v>
      </c>
      <c r="F62" s="67" t="s">
        <v>1462</v>
      </c>
      <c r="G62" s="69">
        <v>538</v>
      </c>
    </row>
    <row r="63" spans="1:7">
      <c r="A63" s="67" t="s">
        <v>1537</v>
      </c>
      <c r="B63" s="70">
        <v>46118</v>
      </c>
      <c r="C63" s="67" t="s">
        <v>1393</v>
      </c>
      <c r="D63" s="67" t="s">
        <v>356</v>
      </c>
      <c r="E63" s="67" t="s">
        <v>1368</v>
      </c>
      <c r="F63" s="67" t="s">
        <v>1462</v>
      </c>
      <c r="G63" s="69">
        <v>108</v>
      </c>
    </row>
    <row r="64" spans="1:7">
      <c r="A64" s="67" t="s">
        <v>1538</v>
      </c>
      <c r="B64" s="70">
        <v>46118</v>
      </c>
      <c r="C64" s="67" t="s">
        <v>1399</v>
      </c>
      <c r="D64" s="67" t="s">
        <v>1476</v>
      </c>
      <c r="E64" s="67" t="s">
        <v>1362</v>
      </c>
      <c r="F64" s="67" t="s">
        <v>1462</v>
      </c>
      <c r="G64" s="69">
        <v>356</v>
      </c>
    </row>
    <row r="65" spans="1:7">
      <c r="A65" s="67" t="s">
        <v>1539</v>
      </c>
      <c r="B65" s="70">
        <v>46118</v>
      </c>
      <c r="C65" s="67" t="s">
        <v>1406</v>
      </c>
      <c r="D65" s="67" t="s">
        <v>1484</v>
      </c>
      <c r="E65" s="67" t="s">
        <v>1470</v>
      </c>
      <c r="F65" s="67" t="s">
        <v>1462</v>
      </c>
      <c r="G65" s="69">
        <v>90</v>
      </c>
    </row>
    <row r="66" spans="1:7">
      <c r="A66" s="67" t="s">
        <v>1540</v>
      </c>
      <c r="B66" s="70">
        <v>46118</v>
      </c>
      <c r="C66" s="67" t="s">
        <v>1408</v>
      </c>
      <c r="D66" s="67" t="s">
        <v>1487</v>
      </c>
      <c r="E66" s="67" t="s">
        <v>1410</v>
      </c>
      <c r="F66" s="67" t="s">
        <v>1460</v>
      </c>
      <c r="G66" s="69">
        <v>28</v>
      </c>
    </row>
    <row r="67" spans="1:7">
      <c r="A67" s="67" t="s">
        <v>1541</v>
      </c>
      <c r="B67" s="70">
        <v>46118</v>
      </c>
      <c r="C67" s="67" t="s">
        <v>1411</v>
      </c>
      <c r="D67" s="67" t="s">
        <v>1506</v>
      </c>
      <c r="E67" s="67" t="s">
        <v>1482</v>
      </c>
      <c r="F67" s="67" t="s">
        <v>1462</v>
      </c>
      <c r="G67" s="69">
        <v>170</v>
      </c>
    </row>
    <row r="68" spans="1:7">
      <c r="A68" s="67" t="s">
        <v>1542</v>
      </c>
      <c r="B68" s="70">
        <v>46118</v>
      </c>
      <c r="C68" s="67" t="s">
        <v>1411</v>
      </c>
      <c r="D68" s="67" t="s">
        <v>1481</v>
      </c>
      <c r="E68" s="67" t="s">
        <v>1482</v>
      </c>
      <c r="F68" s="67" t="s">
        <v>1462</v>
      </c>
      <c r="G68" s="69">
        <v>380</v>
      </c>
    </row>
    <row r="69" spans="1:7">
      <c r="A69" s="67" t="s">
        <v>1543</v>
      </c>
      <c r="B69" s="70">
        <v>46118</v>
      </c>
      <c r="C69" s="67" t="s">
        <v>1411</v>
      </c>
      <c r="D69" s="67" t="s">
        <v>1481</v>
      </c>
      <c r="E69" s="67" t="s">
        <v>1482</v>
      </c>
      <c r="F69" s="67" t="s">
        <v>1460</v>
      </c>
      <c r="G69" s="69">
        <v>18</v>
      </c>
    </row>
    <row r="70" spans="1:7">
      <c r="A70" s="67" t="s">
        <v>1544</v>
      </c>
      <c r="B70" s="70">
        <v>46118</v>
      </c>
      <c r="C70" s="67" t="s">
        <v>1423</v>
      </c>
      <c r="D70" s="67" t="s">
        <v>365</v>
      </c>
      <c r="E70" s="67" t="s">
        <v>1368</v>
      </c>
      <c r="F70" s="67" t="s">
        <v>1462</v>
      </c>
      <c r="G70" s="69">
        <v>57</v>
      </c>
    </row>
    <row r="71" spans="1:7">
      <c r="A71" s="67" t="s">
        <v>1545</v>
      </c>
      <c r="B71" s="70">
        <v>46118</v>
      </c>
      <c r="C71" s="67" t="s">
        <v>1425</v>
      </c>
      <c r="D71" s="67" t="s">
        <v>1484</v>
      </c>
      <c r="E71" s="67" t="s">
        <v>1470</v>
      </c>
      <c r="F71" s="67" t="s">
        <v>1462</v>
      </c>
      <c r="G71" s="69">
        <v>229</v>
      </c>
    </row>
    <row r="72" spans="1:7">
      <c r="A72" s="67" t="s">
        <v>1546</v>
      </c>
      <c r="B72" s="70">
        <v>46118</v>
      </c>
      <c r="C72" s="67" t="s">
        <v>1429</v>
      </c>
      <c r="D72" s="67" t="s">
        <v>356</v>
      </c>
      <c r="E72" s="67" t="s">
        <v>1368</v>
      </c>
      <c r="F72" s="67" t="s">
        <v>1462</v>
      </c>
      <c r="G72" s="69">
        <v>547</v>
      </c>
    </row>
    <row r="73" spans="1:7">
      <c r="A73" s="67" t="s">
        <v>1547</v>
      </c>
      <c r="B73" s="70">
        <v>46118</v>
      </c>
      <c r="C73" s="67" t="s">
        <v>1444</v>
      </c>
      <c r="D73" s="67" t="s">
        <v>1476</v>
      </c>
      <c r="E73" s="67" t="s">
        <v>1362</v>
      </c>
      <c r="F73" s="67" t="s">
        <v>1462</v>
      </c>
      <c r="G73" s="69">
        <v>552</v>
      </c>
    </row>
    <row r="74" spans="1:7">
      <c r="A74" s="67" t="s">
        <v>1548</v>
      </c>
      <c r="B74" s="70">
        <v>46119</v>
      </c>
      <c r="C74" s="67" t="s">
        <v>1359</v>
      </c>
      <c r="D74" s="67" t="s">
        <v>363</v>
      </c>
      <c r="E74" s="67" t="s">
        <v>1368</v>
      </c>
      <c r="F74" s="67" t="s">
        <v>1460</v>
      </c>
      <c r="G74" s="69">
        <v>13</v>
      </c>
    </row>
    <row r="75" spans="1:7">
      <c r="A75" s="67" t="s">
        <v>1549</v>
      </c>
      <c r="B75" s="70">
        <v>46119</v>
      </c>
      <c r="C75" s="67" t="s">
        <v>1366</v>
      </c>
      <c r="D75" s="67" t="s">
        <v>363</v>
      </c>
      <c r="E75" s="67" t="s">
        <v>1368</v>
      </c>
      <c r="F75" s="67" t="s">
        <v>1462</v>
      </c>
      <c r="G75" s="69">
        <v>482</v>
      </c>
    </row>
    <row r="76" spans="1:7">
      <c r="A76" s="67" t="s">
        <v>1550</v>
      </c>
      <c r="B76" s="70">
        <v>46119</v>
      </c>
      <c r="C76" s="67" t="s">
        <v>1366</v>
      </c>
      <c r="D76" s="67" t="s">
        <v>1551</v>
      </c>
      <c r="E76" s="67" t="s">
        <v>1362</v>
      </c>
      <c r="F76" s="67" t="s">
        <v>1462</v>
      </c>
      <c r="G76" s="69">
        <v>375</v>
      </c>
    </row>
    <row r="77" spans="1:7">
      <c r="A77" s="67" t="s">
        <v>1552</v>
      </c>
      <c r="B77" s="70">
        <v>46119</v>
      </c>
      <c r="C77" s="67" t="s">
        <v>1366</v>
      </c>
      <c r="D77" s="67" t="s">
        <v>358</v>
      </c>
      <c r="E77" s="67" t="s">
        <v>1368</v>
      </c>
      <c r="F77" s="67" t="s">
        <v>1462</v>
      </c>
      <c r="G77" s="69">
        <v>167</v>
      </c>
    </row>
    <row r="78" spans="1:7">
      <c r="A78" s="67" t="s">
        <v>1553</v>
      </c>
      <c r="B78" s="70">
        <v>46119</v>
      </c>
      <c r="C78" s="67" t="s">
        <v>1371</v>
      </c>
      <c r="D78" s="67" t="s">
        <v>1551</v>
      </c>
      <c r="E78" s="67" t="s">
        <v>1362</v>
      </c>
      <c r="F78" s="67" t="s">
        <v>1462</v>
      </c>
      <c r="G78" s="69">
        <v>380</v>
      </c>
    </row>
    <row r="79" spans="1:7">
      <c r="A79" s="67" t="s">
        <v>1554</v>
      </c>
      <c r="B79" s="70">
        <v>46119</v>
      </c>
      <c r="C79" s="67" t="s">
        <v>1378</v>
      </c>
      <c r="D79" s="67" t="s">
        <v>353</v>
      </c>
      <c r="E79" s="67" t="s">
        <v>1368</v>
      </c>
      <c r="F79" s="67" t="s">
        <v>1462</v>
      </c>
      <c r="G79" s="69">
        <v>22</v>
      </c>
    </row>
    <row r="80" spans="1:7">
      <c r="A80" s="67" t="s">
        <v>1555</v>
      </c>
      <c r="B80" s="70">
        <v>46119</v>
      </c>
      <c r="C80" s="67" t="s">
        <v>1389</v>
      </c>
      <c r="D80" s="67" t="s">
        <v>356</v>
      </c>
      <c r="E80" s="67" t="s">
        <v>1368</v>
      </c>
      <c r="F80" s="67" t="s">
        <v>1462</v>
      </c>
      <c r="G80" s="69">
        <v>464</v>
      </c>
    </row>
    <row r="81" spans="1:7">
      <c r="A81" s="67" t="s">
        <v>1556</v>
      </c>
      <c r="B81" s="70">
        <v>46119</v>
      </c>
      <c r="C81" s="67" t="s">
        <v>1404</v>
      </c>
      <c r="D81" s="67" t="s">
        <v>353</v>
      </c>
      <c r="E81" s="67" t="s">
        <v>1368</v>
      </c>
      <c r="F81" s="67" t="s">
        <v>1462</v>
      </c>
      <c r="G81" s="69">
        <v>241</v>
      </c>
    </row>
    <row r="82" spans="1:7">
      <c r="A82" s="67" t="s">
        <v>1557</v>
      </c>
      <c r="B82" s="70">
        <v>46119</v>
      </c>
      <c r="C82" s="67" t="s">
        <v>1404</v>
      </c>
      <c r="D82" s="67" t="s">
        <v>356</v>
      </c>
      <c r="E82" s="67" t="s">
        <v>1368</v>
      </c>
      <c r="F82" s="67" t="s">
        <v>1462</v>
      </c>
      <c r="G82" s="69">
        <v>297</v>
      </c>
    </row>
    <row r="83" spans="1:7">
      <c r="A83" s="67" t="s">
        <v>1558</v>
      </c>
      <c r="B83" s="70">
        <v>46119</v>
      </c>
      <c r="C83" s="67" t="s">
        <v>1404</v>
      </c>
      <c r="D83" s="67" t="s">
        <v>363</v>
      </c>
      <c r="E83" s="67" t="s">
        <v>1368</v>
      </c>
      <c r="F83" s="67" t="s">
        <v>1462</v>
      </c>
      <c r="G83" s="69">
        <v>500</v>
      </c>
    </row>
    <row r="84" spans="1:7">
      <c r="A84" s="67" t="s">
        <v>1559</v>
      </c>
      <c r="B84" s="70">
        <v>46119</v>
      </c>
      <c r="C84" s="67" t="s">
        <v>1404</v>
      </c>
      <c r="D84" s="67" t="s">
        <v>365</v>
      </c>
      <c r="E84" s="67" t="s">
        <v>1368</v>
      </c>
      <c r="F84" s="67" t="s">
        <v>1462</v>
      </c>
      <c r="G84" s="69">
        <v>199</v>
      </c>
    </row>
    <row r="85" spans="1:7">
      <c r="A85" s="67" t="s">
        <v>1560</v>
      </c>
      <c r="B85" s="70">
        <v>46119</v>
      </c>
      <c r="C85" s="67" t="s">
        <v>1404</v>
      </c>
      <c r="D85" s="67" t="s">
        <v>1459</v>
      </c>
      <c r="E85" s="67" t="s">
        <v>1362</v>
      </c>
      <c r="F85" s="67" t="s">
        <v>1462</v>
      </c>
      <c r="G85" s="69">
        <v>48</v>
      </c>
    </row>
    <row r="86" spans="1:7">
      <c r="A86" s="67" t="s">
        <v>1561</v>
      </c>
      <c r="B86" s="70">
        <v>46119</v>
      </c>
      <c r="C86" s="67" t="s">
        <v>1404</v>
      </c>
      <c r="D86" s="67" t="s">
        <v>358</v>
      </c>
      <c r="E86" s="67" t="s">
        <v>1368</v>
      </c>
      <c r="F86" s="67" t="s">
        <v>1462</v>
      </c>
      <c r="G86" s="69">
        <v>119</v>
      </c>
    </row>
    <row r="87" spans="1:7">
      <c r="A87" s="67" t="s">
        <v>1562</v>
      </c>
      <c r="B87" s="70">
        <v>46119</v>
      </c>
      <c r="C87" s="67" t="s">
        <v>1406</v>
      </c>
      <c r="D87" s="67" t="s">
        <v>363</v>
      </c>
      <c r="E87" s="67" t="s">
        <v>1368</v>
      </c>
      <c r="F87" s="67" t="s">
        <v>1462</v>
      </c>
      <c r="G87" s="69">
        <v>505</v>
      </c>
    </row>
    <row r="88" spans="1:7">
      <c r="A88" s="67" t="s">
        <v>1563</v>
      </c>
      <c r="B88" s="70">
        <v>46119</v>
      </c>
      <c r="C88" s="67" t="s">
        <v>1406</v>
      </c>
      <c r="D88" s="67" t="s">
        <v>367</v>
      </c>
      <c r="E88" s="67" t="s">
        <v>1368</v>
      </c>
      <c r="F88" s="67" t="s">
        <v>1462</v>
      </c>
      <c r="G88" s="69">
        <v>156</v>
      </c>
    </row>
    <row r="89" spans="1:7">
      <c r="A89" s="67" t="s">
        <v>1564</v>
      </c>
      <c r="B89" s="70">
        <v>46119</v>
      </c>
      <c r="C89" s="67" t="s">
        <v>1411</v>
      </c>
      <c r="D89" s="67" t="s">
        <v>1481</v>
      </c>
      <c r="E89" s="67" t="s">
        <v>1482</v>
      </c>
      <c r="F89" s="67" t="s">
        <v>1460</v>
      </c>
      <c r="G89" s="69">
        <v>25</v>
      </c>
    </row>
    <row r="90" spans="1:7">
      <c r="A90" s="67" t="s">
        <v>1565</v>
      </c>
      <c r="B90" s="70">
        <v>46119</v>
      </c>
      <c r="C90" s="67" t="s">
        <v>1414</v>
      </c>
      <c r="D90" s="67" t="s">
        <v>1484</v>
      </c>
      <c r="E90" s="67" t="s">
        <v>1470</v>
      </c>
      <c r="F90" s="67" t="s">
        <v>1488</v>
      </c>
      <c r="G90" s="69">
        <v>10</v>
      </c>
    </row>
    <row r="91" spans="1:7">
      <c r="A91" s="67" t="s">
        <v>1566</v>
      </c>
      <c r="B91" s="70">
        <v>46119</v>
      </c>
      <c r="C91" s="67" t="s">
        <v>1414</v>
      </c>
      <c r="D91" s="67" t="s">
        <v>1469</v>
      </c>
      <c r="E91" s="67" t="s">
        <v>1470</v>
      </c>
      <c r="F91" s="67" t="s">
        <v>1462</v>
      </c>
      <c r="G91" s="69">
        <v>424</v>
      </c>
    </row>
    <row r="92" spans="1:7">
      <c r="A92" s="67" t="s">
        <v>1567</v>
      </c>
      <c r="B92" s="70">
        <v>46119</v>
      </c>
      <c r="C92" s="67" t="s">
        <v>1438</v>
      </c>
      <c r="D92" s="67" t="s">
        <v>363</v>
      </c>
      <c r="E92" s="67" t="s">
        <v>1368</v>
      </c>
      <c r="F92" s="67" t="s">
        <v>1460</v>
      </c>
      <c r="G92" s="69">
        <v>23</v>
      </c>
    </row>
    <row r="93" spans="1:7">
      <c r="A93" s="67" t="s">
        <v>1568</v>
      </c>
      <c r="B93" s="70">
        <v>46119</v>
      </c>
      <c r="C93" s="67" t="s">
        <v>1450</v>
      </c>
      <c r="D93" s="67" t="s">
        <v>1506</v>
      </c>
      <c r="E93" s="67" t="s">
        <v>1482</v>
      </c>
      <c r="F93" s="67" t="s">
        <v>1462</v>
      </c>
      <c r="G93" s="69">
        <v>336</v>
      </c>
    </row>
    <row r="94" spans="1:7">
      <c r="A94" s="67" t="s">
        <v>1569</v>
      </c>
      <c r="B94" s="70">
        <v>46120</v>
      </c>
      <c r="C94" s="67" t="s">
        <v>1359</v>
      </c>
      <c r="D94" s="67" t="s">
        <v>369</v>
      </c>
      <c r="E94" s="67" t="s">
        <v>1368</v>
      </c>
      <c r="F94" s="67" t="s">
        <v>1462</v>
      </c>
      <c r="G94" s="69">
        <v>313</v>
      </c>
    </row>
    <row r="95" spans="1:7">
      <c r="A95" s="67" t="s">
        <v>1570</v>
      </c>
      <c r="B95" s="70">
        <v>46120</v>
      </c>
      <c r="C95" s="67" t="s">
        <v>1359</v>
      </c>
      <c r="D95" s="67" t="s">
        <v>1551</v>
      </c>
      <c r="E95" s="67" t="s">
        <v>1362</v>
      </c>
      <c r="F95" s="67" t="s">
        <v>1462</v>
      </c>
      <c r="G95" s="69">
        <v>255</v>
      </c>
    </row>
    <row r="96" spans="1:7">
      <c r="A96" s="67" t="s">
        <v>1571</v>
      </c>
      <c r="B96" s="70">
        <v>46120</v>
      </c>
      <c r="C96" s="67" t="s">
        <v>1366</v>
      </c>
      <c r="D96" s="67" t="s">
        <v>356</v>
      </c>
      <c r="E96" s="67" t="s">
        <v>1368</v>
      </c>
      <c r="F96" s="67" t="s">
        <v>1462</v>
      </c>
      <c r="G96" s="69">
        <v>296</v>
      </c>
    </row>
    <row r="97" spans="1:7">
      <c r="A97" s="67" t="s">
        <v>1572</v>
      </c>
      <c r="B97" s="70">
        <v>46120</v>
      </c>
      <c r="C97" s="67" t="s">
        <v>1366</v>
      </c>
      <c r="D97" s="67" t="s">
        <v>356</v>
      </c>
      <c r="E97" s="67" t="s">
        <v>1368</v>
      </c>
      <c r="F97" s="67" t="s">
        <v>1462</v>
      </c>
      <c r="G97" s="69">
        <v>232</v>
      </c>
    </row>
    <row r="98" spans="1:7">
      <c r="A98" s="67" t="s">
        <v>1573</v>
      </c>
      <c r="B98" s="70">
        <v>46120</v>
      </c>
      <c r="C98" s="67" t="s">
        <v>1366</v>
      </c>
      <c r="D98" s="67" t="s">
        <v>1469</v>
      </c>
      <c r="E98" s="67" t="s">
        <v>1470</v>
      </c>
      <c r="F98" s="67" t="s">
        <v>1462</v>
      </c>
      <c r="G98" s="69">
        <v>586</v>
      </c>
    </row>
    <row r="99" spans="1:7">
      <c r="A99" s="67" t="s">
        <v>1574</v>
      </c>
      <c r="B99" s="70">
        <v>46120</v>
      </c>
      <c r="C99" s="67" t="s">
        <v>1371</v>
      </c>
      <c r="D99" s="67" t="s">
        <v>1476</v>
      </c>
      <c r="E99" s="67" t="s">
        <v>1362</v>
      </c>
      <c r="F99" s="67" t="s">
        <v>1462</v>
      </c>
      <c r="G99" s="69">
        <v>311</v>
      </c>
    </row>
    <row r="100" spans="1:7">
      <c r="A100" s="67" t="s">
        <v>1575</v>
      </c>
      <c r="B100" s="70">
        <v>46120</v>
      </c>
      <c r="C100" s="67" t="s">
        <v>1371</v>
      </c>
      <c r="D100" s="67" t="s">
        <v>367</v>
      </c>
      <c r="E100" s="67" t="s">
        <v>1368</v>
      </c>
      <c r="F100" s="67" t="s">
        <v>1462</v>
      </c>
      <c r="G100" s="69">
        <v>282</v>
      </c>
    </row>
    <row r="101" spans="1:7">
      <c r="A101" s="67" t="s">
        <v>1576</v>
      </c>
      <c r="B101" s="70">
        <v>46120</v>
      </c>
      <c r="C101" s="67" t="s">
        <v>1375</v>
      </c>
      <c r="D101" s="67" t="s">
        <v>369</v>
      </c>
      <c r="E101" s="67" t="s">
        <v>1368</v>
      </c>
      <c r="F101" s="67" t="s">
        <v>1462</v>
      </c>
      <c r="G101" s="69">
        <v>413</v>
      </c>
    </row>
    <row r="102" spans="1:7">
      <c r="A102" s="67" t="s">
        <v>1577</v>
      </c>
      <c r="B102" s="70">
        <v>46120</v>
      </c>
      <c r="C102" s="67" t="s">
        <v>1375</v>
      </c>
      <c r="D102" s="67" t="s">
        <v>1551</v>
      </c>
      <c r="E102" s="67" t="s">
        <v>1362</v>
      </c>
      <c r="F102" s="67" t="s">
        <v>1462</v>
      </c>
      <c r="G102" s="69">
        <v>242</v>
      </c>
    </row>
    <row r="103" spans="1:7">
      <c r="A103" s="67" t="s">
        <v>1578</v>
      </c>
      <c r="B103" s="70">
        <v>46120</v>
      </c>
      <c r="C103" s="67" t="s">
        <v>1378</v>
      </c>
      <c r="D103" s="67" t="s">
        <v>367</v>
      </c>
      <c r="E103" s="67" t="s">
        <v>1368</v>
      </c>
      <c r="F103" s="67" t="s">
        <v>1462</v>
      </c>
      <c r="G103" s="69">
        <v>155</v>
      </c>
    </row>
    <row r="104" spans="1:7">
      <c r="A104" s="67" t="s">
        <v>1579</v>
      </c>
      <c r="B104" s="70">
        <v>46120</v>
      </c>
      <c r="C104" s="67" t="s">
        <v>1381</v>
      </c>
      <c r="D104" s="67" t="s">
        <v>369</v>
      </c>
      <c r="E104" s="67" t="s">
        <v>1368</v>
      </c>
      <c r="F104" s="67" t="s">
        <v>1460</v>
      </c>
      <c r="G104" s="69">
        <v>23</v>
      </c>
    </row>
    <row r="105" spans="1:7">
      <c r="A105" s="67" t="s">
        <v>1580</v>
      </c>
      <c r="B105" s="70">
        <v>46120</v>
      </c>
      <c r="C105" s="67" t="s">
        <v>1389</v>
      </c>
      <c r="D105" s="67" t="s">
        <v>369</v>
      </c>
      <c r="E105" s="67" t="s">
        <v>1368</v>
      </c>
      <c r="F105" s="67" t="s">
        <v>1462</v>
      </c>
      <c r="G105" s="69">
        <v>465</v>
      </c>
    </row>
    <row r="106" spans="1:7">
      <c r="A106" s="67" t="s">
        <v>1581</v>
      </c>
      <c r="B106" s="70">
        <v>46120</v>
      </c>
      <c r="C106" s="67" t="s">
        <v>1391</v>
      </c>
      <c r="D106" s="67" t="s">
        <v>1582</v>
      </c>
      <c r="E106" s="67" t="s">
        <v>5</v>
      </c>
      <c r="F106" s="67" t="s">
        <v>1462</v>
      </c>
      <c r="G106" s="69">
        <v>433</v>
      </c>
    </row>
    <row r="107" spans="1:7">
      <c r="A107" s="67" t="s">
        <v>1583</v>
      </c>
      <c r="B107" s="70">
        <v>46120</v>
      </c>
      <c r="C107" s="67" t="s">
        <v>1393</v>
      </c>
      <c r="D107" s="67" t="s">
        <v>1520</v>
      </c>
      <c r="E107" s="67" t="s">
        <v>1433</v>
      </c>
      <c r="F107" s="67" t="s">
        <v>1488</v>
      </c>
      <c r="G107" s="69">
        <v>4</v>
      </c>
    </row>
    <row r="108" spans="1:7">
      <c r="A108" s="67" t="s">
        <v>1584</v>
      </c>
      <c r="B108" s="70">
        <v>46120</v>
      </c>
      <c r="C108" s="67" t="s">
        <v>1404</v>
      </c>
      <c r="D108" s="67" t="s">
        <v>356</v>
      </c>
      <c r="E108" s="67" t="s">
        <v>1368</v>
      </c>
      <c r="F108" s="67" t="s">
        <v>1488</v>
      </c>
      <c r="G108" s="69">
        <v>9</v>
      </c>
    </row>
    <row r="109" spans="1:7">
      <c r="A109" s="67" t="s">
        <v>1585</v>
      </c>
      <c r="B109" s="70">
        <v>46120</v>
      </c>
      <c r="C109" s="67" t="s">
        <v>1404</v>
      </c>
      <c r="D109" s="67" t="s">
        <v>367</v>
      </c>
      <c r="E109" s="67" t="s">
        <v>1368</v>
      </c>
      <c r="F109" s="67" t="s">
        <v>1462</v>
      </c>
      <c r="G109" s="69">
        <v>113</v>
      </c>
    </row>
    <row r="110" spans="1:7">
      <c r="A110" s="67" t="s">
        <v>1586</v>
      </c>
      <c r="B110" s="70">
        <v>46120</v>
      </c>
      <c r="C110" s="67" t="s">
        <v>1404</v>
      </c>
      <c r="D110" s="67" t="s">
        <v>369</v>
      </c>
      <c r="E110" s="67" t="s">
        <v>1368</v>
      </c>
      <c r="F110" s="67" t="s">
        <v>1462</v>
      </c>
      <c r="G110" s="69">
        <v>191</v>
      </c>
    </row>
    <row r="111" spans="1:7">
      <c r="A111" s="67" t="s">
        <v>1587</v>
      </c>
      <c r="B111" s="70">
        <v>46120</v>
      </c>
      <c r="C111" s="67" t="s">
        <v>1411</v>
      </c>
      <c r="D111" s="67" t="s">
        <v>356</v>
      </c>
      <c r="E111" s="67" t="s">
        <v>1368</v>
      </c>
      <c r="F111" s="67" t="s">
        <v>1460</v>
      </c>
      <c r="G111" s="69">
        <v>29</v>
      </c>
    </row>
    <row r="112" spans="1:7">
      <c r="A112" s="67" t="s">
        <v>1588</v>
      </c>
      <c r="B112" s="70">
        <v>46120</v>
      </c>
      <c r="C112" s="67" t="s">
        <v>1414</v>
      </c>
      <c r="D112" s="67" t="s">
        <v>1511</v>
      </c>
      <c r="E112" s="67" t="s">
        <v>1470</v>
      </c>
      <c r="F112" s="67" t="s">
        <v>1460</v>
      </c>
      <c r="G112" s="69">
        <v>12</v>
      </c>
    </row>
    <row r="113" spans="1:7">
      <c r="A113" s="67" t="s">
        <v>1589</v>
      </c>
      <c r="B113" s="70">
        <v>46120</v>
      </c>
      <c r="C113" s="67" t="s">
        <v>1438</v>
      </c>
      <c r="D113" s="67" t="s">
        <v>356</v>
      </c>
      <c r="E113" s="67" t="s">
        <v>1368</v>
      </c>
      <c r="F113" s="67" t="s">
        <v>1462</v>
      </c>
      <c r="G113" s="69">
        <v>591</v>
      </c>
    </row>
    <row r="114" spans="1:7">
      <c r="A114" s="67" t="s">
        <v>1590</v>
      </c>
      <c r="B114" s="70">
        <v>46120</v>
      </c>
      <c r="C114" s="67" t="s">
        <v>1444</v>
      </c>
      <c r="D114" s="67" t="s">
        <v>1459</v>
      </c>
      <c r="E114" s="67" t="s">
        <v>1362</v>
      </c>
      <c r="F114" s="67" t="s">
        <v>1462</v>
      </c>
      <c r="G114" s="69">
        <v>316</v>
      </c>
    </row>
    <row r="115" spans="1:7">
      <c r="A115" s="67" t="s">
        <v>1591</v>
      </c>
      <c r="B115" s="70">
        <v>46121</v>
      </c>
      <c r="C115" s="67" t="s">
        <v>1359</v>
      </c>
      <c r="D115" s="67" t="s">
        <v>1551</v>
      </c>
      <c r="E115" s="67" t="s">
        <v>1362</v>
      </c>
      <c r="F115" s="67" t="s">
        <v>1462</v>
      </c>
      <c r="G115" s="69">
        <v>122</v>
      </c>
    </row>
    <row r="116" spans="1:7">
      <c r="A116" s="67" t="s">
        <v>1592</v>
      </c>
      <c r="B116" s="70">
        <v>46121</v>
      </c>
      <c r="C116" s="67" t="s">
        <v>1359</v>
      </c>
      <c r="D116" s="67" t="s">
        <v>1459</v>
      </c>
      <c r="E116" s="67" t="s">
        <v>1362</v>
      </c>
      <c r="F116" s="67" t="s">
        <v>1460</v>
      </c>
      <c r="G116" s="69">
        <v>28</v>
      </c>
    </row>
    <row r="117" spans="1:7">
      <c r="A117" s="67" t="s">
        <v>1593</v>
      </c>
      <c r="B117" s="70">
        <v>46121</v>
      </c>
      <c r="C117" s="67" t="s">
        <v>1359</v>
      </c>
      <c r="D117" s="67" t="s">
        <v>1459</v>
      </c>
      <c r="E117" s="67" t="s">
        <v>1362</v>
      </c>
      <c r="F117" s="67" t="s">
        <v>1462</v>
      </c>
      <c r="G117" s="69">
        <v>371</v>
      </c>
    </row>
    <row r="118" spans="1:7">
      <c r="A118" s="67" t="s">
        <v>1594</v>
      </c>
      <c r="B118" s="70">
        <v>46121</v>
      </c>
      <c r="C118" s="67" t="s">
        <v>1366</v>
      </c>
      <c r="D118" s="67" t="s">
        <v>363</v>
      </c>
      <c r="E118" s="67" t="s">
        <v>1368</v>
      </c>
      <c r="F118" s="67" t="s">
        <v>1462</v>
      </c>
      <c r="G118" s="69">
        <v>229</v>
      </c>
    </row>
    <row r="119" spans="1:7">
      <c r="A119" s="67" t="s">
        <v>1595</v>
      </c>
      <c r="B119" s="70">
        <v>46121</v>
      </c>
      <c r="C119" s="67" t="s">
        <v>1366</v>
      </c>
      <c r="D119" s="67" t="s">
        <v>365</v>
      </c>
      <c r="E119" s="67" t="s">
        <v>1368</v>
      </c>
      <c r="F119" s="67" t="s">
        <v>1462</v>
      </c>
      <c r="G119" s="69">
        <v>377</v>
      </c>
    </row>
    <row r="120" spans="1:7">
      <c r="A120" s="67" t="s">
        <v>1596</v>
      </c>
      <c r="B120" s="70">
        <v>46121</v>
      </c>
      <c r="C120" s="67" t="s">
        <v>1366</v>
      </c>
      <c r="D120" s="67" t="s">
        <v>367</v>
      </c>
      <c r="E120" s="67" t="s">
        <v>1368</v>
      </c>
      <c r="F120" s="67" t="s">
        <v>1462</v>
      </c>
      <c r="G120" s="69">
        <v>344</v>
      </c>
    </row>
    <row r="121" spans="1:7">
      <c r="A121" s="67" t="s">
        <v>1597</v>
      </c>
      <c r="B121" s="70">
        <v>46121</v>
      </c>
      <c r="C121" s="67" t="s">
        <v>1371</v>
      </c>
      <c r="D121" s="67" t="s">
        <v>356</v>
      </c>
      <c r="E121" s="67" t="s">
        <v>1368</v>
      </c>
      <c r="F121" s="67" t="s">
        <v>1462</v>
      </c>
      <c r="G121" s="69">
        <v>520</v>
      </c>
    </row>
    <row r="122" spans="1:7">
      <c r="A122" s="67" t="s">
        <v>1598</v>
      </c>
      <c r="B122" s="70">
        <v>46121</v>
      </c>
      <c r="C122" s="67" t="s">
        <v>1371</v>
      </c>
      <c r="D122" s="67" t="s">
        <v>1466</v>
      </c>
      <c r="E122" s="67" t="s">
        <v>1386</v>
      </c>
      <c r="F122" s="67" t="s">
        <v>1462</v>
      </c>
      <c r="G122" s="69">
        <v>368</v>
      </c>
    </row>
    <row r="123" spans="1:7">
      <c r="A123" s="67" t="s">
        <v>1599</v>
      </c>
      <c r="B123" s="70">
        <v>46121</v>
      </c>
      <c r="C123" s="67" t="s">
        <v>1375</v>
      </c>
      <c r="D123" s="67" t="s">
        <v>369</v>
      </c>
      <c r="E123" s="67" t="s">
        <v>1368</v>
      </c>
      <c r="F123" s="67" t="s">
        <v>1462</v>
      </c>
      <c r="G123" s="69">
        <v>499</v>
      </c>
    </row>
    <row r="124" spans="1:7">
      <c r="A124" s="67" t="s">
        <v>1600</v>
      </c>
      <c r="B124" s="70">
        <v>46121</v>
      </c>
      <c r="C124" s="67" t="s">
        <v>1381</v>
      </c>
      <c r="D124" s="67" t="s">
        <v>353</v>
      </c>
      <c r="E124" s="67" t="s">
        <v>1368</v>
      </c>
      <c r="F124" s="67" t="s">
        <v>1462</v>
      </c>
      <c r="G124" s="69">
        <v>588</v>
      </c>
    </row>
    <row r="125" spans="1:7">
      <c r="A125" s="67" t="s">
        <v>1601</v>
      </c>
      <c r="B125" s="70">
        <v>46121</v>
      </c>
      <c r="C125" s="67" t="s">
        <v>1384</v>
      </c>
      <c r="D125" s="67" t="s">
        <v>1602</v>
      </c>
      <c r="E125" s="67" t="s">
        <v>1386</v>
      </c>
      <c r="F125" s="67" t="s">
        <v>1460</v>
      </c>
      <c r="G125" s="69">
        <v>25</v>
      </c>
    </row>
    <row r="126" spans="1:7">
      <c r="A126" s="67" t="s">
        <v>1603</v>
      </c>
      <c r="B126" s="70">
        <v>46121</v>
      </c>
      <c r="C126" s="67" t="s">
        <v>1401</v>
      </c>
      <c r="D126" s="67" t="s">
        <v>358</v>
      </c>
      <c r="E126" s="67" t="s">
        <v>1368</v>
      </c>
      <c r="F126" s="67" t="s">
        <v>1460</v>
      </c>
      <c r="G126" s="69">
        <v>15</v>
      </c>
    </row>
    <row r="127" spans="1:7">
      <c r="A127" s="67" t="s">
        <v>1604</v>
      </c>
      <c r="B127" s="70">
        <v>46121</v>
      </c>
      <c r="C127" s="67" t="s">
        <v>1404</v>
      </c>
      <c r="D127" s="67" t="s">
        <v>365</v>
      </c>
      <c r="E127" s="67" t="s">
        <v>1368</v>
      </c>
      <c r="F127" s="67" t="s">
        <v>1462</v>
      </c>
      <c r="G127" s="69">
        <v>583</v>
      </c>
    </row>
    <row r="128" spans="1:7">
      <c r="A128" s="67" t="s">
        <v>1605</v>
      </c>
      <c r="B128" s="70">
        <v>46121</v>
      </c>
      <c r="C128" s="67" t="s">
        <v>1414</v>
      </c>
      <c r="D128" s="67" t="s">
        <v>1511</v>
      </c>
      <c r="E128" s="67" t="s">
        <v>1470</v>
      </c>
      <c r="F128" s="67" t="s">
        <v>1462</v>
      </c>
      <c r="G128" s="69">
        <v>35</v>
      </c>
    </row>
    <row r="129" spans="1:7">
      <c r="A129" s="67" t="s">
        <v>1606</v>
      </c>
      <c r="B129" s="70">
        <v>46121</v>
      </c>
      <c r="C129" s="67" t="s">
        <v>1414</v>
      </c>
      <c r="D129" s="67" t="s">
        <v>1607</v>
      </c>
      <c r="E129" s="67" t="s">
        <v>1470</v>
      </c>
      <c r="F129" s="67" t="s">
        <v>1462</v>
      </c>
      <c r="G129" s="69">
        <v>319</v>
      </c>
    </row>
    <row r="130" spans="1:7">
      <c r="A130" s="67" t="s">
        <v>1608</v>
      </c>
      <c r="B130" s="70">
        <v>46121</v>
      </c>
      <c r="C130" s="67" t="s">
        <v>1419</v>
      </c>
      <c r="D130" s="67" t="s">
        <v>369</v>
      </c>
      <c r="E130" s="67" t="s">
        <v>1368</v>
      </c>
      <c r="F130" s="67" t="s">
        <v>1462</v>
      </c>
      <c r="G130" s="69">
        <v>353</v>
      </c>
    </row>
    <row r="131" spans="1:7">
      <c r="A131" s="67" t="s">
        <v>1609</v>
      </c>
      <c r="B131" s="70">
        <v>46121</v>
      </c>
      <c r="C131" s="67" t="s">
        <v>1429</v>
      </c>
      <c r="D131" s="67" t="s">
        <v>353</v>
      </c>
      <c r="E131" s="67" t="s">
        <v>1368</v>
      </c>
      <c r="F131" s="67" t="s">
        <v>1462</v>
      </c>
      <c r="G131" s="69">
        <v>571</v>
      </c>
    </row>
    <row r="132" spans="1:7">
      <c r="A132" s="67" t="s">
        <v>1610</v>
      </c>
      <c r="B132" s="70">
        <v>46121</v>
      </c>
      <c r="C132" s="67" t="s">
        <v>1446</v>
      </c>
      <c r="D132" s="67" t="s">
        <v>1466</v>
      </c>
      <c r="E132" s="67" t="s">
        <v>1386</v>
      </c>
      <c r="F132" s="67" t="s">
        <v>1462</v>
      </c>
      <c r="G132" s="69">
        <v>108</v>
      </c>
    </row>
    <row r="133" spans="1:7">
      <c r="A133" s="67" t="s">
        <v>1611</v>
      </c>
      <c r="B133" s="70">
        <v>46122</v>
      </c>
      <c r="C133" s="67" t="s">
        <v>1366</v>
      </c>
      <c r="D133" s="67" t="s">
        <v>356</v>
      </c>
      <c r="E133" s="67" t="s">
        <v>1368</v>
      </c>
      <c r="F133" s="67" t="s">
        <v>1462</v>
      </c>
      <c r="G133" s="69">
        <v>219</v>
      </c>
    </row>
    <row r="134" spans="1:7">
      <c r="A134" s="67" t="s">
        <v>1612</v>
      </c>
      <c r="B134" s="70">
        <v>46122</v>
      </c>
      <c r="C134" s="67" t="s">
        <v>1371</v>
      </c>
      <c r="D134" s="67" t="s">
        <v>358</v>
      </c>
      <c r="E134" s="67" t="s">
        <v>1368</v>
      </c>
      <c r="F134" s="67" t="s">
        <v>1462</v>
      </c>
      <c r="G134" s="69">
        <v>86</v>
      </c>
    </row>
    <row r="135" spans="1:7">
      <c r="A135" s="67" t="s">
        <v>1613</v>
      </c>
      <c r="B135" s="70">
        <v>46122</v>
      </c>
      <c r="C135" s="67" t="s">
        <v>1378</v>
      </c>
      <c r="D135" s="67" t="s">
        <v>358</v>
      </c>
      <c r="E135" s="67" t="s">
        <v>1368</v>
      </c>
      <c r="F135" s="67" t="s">
        <v>1462</v>
      </c>
      <c r="G135" s="69">
        <v>569</v>
      </c>
    </row>
    <row r="136" spans="1:7">
      <c r="A136" s="67" t="s">
        <v>1614</v>
      </c>
      <c r="B136" s="70">
        <v>46122</v>
      </c>
      <c r="C136" s="67" t="s">
        <v>1381</v>
      </c>
      <c r="D136" s="67" t="s">
        <v>356</v>
      </c>
      <c r="E136" s="67" t="s">
        <v>1368</v>
      </c>
      <c r="F136" s="67" t="s">
        <v>1462</v>
      </c>
      <c r="G136" s="69">
        <v>312</v>
      </c>
    </row>
    <row r="137" spans="1:7">
      <c r="A137" s="67" t="s">
        <v>1615</v>
      </c>
      <c r="B137" s="70">
        <v>46122</v>
      </c>
      <c r="C137" s="67" t="s">
        <v>1381</v>
      </c>
      <c r="D137" s="67" t="s">
        <v>363</v>
      </c>
      <c r="E137" s="67" t="s">
        <v>1368</v>
      </c>
      <c r="F137" s="67" t="s">
        <v>1462</v>
      </c>
      <c r="G137" s="69">
        <v>573</v>
      </c>
    </row>
    <row r="138" spans="1:7">
      <c r="A138" s="67" t="s">
        <v>1616</v>
      </c>
      <c r="B138" s="70">
        <v>46122</v>
      </c>
      <c r="C138" s="67" t="s">
        <v>1384</v>
      </c>
      <c r="D138" s="67" t="s">
        <v>1466</v>
      </c>
      <c r="E138" s="67" t="s">
        <v>1386</v>
      </c>
      <c r="F138" s="67" t="s">
        <v>1462</v>
      </c>
      <c r="G138" s="69">
        <v>264</v>
      </c>
    </row>
    <row r="139" spans="1:7">
      <c r="A139" s="67" t="s">
        <v>1617</v>
      </c>
      <c r="B139" s="70">
        <v>46122</v>
      </c>
      <c r="C139" s="67" t="s">
        <v>1397</v>
      </c>
      <c r="D139" s="67" t="s">
        <v>1618</v>
      </c>
      <c r="E139" s="67" t="s">
        <v>1433</v>
      </c>
      <c r="F139" s="67" t="s">
        <v>1460</v>
      </c>
      <c r="G139" s="69">
        <v>8</v>
      </c>
    </row>
    <row r="140" spans="1:7">
      <c r="A140" s="67" t="s">
        <v>1619</v>
      </c>
      <c r="B140" s="70">
        <v>46122</v>
      </c>
      <c r="C140" s="67" t="s">
        <v>1401</v>
      </c>
      <c r="D140" s="67" t="s">
        <v>1476</v>
      </c>
      <c r="E140" s="67" t="s">
        <v>1362</v>
      </c>
      <c r="F140" s="67" t="s">
        <v>1462</v>
      </c>
      <c r="G140" s="69">
        <v>352</v>
      </c>
    </row>
    <row r="141" spans="1:7">
      <c r="A141" s="67" t="s">
        <v>1620</v>
      </c>
      <c r="B141" s="70">
        <v>46122</v>
      </c>
      <c r="C141" s="67" t="s">
        <v>1404</v>
      </c>
      <c r="D141" s="67" t="s">
        <v>353</v>
      </c>
      <c r="E141" s="67" t="s">
        <v>1368</v>
      </c>
      <c r="F141" s="67" t="s">
        <v>1462</v>
      </c>
      <c r="G141" s="69">
        <v>272</v>
      </c>
    </row>
    <row r="142" spans="1:7">
      <c r="A142" s="67" t="s">
        <v>1621</v>
      </c>
      <c r="B142" s="70">
        <v>46122</v>
      </c>
      <c r="C142" s="67" t="s">
        <v>1404</v>
      </c>
      <c r="D142" s="67" t="s">
        <v>353</v>
      </c>
      <c r="E142" s="67" t="s">
        <v>1368</v>
      </c>
      <c r="F142" s="67" t="s">
        <v>1460</v>
      </c>
      <c r="G142" s="69">
        <v>18</v>
      </c>
    </row>
    <row r="143" spans="1:7">
      <c r="A143" s="67" t="s">
        <v>1622</v>
      </c>
      <c r="B143" s="70">
        <v>46122</v>
      </c>
      <c r="C143" s="67" t="s">
        <v>1404</v>
      </c>
      <c r="D143" s="67" t="s">
        <v>353</v>
      </c>
      <c r="E143" s="67" t="s">
        <v>1368</v>
      </c>
      <c r="F143" s="67" t="s">
        <v>1462</v>
      </c>
      <c r="G143" s="69">
        <v>281</v>
      </c>
    </row>
    <row r="144" spans="1:7">
      <c r="A144" s="67" t="s">
        <v>1623</v>
      </c>
      <c r="B144" s="70">
        <v>46122</v>
      </c>
      <c r="C144" s="67" t="s">
        <v>1404</v>
      </c>
      <c r="D144" s="67" t="s">
        <v>367</v>
      </c>
      <c r="E144" s="67" t="s">
        <v>1368</v>
      </c>
      <c r="F144" s="67" t="s">
        <v>1462</v>
      </c>
      <c r="G144" s="69">
        <v>67</v>
      </c>
    </row>
    <row r="145" spans="1:7">
      <c r="A145" s="67" t="s">
        <v>1624</v>
      </c>
      <c r="B145" s="70">
        <v>46122</v>
      </c>
      <c r="C145" s="67" t="s">
        <v>1404</v>
      </c>
      <c r="D145" s="67" t="s">
        <v>369</v>
      </c>
      <c r="E145" s="67" t="s">
        <v>1368</v>
      </c>
      <c r="F145" s="67" t="s">
        <v>1488</v>
      </c>
      <c r="G145" s="69">
        <v>8</v>
      </c>
    </row>
    <row r="146" spans="1:7">
      <c r="A146" s="67" t="s">
        <v>1625</v>
      </c>
      <c r="B146" s="70">
        <v>46122</v>
      </c>
      <c r="C146" s="67" t="s">
        <v>1411</v>
      </c>
      <c r="D146" s="67" t="s">
        <v>1481</v>
      </c>
      <c r="E146" s="67" t="s">
        <v>1482</v>
      </c>
      <c r="F146" s="67" t="s">
        <v>1462</v>
      </c>
      <c r="G146" s="69">
        <v>341</v>
      </c>
    </row>
    <row r="147" spans="1:7">
      <c r="A147" s="67" t="s">
        <v>1626</v>
      </c>
      <c r="B147" s="70">
        <v>46122</v>
      </c>
      <c r="C147" s="67" t="s">
        <v>1414</v>
      </c>
      <c r="D147" s="67" t="s">
        <v>1459</v>
      </c>
      <c r="E147" s="67" t="s">
        <v>1362</v>
      </c>
      <c r="F147" s="67" t="s">
        <v>1460</v>
      </c>
      <c r="G147" s="69">
        <v>24</v>
      </c>
    </row>
    <row r="148" spans="1:7">
      <c r="A148" s="67" t="s">
        <v>1627</v>
      </c>
      <c r="B148" s="70">
        <v>46122</v>
      </c>
      <c r="C148" s="67" t="s">
        <v>1414</v>
      </c>
      <c r="D148" s="67" t="s">
        <v>1469</v>
      </c>
      <c r="E148" s="67" t="s">
        <v>1470</v>
      </c>
      <c r="F148" s="67" t="s">
        <v>1462</v>
      </c>
      <c r="G148" s="69">
        <v>144</v>
      </c>
    </row>
    <row r="149" spans="1:7">
      <c r="A149" s="67" t="s">
        <v>1628</v>
      </c>
      <c r="B149" s="70">
        <v>46122</v>
      </c>
      <c r="C149" s="67" t="s">
        <v>1414</v>
      </c>
      <c r="D149" s="67" t="s">
        <v>1469</v>
      </c>
      <c r="E149" s="67" t="s">
        <v>1470</v>
      </c>
      <c r="F149" s="67" t="s">
        <v>1462</v>
      </c>
      <c r="G149" s="69">
        <v>64</v>
      </c>
    </row>
    <row r="150" spans="1:7">
      <c r="A150" s="67" t="s">
        <v>1629</v>
      </c>
      <c r="B150" s="70">
        <v>46122</v>
      </c>
      <c r="C150" s="67" t="s">
        <v>1429</v>
      </c>
      <c r="D150" s="67" t="s">
        <v>353</v>
      </c>
      <c r="E150" s="67" t="s">
        <v>1368</v>
      </c>
      <c r="F150" s="67" t="s">
        <v>1462</v>
      </c>
      <c r="G150" s="69">
        <v>195</v>
      </c>
    </row>
    <row r="151" spans="1:7">
      <c r="A151" s="67" t="s">
        <v>1630</v>
      </c>
      <c r="B151" s="70">
        <v>46122</v>
      </c>
      <c r="C151" s="67" t="s">
        <v>1429</v>
      </c>
      <c r="D151" s="67" t="s">
        <v>363</v>
      </c>
      <c r="E151" s="67" t="s">
        <v>1368</v>
      </c>
      <c r="F151" s="67" t="s">
        <v>1462</v>
      </c>
      <c r="G151" s="69">
        <v>85</v>
      </c>
    </row>
    <row r="152" spans="1:7">
      <c r="A152" s="67" t="s">
        <v>1631</v>
      </c>
      <c r="B152" s="70">
        <v>46122</v>
      </c>
      <c r="C152" s="67" t="s">
        <v>1434</v>
      </c>
      <c r="D152" s="67" t="s">
        <v>1551</v>
      </c>
      <c r="E152" s="67" t="s">
        <v>1362</v>
      </c>
      <c r="F152" s="67" t="s">
        <v>1462</v>
      </c>
      <c r="G152" s="69">
        <v>54</v>
      </c>
    </row>
    <row r="153" spans="1:7">
      <c r="A153" s="67" t="s">
        <v>1632</v>
      </c>
      <c r="B153" s="70">
        <v>46122</v>
      </c>
      <c r="C153" s="67" t="s">
        <v>1442</v>
      </c>
      <c r="D153" s="67" t="s">
        <v>1459</v>
      </c>
      <c r="E153" s="67" t="s">
        <v>1362</v>
      </c>
      <c r="F153" s="67" t="s">
        <v>1462</v>
      </c>
      <c r="G153" s="69">
        <v>255</v>
      </c>
    </row>
    <row r="154" spans="1:7">
      <c r="A154" s="67" t="s">
        <v>1633</v>
      </c>
      <c r="B154" s="70">
        <v>46122</v>
      </c>
      <c r="C154" s="67" t="s">
        <v>1444</v>
      </c>
      <c r="D154" s="67" t="s">
        <v>1466</v>
      </c>
      <c r="E154" s="67" t="s">
        <v>1386</v>
      </c>
      <c r="F154" s="67" t="s">
        <v>1462</v>
      </c>
      <c r="G154" s="69">
        <v>565</v>
      </c>
    </row>
    <row r="155" spans="1:7">
      <c r="A155" s="67" t="s">
        <v>1634</v>
      </c>
      <c r="B155" s="70">
        <v>46123</v>
      </c>
      <c r="C155" s="67" t="s">
        <v>1359</v>
      </c>
      <c r="D155" s="67" t="s">
        <v>1466</v>
      </c>
      <c r="E155" s="67" t="s">
        <v>1386</v>
      </c>
      <c r="F155" s="67" t="s">
        <v>1462</v>
      </c>
      <c r="G155" s="69">
        <v>63</v>
      </c>
    </row>
    <row r="156" spans="1:7">
      <c r="A156" s="67" t="s">
        <v>1635</v>
      </c>
      <c r="B156" s="70">
        <v>46123</v>
      </c>
      <c r="C156" s="67" t="s">
        <v>1359</v>
      </c>
      <c r="D156" s="67" t="s">
        <v>1551</v>
      </c>
      <c r="E156" s="67" t="s">
        <v>1362</v>
      </c>
      <c r="F156" s="67" t="s">
        <v>1462</v>
      </c>
      <c r="G156" s="69">
        <v>242</v>
      </c>
    </row>
    <row r="157" spans="1:7">
      <c r="A157" s="67" t="s">
        <v>1636</v>
      </c>
      <c r="B157" s="70">
        <v>46123</v>
      </c>
      <c r="C157" s="67" t="s">
        <v>1359</v>
      </c>
      <c r="D157" s="67" t="s">
        <v>1551</v>
      </c>
      <c r="E157" s="67" t="s">
        <v>1362</v>
      </c>
      <c r="F157" s="67" t="s">
        <v>1460</v>
      </c>
      <c r="G157" s="69">
        <v>20</v>
      </c>
    </row>
    <row r="158" spans="1:7">
      <c r="A158" s="67" t="s">
        <v>1637</v>
      </c>
      <c r="B158" s="70">
        <v>46123</v>
      </c>
      <c r="C158" s="67" t="s">
        <v>1359</v>
      </c>
      <c r="D158" s="67" t="s">
        <v>1459</v>
      </c>
      <c r="E158" s="67" t="s">
        <v>1362</v>
      </c>
      <c r="F158" s="67" t="s">
        <v>1462</v>
      </c>
      <c r="G158" s="69">
        <v>408</v>
      </c>
    </row>
    <row r="159" spans="1:7">
      <c r="A159" s="67" t="s">
        <v>1638</v>
      </c>
      <c r="B159" s="70">
        <v>46123</v>
      </c>
      <c r="C159" s="67" t="s">
        <v>1366</v>
      </c>
      <c r="D159" s="67" t="s">
        <v>353</v>
      </c>
      <c r="E159" s="67" t="s">
        <v>1368</v>
      </c>
      <c r="F159" s="67" t="s">
        <v>1460</v>
      </c>
      <c r="G159" s="69">
        <v>14</v>
      </c>
    </row>
    <row r="160" spans="1:7">
      <c r="A160" s="67" t="s">
        <v>1639</v>
      </c>
      <c r="B160" s="70">
        <v>46123</v>
      </c>
      <c r="C160" s="67" t="s">
        <v>1371</v>
      </c>
      <c r="D160" s="67" t="s">
        <v>1466</v>
      </c>
      <c r="E160" s="67" t="s">
        <v>1386</v>
      </c>
      <c r="F160" s="67" t="s">
        <v>1462</v>
      </c>
      <c r="G160" s="69">
        <v>476</v>
      </c>
    </row>
    <row r="161" spans="1:7">
      <c r="A161" s="67" t="s">
        <v>1640</v>
      </c>
      <c r="B161" s="70">
        <v>46123</v>
      </c>
      <c r="C161" s="67" t="s">
        <v>1375</v>
      </c>
      <c r="D161" s="67" t="s">
        <v>1607</v>
      </c>
      <c r="E161" s="67" t="s">
        <v>1470</v>
      </c>
      <c r="F161" s="67" t="s">
        <v>1462</v>
      </c>
      <c r="G161" s="69">
        <v>149</v>
      </c>
    </row>
    <row r="162" spans="1:7">
      <c r="A162" s="67" t="s">
        <v>1641</v>
      </c>
      <c r="B162" s="70">
        <v>46123</v>
      </c>
      <c r="C162" s="67" t="s">
        <v>1399</v>
      </c>
      <c r="D162" s="67" t="s">
        <v>1476</v>
      </c>
      <c r="E162" s="67" t="s">
        <v>1362</v>
      </c>
      <c r="F162" s="67" t="s">
        <v>1462</v>
      </c>
      <c r="G162" s="69">
        <v>514</v>
      </c>
    </row>
    <row r="163" spans="1:7">
      <c r="A163" s="67" t="s">
        <v>1642</v>
      </c>
      <c r="B163" s="70">
        <v>46123</v>
      </c>
      <c r="C163" s="67" t="s">
        <v>1399</v>
      </c>
      <c r="D163" s="67" t="s">
        <v>369</v>
      </c>
      <c r="E163" s="67" t="s">
        <v>1368</v>
      </c>
      <c r="F163" s="67" t="s">
        <v>1462</v>
      </c>
      <c r="G163" s="69">
        <v>408</v>
      </c>
    </row>
    <row r="164" spans="1:7">
      <c r="A164" s="67" t="s">
        <v>1643</v>
      </c>
      <c r="B164" s="70">
        <v>46123</v>
      </c>
      <c r="C164" s="67" t="s">
        <v>1404</v>
      </c>
      <c r="D164" s="67" t="s">
        <v>367</v>
      </c>
      <c r="E164" s="67" t="s">
        <v>1368</v>
      </c>
      <c r="F164" s="67" t="s">
        <v>1462</v>
      </c>
      <c r="G164" s="69">
        <v>558</v>
      </c>
    </row>
    <row r="165" spans="1:7">
      <c r="A165" s="67" t="s">
        <v>1644</v>
      </c>
      <c r="B165" s="70">
        <v>46123</v>
      </c>
      <c r="C165" s="67" t="s">
        <v>1404</v>
      </c>
      <c r="D165" s="67" t="s">
        <v>369</v>
      </c>
      <c r="E165" s="67" t="s">
        <v>1368</v>
      </c>
      <c r="F165" s="67" t="s">
        <v>1462</v>
      </c>
      <c r="G165" s="69">
        <v>34</v>
      </c>
    </row>
    <row r="166" spans="1:7">
      <c r="A166" s="67" t="s">
        <v>1645</v>
      </c>
      <c r="B166" s="70">
        <v>46123</v>
      </c>
      <c r="C166" s="67" t="s">
        <v>1406</v>
      </c>
      <c r="D166" s="67" t="s">
        <v>1484</v>
      </c>
      <c r="E166" s="67" t="s">
        <v>1470</v>
      </c>
      <c r="F166" s="67" t="s">
        <v>1462</v>
      </c>
      <c r="G166" s="69">
        <v>440</v>
      </c>
    </row>
    <row r="167" spans="1:7">
      <c r="A167" s="67" t="s">
        <v>1646</v>
      </c>
      <c r="B167" s="70">
        <v>46123</v>
      </c>
      <c r="C167" s="67" t="s">
        <v>1406</v>
      </c>
      <c r="D167" s="67" t="s">
        <v>369</v>
      </c>
      <c r="E167" s="67" t="s">
        <v>1368</v>
      </c>
      <c r="F167" s="67" t="s">
        <v>1462</v>
      </c>
      <c r="G167" s="69">
        <v>76</v>
      </c>
    </row>
    <row r="168" spans="1:7">
      <c r="A168" s="67" t="s">
        <v>1647</v>
      </c>
      <c r="B168" s="70">
        <v>46123</v>
      </c>
      <c r="C168" s="67" t="s">
        <v>1411</v>
      </c>
      <c r="D168" s="67" t="s">
        <v>1506</v>
      </c>
      <c r="E168" s="67" t="s">
        <v>1482</v>
      </c>
      <c r="F168" s="67" t="s">
        <v>1462</v>
      </c>
      <c r="G168" s="69">
        <v>181</v>
      </c>
    </row>
    <row r="169" spans="1:7">
      <c r="A169" s="67" t="s">
        <v>1648</v>
      </c>
      <c r="B169" s="70">
        <v>46123</v>
      </c>
      <c r="C169" s="67" t="s">
        <v>1411</v>
      </c>
      <c r="D169" s="67" t="s">
        <v>1506</v>
      </c>
      <c r="E169" s="67" t="s">
        <v>1482</v>
      </c>
      <c r="F169" s="67" t="s">
        <v>1460</v>
      </c>
      <c r="G169" s="69">
        <v>14</v>
      </c>
    </row>
    <row r="170" spans="1:7">
      <c r="A170" s="67" t="s">
        <v>1649</v>
      </c>
      <c r="B170" s="70">
        <v>46123</v>
      </c>
      <c r="C170" s="67" t="s">
        <v>1411</v>
      </c>
      <c r="D170" s="67" t="s">
        <v>1506</v>
      </c>
      <c r="E170" s="67" t="s">
        <v>1482</v>
      </c>
      <c r="F170" s="67" t="s">
        <v>1460</v>
      </c>
      <c r="G170" s="69">
        <v>30</v>
      </c>
    </row>
    <row r="171" spans="1:7">
      <c r="A171" s="67" t="s">
        <v>1650</v>
      </c>
      <c r="B171" s="70">
        <v>46123</v>
      </c>
      <c r="C171" s="67" t="s">
        <v>1411</v>
      </c>
      <c r="D171" s="67" t="s">
        <v>1506</v>
      </c>
      <c r="E171" s="67" t="s">
        <v>1482</v>
      </c>
      <c r="F171" s="67" t="s">
        <v>1488</v>
      </c>
      <c r="G171" s="69">
        <v>10</v>
      </c>
    </row>
    <row r="172" spans="1:7">
      <c r="A172" s="67" t="s">
        <v>1651</v>
      </c>
      <c r="B172" s="70">
        <v>46123</v>
      </c>
      <c r="C172" s="67" t="s">
        <v>1411</v>
      </c>
      <c r="D172" s="67" t="s">
        <v>1481</v>
      </c>
      <c r="E172" s="67" t="s">
        <v>1482</v>
      </c>
      <c r="F172" s="67" t="s">
        <v>1460</v>
      </c>
      <c r="G172" s="69">
        <v>8</v>
      </c>
    </row>
    <row r="173" spans="1:7">
      <c r="A173" s="67" t="s">
        <v>1652</v>
      </c>
      <c r="B173" s="70">
        <v>46123</v>
      </c>
      <c r="C173" s="67" t="s">
        <v>1411</v>
      </c>
      <c r="D173" s="67" t="s">
        <v>1481</v>
      </c>
      <c r="E173" s="67" t="s">
        <v>1482</v>
      </c>
      <c r="F173" s="67" t="s">
        <v>1462</v>
      </c>
      <c r="G173" s="69">
        <v>442</v>
      </c>
    </row>
    <row r="174" spans="1:7">
      <c r="A174" s="67" t="s">
        <v>1653</v>
      </c>
      <c r="B174" s="70">
        <v>46123</v>
      </c>
      <c r="C174" s="67" t="s">
        <v>1423</v>
      </c>
      <c r="D174" s="67" t="s">
        <v>363</v>
      </c>
      <c r="E174" s="67" t="s">
        <v>1368</v>
      </c>
      <c r="F174" s="67" t="s">
        <v>1462</v>
      </c>
      <c r="G174" s="69">
        <v>294</v>
      </c>
    </row>
    <row r="175" spans="1:7">
      <c r="A175" s="67" t="s">
        <v>1654</v>
      </c>
      <c r="B175" s="70">
        <v>46123</v>
      </c>
      <c r="C175" s="67" t="s">
        <v>1423</v>
      </c>
      <c r="D175" s="67" t="s">
        <v>1479</v>
      </c>
      <c r="E175" s="67" t="s">
        <v>1410</v>
      </c>
      <c r="F175" s="67" t="s">
        <v>1460</v>
      </c>
      <c r="G175" s="69">
        <v>10</v>
      </c>
    </row>
    <row r="176" spans="1:7">
      <c r="A176" s="67" t="s">
        <v>1655</v>
      </c>
      <c r="B176" s="70">
        <v>46123</v>
      </c>
      <c r="C176" s="67" t="s">
        <v>1423</v>
      </c>
      <c r="D176" s="67" t="s">
        <v>1515</v>
      </c>
      <c r="E176" s="67" t="s">
        <v>1410</v>
      </c>
      <c r="F176" s="67" t="s">
        <v>1460</v>
      </c>
      <c r="G176" s="69">
        <v>11</v>
      </c>
    </row>
    <row r="177" spans="1:7">
      <c r="A177" s="67" t="s">
        <v>1656</v>
      </c>
      <c r="B177" s="70">
        <v>46123</v>
      </c>
      <c r="C177" s="67" t="s">
        <v>1429</v>
      </c>
      <c r="D177" s="67" t="s">
        <v>353</v>
      </c>
      <c r="E177" s="67" t="s">
        <v>1368</v>
      </c>
      <c r="F177" s="67" t="s">
        <v>1460</v>
      </c>
      <c r="G177" s="69">
        <v>17</v>
      </c>
    </row>
    <row r="178" spans="1:7">
      <c r="A178" s="67" t="s">
        <v>1657</v>
      </c>
      <c r="B178" s="70">
        <v>46123</v>
      </c>
      <c r="C178" s="67" t="s">
        <v>1429</v>
      </c>
      <c r="D178" s="67" t="s">
        <v>367</v>
      </c>
      <c r="E178" s="67" t="s">
        <v>1368</v>
      </c>
      <c r="F178" s="67" t="s">
        <v>1462</v>
      </c>
      <c r="G178" s="69">
        <v>132</v>
      </c>
    </row>
    <row r="179" spans="1:7">
      <c r="A179" s="67" t="s">
        <v>1658</v>
      </c>
      <c r="B179" s="70">
        <v>46123</v>
      </c>
      <c r="C179" s="67" t="s">
        <v>1446</v>
      </c>
      <c r="D179" s="67" t="s">
        <v>363</v>
      </c>
      <c r="E179" s="67" t="s">
        <v>1368</v>
      </c>
      <c r="F179" s="67" t="s">
        <v>1460</v>
      </c>
      <c r="G179" s="69">
        <v>19</v>
      </c>
    </row>
    <row r="180" spans="1:7">
      <c r="A180" s="67" t="s">
        <v>1659</v>
      </c>
      <c r="B180" s="70">
        <v>46123</v>
      </c>
      <c r="C180" s="67" t="s">
        <v>1446</v>
      </c>
      <c r="D180" s="67" t="s">
        <v>1551</v>
      </c>
      <c r="E180" s="67" t="s">
        <v>1362</v>
      </c>
      <c r="F180" s="67" t="s">
        <v>1462</v>
      </c>
      <c r="G180" s="69">
        <v>132</v>
      </c>
    </row>
    <row r="181" spans="1:7">
      <c r="A181" s="67" t="s">
        <v>1660</v>
      </c>
      <c r="B181" s="70">
        <v>46124</v>
      </c>
      <c r="C181" s="67" t="s">
        <v>1359</v>
      </c>
      <c r="D181" s="67" t="s">
        <v>1466</v>
      </c>
      <c r="E181" s="67" t="s">
        <v>1386</v>
      </c>
      <c r="F181" s="67" t="s">
        <v>1462</v>
      </c>
      <c r="G181" s="69">
        <v>159</v>
      </c>
    </row>
    <row r="182" spans="1:7">
      <c r="A182" s="67" t="s">
        <v>1661</v>
      </c>
      <c r="B182" s="70">
        <v>46124</v>
      </c>
      <c r="C182" s="67" t="s">
        <v>1359</v>
      </c>
      <c r="D182" s="67" t="s">
        <v>1602</v>
      </c>
      <c r="E182" s="67" t="s">
        <v>1386</v>
      </c>
      <c r="F182" s="67" t="s">
        <v>1460</v>
      </c>
      <c r="G182" s="69">
        <v>12</v>
      </c>
    </row>
    <row r="183" spans="1:7">
      <c r="A183" s="67" t="s">
        <v>1662</v>
      </c>
      <c r="B183" s="70">
        <v>46124</v>
      </c>
      <c r="C183" s="67" t="s">
        <v>1366</v>
      </c>
      <c r="D183" s="67" t="s">
        <v>367</v>
      </c>
      <c r="E183" s="67" t="s">
        <v>1368</v>
      </c>
      <c r="F183" s="67" t="s">
        <v>1462</v>
      </c>
      <c r="G183" s="69">
        <v>175</v>
      </c>
    </row>
    <row r="184" spans="1:7">
      <c r="A184" s="67" t="s">
        <v>1663</v>
      </c>
      <c r="B184" s="70">
        <v>46124</v>
      </c>
      <c r="C184" s="67" t="s">
        <v>1371</v>
      </c>
      <c r="D184" s="67" t="s">
        <v>1466</v>
      </c>
      <c r="E184" s="67" t="s">
        <v>1386</v>
      </c>
      <c r="F184" s="67" t="s">
        <v>1460</v>
      </c>
      <c r="G184" s="69">
        <v>26</v>
      </c>
    </row>
    <row r="185" spans="1:7">
      <c r="A185" s="67" t="s">
        <v>1664</v>
      </c>
      <c r="B185" s="70">
        <v>46124</v>
      </c>
      <c r="C185" s="67" t="s">
        <v>1375</v>
      </c>
      <c r="D185" s="67" t="s">
        <v>369</v>
      </c>
      <c r="E185" s="67" t="s">
        <v>1368</v>
      </c>
      <c r="F185" s="67" t="s">
        <v>1488</v>
      </c>
      <c r="G185" s="69">
        <v>6</v>
      </c>
    </row>
    <row r="186" spans="1:7">
      <c r="A186" s="67" t="s">
        <v>1665</v>
      </c>
      <c r="B186" s="70">
        <v>46124</v>
      </c>
      <c r="C186" s="67" t="s">
        <v>1375</v>
      </c>
      <c r="D186" s="67" t="s">
        <v>358</v>
      </c>
      <c r="E186" s="67" t="s">
        <v>1368</v>
      </c>
      <c r="F186" s="67" t="s">
        <v>1462</v>
      </c>
      <c r="G186" s="69">
        <v>142</v>
      </c>
    </row>
    <row r="187" spans="1:7">
      <c r="A187" s="67" t="s">
        <v>1666</v>
      </c>
      <c r="B187" s="70">
        <v>46124</v>
      </c>
      <c r="C187" s="67" t="s">
        <v>1389</v>
      </c>
      <c r="D187" s="67" t="s">
        <v>367</v>
      </c>
      <c r="E187" s="67" t="s">
        <v>1368</v>
      </c>
      <c r="F187" s="67" t="s">
        <v>1460</v>
      </c>
      <c r="G187" s="69">
        <v>6</v>
      </c>
    </row>
    <row r="188" spans="1:7">
      <c r="A188" s="67" t="s">
        <v>1667</v>
      </c>
      <c r="B188" s="70">
        <v>46124</v>
      </c>
      <c r="C188" s="67" t="s">
        <v>1404</v>
      </c>
      <c r="D188" s="67" t="s">
        <v>356</v>
      </c>
      <c r="E188" s="67" t="s">
        <v>1368</v>
      </c>
      <c r="F188" s="67" t="s">
        <v>1460</v>
      </c>
      <c r="G188" s="69">
        <v>25</v>
      </c>
    </row>
    <row r="189" spans="1:7">
      <c r="A189" s="67" t="s">
        <v>1668</v>
      </c>
      <c r="B189" s="70">
        <v>46124</v>
      </c>
      <c r="C189" s="67" t="s">
        <v>1404</v>
      </c>
      <c r="D189" s="67" t="s">
        <v>363</v>
      </c>
      <c r="E189" s="67" t="s">
        <v>1368</v>
      </c>
      <c r="F189" s="67" t="s">
        <v>1460</v>
      </c>
      <c r="G189" s="69">
        <v>8</v>
      </c>
    </row>
    <row r="190" spans="1:7">
      <c r="A190" s="67" t="s">
        <v>1669</v>
      </c>
      <c r="B190" s="70">
        <v>46124</v>
      </c>
      <c r="C190" s="67" t="s">
        <v>1404</v>
      </c>
      <c r="D190" s="67" t="s">
        <v>367</v>
      </c>
      <c r="E190" s="67" t="s">
        <v>1368</v>
      </c>
      <c r="F190" s="67" t="s">
        <v>1462</v>
      </c>
      <c r="G190" s="69">
        <v>390</v>
      </c>
    </row>
    <row r="191" spans="1:7">
      <c r="A191" s="67" t="s">
        <v>1670</v>
      </c>
      <c r="B191" s="70">
        <v>46124</v>
      </c>
      <c r="C191" s="67" t="s">
        <v>1404</v>
      </c>
      <c r="D191" s="67" t="s">
        <v>358</v>
      </c>
      <c r="E191" s="67" t="s">
        <v>1368</v>
      </c>
      <c r="F191" s="67" t="s">
        <v>1462</v>
      </c>
      <c r="G191" s="69">
        <v>454</v>
      </c>
    </row>
    <row r="192" spans="1:7">
      <c r="A192" s="67" t="s">
        <v>1671</v>
      </c>
      <c r="B192" s="70">
        <v>46124</v>
      </c>
      <c r="C192" s="67" t="s">
        <v>1406</v>
      </c>
      <c r="D192" s="67" t="s">
        <v>363</v>
      </c>
      <c r="E192" s="67" t="s">
        <v>1368</v>
      </c>
      <c r="F192" s="67" t="s">
        <v>1462</v>
      </c>
      <c r="G192" s="69">
        <v>168</v>
      </c>
    </row>
    <row r="193" spans="1:7">
      <c r="A193" s="67" t="s">
        <v>1672</v>
      </c>
      <c r="B193" s="70">
        <v>46124</v>
      </c>
      <c r="C193" s="67" t="s">
        <v>1411</v>
      </c>
      <c r="D193" s="67" t="s">
        <v>1506</v>
      </c>
      <c r="E193" s="67" t="s">
        <v>1482</v>
      </c>
      <c r="F193" s="67" t="s">
        <v>1460</v>
      </c>
      <c r="G193" s="69">
        <v>26</v>
      </c>
    </row>
    <row r="194" spans="1:7">
      <c r="A194" s="67" t="s">
        <v>1673</v>
      </c>
      <c r="B194" s="70">
        <v>46124</v>
      </c>
      <c r="C194" s="67" t="s">
        <v>1411</v>
      </c>
      <c r="D194" s="67" t="s">
        <v>1506</v>
      </c>
      <c r="E194" s="67" t="s">
        <v>1482</v>
      </c>
      <c r="F194" s="67" t="s">
        <v>1462</v>
      </c>
      <c r="G194" s="69">
        <v>583</v>
      </c>
    </row>
    <row r="195" spans="1:7">
      <c r="A195" s="67" t="s">
        <v>1674</v>
      </c>
      <c r="B195" s="70">
        <v>46124</v>
      </c>
      <c r="C195" s="67" t="s">
        <v>1411</v>
      </c>
      <c r="D195" s="67" t="s">
        <v>1481</v>
      </c>
      <c r="E195" s="67" t="s">
        <v>1482</v>
      </c>
      <c r="F195" s="67" t="s">
        <v>1462</v>
      </c>
      <c r="G195" s="69">
        <v>205</v>
      </c>
    </row>
    <row r="196" spans="1:7">
      <c r="A196" s="67" t="s">
        <v>1675</v>
      </c>
      <c r="B196" s="70">
        <v>46124</v>
      </c>
      <c r="C196" s="67" t="s">
        <v>1414</v>
      </c>
      <c r="D196" s="67" t="s">
        <v>1476</v>
      </c>
      <c r="E196" s="67" t="s">
        <v>1362</v>
      </c>
      <c r="F196" s="67" t="s">
        <v>1460</v>
      </c>
      <c r="G196" s="69">
        <v>19</v>
      </c>
    </row>
    <row r="197" spans="1:7">
      <c r="A197" s="67" t="s">
        <v>1676</v>
      </c>
      <c r="B197" s="70">
        <v>46124</v>
      </c>
      <c r="C197" s="67" t="s">
        <v>1427</v>
      </c>
      <c r="D197" s="67" t="s">
        <v>1551</v>
      </c>
      <c r="E197" s="67" t="s">
        <v>1362</v>
      </c>
      <c r="F197" s="67" t="s">
        <v>1460</v>
      </c>
      <c r="G197" s="69">
        <v>22</v>
      </c>
    </row>
    <row r="198" spans="1:7">
      <c r="A198" s="67" t="s">
        <v>1677</v>
      </c>
      <c r="B198" s="70">
        <v>46124</v>
      </c>
      <c r="C198" s="67" t="s">
        <v>1429</v>
      </c>
      <c r="D198" s="67" t="s">
        <v>365</v>
      </c>
      <c r="E198" s="67" t="s">
        <v>1368</v>
      </c>
      <c r="F198" s="67" t="s">
        <v>1462</v>
      </c>
      <c r="G198" s="69">
        <v>130</v>
      </c>
    </row>
    <row r="199" spans="1:7">
      <c r="A199" s="67" t="s">
        <v>1678</v>
      </c>
      <c r="B199" s="70">
        <v>46124</v>
      </c>
      <c r="C199" s="67" t="s">
        <v>1444</v>
      </c>
      <c r="D199" s="67" t="s">
        <v>363</v>
      </c>
      <c r="E199" s="67" t="s">
        <v>1368</v>
      </c>
      <c r="F199" s="67" t="s">
        <v>1460</v>
      </c>
      <c r="G199" s="69">
        <v>16</v>
      </c>
    </row>
    <row r="200" spans="1:7">
      <c r="A200" s="67" t="s">
        <v>1679</v>
      </c>
      <c r="B200" s="70">
        <v>46124</v>
      </c>
      <c r="C200" s="67" t="s">
        <v>1446</v>
      </c>
      <c r="D200" s="67" t="s">
        <v>1551</v>
      </c>
      <c r="E200" s="67" t="s">
        <v>1362</v>
      </c>
      <c r="F200" s="67" t="s">
        <v>1462</v>
      </c>
      <c r="G200" s="69">
        <v>81</v>
      </c>
    </row>
    <row r="201" spans="1:7">
      <c r="A201" s="67" t="s">
        <v>1680</v>
      </c>
      <c r="B201" s="70">
        <v>46124</v>
      </c>
      <c r="C201" s="67" t="s">
        <v>1446</v>
      </c>
      <c r="D201" s="67" t="s">
        <v>1459</v>
      </c>
      <c r="E201" s="67" t="s">
        <v>1362</v>
      </c>
      <c r="F201" s="67" t="s">
        <v>1462</v>
      </c>
      <c r="G201" s="69">
        <v>531</v>
      </c>
    </row>
    <row r="202" spans="1:7">
      <c r="A202" s="67" t="s">
        <v>1681</v>
      </c>
      <c r="B202" s="70">
        <v>46124</v>
      </c>
      <c r="C202" s="67" t="s">
        <v>1450</v>
      </c>
      <c r="D202" s="67" t="s">
        <v>1481</v>
      </c>
      <c r="E202" s="67" t="s">
        <v>1482</v>
      </c>
      <c r="F202" s="67" t="s">
        <v>1462</v>
      </c>
      <c r="G202" s="69">
        <v>205</v>
      </c>
    </row>
    <row r="203" spans="1:7">
      <c r="A203" s="67" t="s">
        <v>1682</v>
      </c>
      <c r="B203" s="70">
        <v>46125</v>
      </c>
      <c r="C203" s="67" t="s">
        <v>1359</v>
      </c>
      <c r="D203" s="67" t="s">
        <v>353</v>
      </c>
      <c r="E203" s="67" t="s">
        <v>1368</v>
      </c>
      <c r="F203" s="67" t="s">
        <v>1462</v>
      </c>
      <c r="G203" s="69">
        <v>498</v>
      </c>
    </row>
    <row r="204" spans="1:7">
      <c r="A204" s="67" t="s">
        <v>1683</v>
      </c>
      <c r="B204" s="70">
        <v>46125</v>
      </c>
      <c r="C204" s="67" t="s">
        <v>1359</v>
      </c>
      <c r="D204" s="67" t="s">
        <v>1551</v>
      </c>
      <c r="E204" s="67" t="s">
        <v>1362</v>
      </c>
      <c r="F204" s="67" t="s">
        <v>1462</v>
      </c>
      <c r="G204" s="69">
        <v>131</v>
      </c>
    </row>
    <row r="205" spans="1:7">
      <c r="A205" s="67" t="s">
        <v>1684</v>
      </c>
      <c r="B205" s="70">
        <v>46125</v>
      </c>
      <c r="C205" s="67" t="s">
        <v>1359</v>
      </c>
      <c r="D205" s="67" t="s">
        <v>1551</v>
      </c>
      <c r="E205" s="67" t="s">
        <v>1362</v>
      </c>
      <c r="F205" s="67" t="s">
        <v>1462</v>
      </c>
      <c r="G205" s="69">
        <v>279</v>
      </c>
    </row>
    <row r="206" spans="1:7">
      <c r="A206" s="67" t="s">
        <v>1685</v>
      </c>
      <c r="B206" s="70">
        <v>46125</v>
      </c>
      <c r="C206" s="67" t="s">
        <v>1366</v>
      </c>
      <c r="D206" s="67" t="s">
        <v>1551</v>
      </c>
      <c r="E206" s="67" t="s">
        <v>1362</v>
      </c>
      <c r="F206" s="67" t="s">
        <v>1462</v>
      </c>
      <c r="G206" s="69">
        <v>396</v>
      </c>
    </row>
    <row r="207" spans="1:7">
      <c r="A207" s="67" t="s">
        <v>1686</v>
      </c>
      <c r="B207" s="70">
        <v>46125</v>
      </c>
      <c r="C207" s="67" t="s">
        <v>1371</v>
      </c>
      <c r="D207" s="67" t="s">
        <v>1466</v>
      </c>
      <c r="E207" s="67" t="s">
        <v>1386</v>
      </c>
      <c r="F207" s="67" t="s">
        <v>1460</v>
      </c>
      <c r="G207" s="69">
        <v>6</v>
      </c>
    </row>
    <row r="208" spans="1:7">
      <c r="A208" s="67" t="s">
        <v>1687</v>
      </c>
      <c r="B208" s="70">
        <v>46125</v>
      </c>
      <c r="C208" s="67" t="s">
        <v>1381</v>
      </c>
      <c r="D208" s="67" t="s">
        <v>353</v>
      </c>
      <c r="E208" s="67" t="s">
        <v>1368</v>
      </c>
      <c r="F208" s="67" t="s">
        <v>1462</v>
      </c>
      <c r="G208" s="69">
        <v>592</v>
      </c>
    </row>
    <row r="209" spans="1:7">
      <c r="A209" s="67" t="s">
        <v>1688</v>
      </c>
      <c r="B209" s="70">
        <v>46125</v>
      </c>
      <c r="C209" s="67" t="s">
        <v>1381</v>
      </c>
      <c r="D209" s="67" t="s">
        <v>1511</v>
      </c>
      <c r="E209" s="67" t="s">
        <v>1470</v>
      </c>
      <c r="F209" s="67" t="s">
        <v>1462</v>
      </c>
      <c r="G209" s="69">
        <v>518</v>
      </c>
    </row>
    <row r="210" spans="1:7">
      <c r="A210" s="67" t="s">
        <v>1689</v>
      </c>
      <c r="B210" s="70">
        <v>46125</v>
      </c>
      <c r="C210" s="67" t="s">
        <v>1381</v>
      </c>
      <c r="D210" s="67" t="s">
        <v>369</v>
      </c>
      <c r="E210" s="67" t="s">
        <v>1368</v>
      </c>
      <c r="F210" s="67" t="s">
        <v>1460</v>
      </c>
      <c r="G210" s="69">
        <v>24</v>
      </c>
    </row>
    <row r="211" spans="1:7">
      <c r="A211" s="67" t="s">
        <v>1690</v>
      </c>
      <c r="B211" s="70">
        <v>46125</v>
      </c>
      <c r="C211" s="67" t="s">
        <v>1381</v>
      </c>
      <c r="D211" s="67" t="s">
        <v>1469</v>
      </c>
      <c r="E211" s="67" t="s">
        <v>1470</v>
      </c>
      <c r="F211" s="67" t="s">
        <v>1462</v>
      </c>
      <c r="G211" s="69">
        <v>422</v>
      </c>
    </row>
    <row r="212" spans="1:7">
      <c r="A212" s="67" t="s">
        <v>1691</v>
      </c>
      <c r="B212" s="70">
        <v>46125</v>
      </c>
      <c r="C212" s="67" t="s">
        <v>1389</v>
      </c>
      <c r="D212" s="67" t="s">
        <v>356</v>
      </c>
      <c r="E212" s="67" t="s">
        <v>1368</v>
      </c>
      <c r="F212" s="67" t="s">
        <v>1462</v>
      </c>
      <c r="G212" s="69">
        <v>86</v>
      </c>
    </row>
    <row r="213" spans="1:7">
      <c r="A213" s="67" t="s">
        <v>1692</v>
      </c>
      <c r="B213" s="70">
        <v>46125</v>
      </c>
      <c r="C213" s="67" t="s">
        <v>1404</v>
      </c>
      <c r="D213" s="67" t="s">
        <v>356</v>
      </c>
      <c r="E213" s="67" t="s">
        <v>1368</v>
      </c>
      <c r="F213" s="67" t="s">
        <v>1462</v>
      </c>
      <c r="G213" s="69">
        <v>74</v>
      </c>
    </row>
    <row r="214" spans="1:7">
      <c r="A214" s="67" t="s">
        <v>1693</v>
      </c>
      <c r="B214" s="70">
        <v>46125</v>
      </c>
      <c r="C214" s="67" t="s">
        <v>1404</v>
      </c>
      <c r="D214" s="67" t="s">
        <v>369</v>
      </c>
      <c r="E214" s="67" t="s">
        <v>1368</v>
      </c>
      <c r="F214" s="67" t="s">
        <v>1488</v>
      </c>
      <c r="G214" s="69">
        <v>10</v>
      </c>
    </row>
    <row r="215" spans="1:7">
      <c r="A215" s="67" t="s">
        <v>1694</v>
      </c>
      <c r="B215" s="70">
        <v>46125</v>
      </c>
      <c r="C215" s="67" t="s">
        <v>1404</v>
      </c>
      <c r="D215" s="67" t="s">
        <v>1469</v>
      </c>
      <c r="E215" s="67" t="s">
        <v>1470</v>
      </c>
      <c r="F215" s="67" t="s">
        <v>1462</v>
      </c>
      <c r="G215" s="69">
        <v>385</v>
      </c>
    </row>
    <row r="216" spans="1:7">
      <c r="A216" s="67" t="s">
        <v>1695</v>
      </c>
      <c r="B216" s="70">
        <v>46125</v>
      </c>
      <c r="C216" s="67" t="s">
        <v>1406</v>
      </c>
      <c r="D216" s="67" t="s">
        <v>356</v>
      </c>
      <c r="E216" s="67" t="s">
        <v>1368</v>
      </c>
      <c r="F216" s="67" t="s">
        <v>1462</v>
      </c>
      <c r="G216" s="69">
        <v>472</v>
      </c>
    </row>
    <row r="217" spans="1:7">
      <c r="A217" s="67" t="s">
        <v>1696</v>
      </c>
      <c r="B217" s="70">
        <v>46125</v>
      </c>
      <c r="C217" s="67" t="s">
        <v>1406</v>
      </c>
      <c r="D217" s="67" t="s">
        <v>369</v>
      </c>
      <c r="E217" s="67" t="s">
        <v>1368</v>
      </c>
      <c r="F217" s="67" t="s">
        <v>1462</v>
      </c>
      <c r="G217" s="69">
        <v>86</v>
      </c>
    </row>
    <row r="218" spans="1:7">
      <c r="A218" s="67" t="s">
        <v>1697</v>
      </c>
      <c r="B218" s="70">
        <v>46125</v>
      </c>
      <c r="C218" s="67" t="s">
        <v>1411</v>
      </c>
      <c r="D218" s="67" t="s">
        <v>1506</v>
      </c>
      <c r="E218" s="67" t="s">
        <v>1482</v>
      </c>
      <c r="F218" s="67" t="s">
        <v>1488</v>
      </c>
      <c r="G218" s="69">
        <v>9</v>
      </c>
    </row>
    <row r="219" spans="1:7">
      <c r="A219" s="67" t="s">
        <v>1698</v>
      </c>
      <c r="B219" s="70">
        <v>46125</v>
      </c>
      <c r="C219" s="67" t="s">
        <v>1414</v>
      </c>
      <c r="D219" s="67" t="s">
        <v>1484</v>
      </c>
      <c r="E219" s="67" t="s">
        <v>1470</v>
      </c>
      <c r="F219" s="67" t="s">
        <v>1488</v>
      </c>
      <c r="G219" s="69">
        <v>3</v>
      </c>
    </row>
    <row r="220" spans="1:7">
      <c r="A220" s="67" t="s">
        <v>1699</v>
      </c>
      <c r="B220" s="70">
        <v>46125</v>
      </c>
      <c r="C220" s="67" t="s">
        <v>1414</v>
      </c>
      <c r="D220" s="67" t="s">
        <v>1551</v>
      </c>
      <c r="E220" s="67" t="s">
        <v>1362</v>
      </c>
      <c r="F220" s="67" t="s">
        <v>1460</v>
      </c>
      <c r="G220" s="69">
        <v>27</v>
      </c>
    </row>
    <row r="221" spans="1:7">
      <c r="A221" s="67" t="s">
        <v>1700</v>
      </c>
      <c r="B221" s="70">
        <v>46126</v>
      </c>
      <c r="C221" s="67" t="s">
        <v>1359</v>
      </c>
      <c r="D221" s="67" t="s">
        <v>1459</v>
      </c>
      <c r="E221" s="67" t="s">
        <v>1362</v>
      </c>
      <c r="F221" s="67" t="s">
        <v>1460</v>
      </c>
      <c r="G221" s="69">
        <v>29</v>
      </c>
    </row>
    <row r="222" spans="1:7">
      <c r="A222" s="67" t="s">
        <v>1701</v>
      </c>
      <c r="B222" s="70">
        <v>46126</v>
      </c>
      <c r="C222" s="67" t="s">
        <v>1366</v>
      </c>
      <c r="D222" s="67" t="s">
        <v>353</v>
      </c>
      <c r="E222" s="67" t="s">
        <v>1368</v>
      </c>
      <c r="F222" s="67" t="s">
        <v>1462</v>
      </c>
      <c r="G222" s="69">
        <v>290</v>
      </c>
    </row>
    <row r="223" spans="1:7">
      <c r="A223" s="67" t="s">
        <v>1702</v>
      </c>
      <c r="B223" s="70">
        <v>46126</v>
      </c>
      <c r="C223" s="67" t="s">
        <v>1366</v>
      </c>
      <c r="D223" s="67" t="s">
        <v>1476</v>
      </c>
      <c r="E223" s="67" t="s">
        <v>1362</v>
      </c>
      <c r="F223" s="67" t="s">
        <v>1460</v>
      </c>
      <c r="G223" s="69">
        <v>12</v>
      </c>
    </row>
    <row r="224" spans="1:7">
      <c r="A224" s="67" t="s">
        <v>1703</v>
      </c>
      <c r="B224" s="70">
        <v>46126</v>
      </c>
      <c r="C224" s="67" t="s">
        <v>1366</v>
      </c>
      <c r="D224" s="67" t="s">
        <v>369</v>
      </c>
      <c r="E224" s="67" t="s">
        <v>1368</v>
      </c>
      <c r="F224" s="67" t="s">
        <v>1462</v>
      </c>
      <c r="G224" s="69">
        <v>269</v>
      </c>
    </row>
    <row r="225" spans="1:7">
      <c r="A225" s="67" t="s">
        <v>1704</v>
      </c>
      <c r="B225" s="70">
        <v>46126</v>
      </c>
      <c r="C225" s="67" t="s">
        <v>1371</v>
      </c>
      <c r="D225" s="67" t="s">
        <v>1551</v>
      </c>
      <c r="E225" s="67" t="s">
        <v>1362</v>
      </c>
      <c r="F225" s="67" t="s">
        <v>1462</v>
      </c>
      <c r="G225" s="69">
        <v>516</v>
      </c>
    </row>
    <row r="226" spans="1:7">
      <c r="A226" s="67" t="s">
        <v>1705</v>
      </c>
      <c r="B226" s="70">
        <v>46126</v>
      </c>
      <c r="C226" s="67" t="s">
        <v>1371</v>
      </c>
      <c r="D226" s="67" t="s">
        <v>1551</v>
      </c>
      <c r="E226" s="67" t="s">
        <v>1362</v>
      </c>
      <c r="F226" s="67" t="s">
        <v>1462</v>
      </c>
      <c r="G226" s="69">
        <v>345</v>
      </c>
    </row>
    <row r="227" spans="1:7">
      <c r="A227" s="67" t="s">
        <v>1706</v>
      </c>
      <c r="B227" s="70">
        <v>46126</v>
      </c>
      <c r="C227" s="67" t="s">
        <v>1375</v>
      </c>
      <c r="D227" s="67" t="s">
        <v>353</v>
      </c>
      <c r="E227" s="67" t="s">
        <v>1368</v>
      </c>
      <c r="F227" s="67" t="s">
        <v>1460</v>
      </c>
      <c r="G227" s="69">
        <v>17</v>
      </c>
    </row>
    <row r="228" spans="1:7">
      <c r="A228" s="67" t="s">
        <v>1707</v>
      </c>
      <c r="B228" s="70">
        <v>46126</v>
      </c>
      <c r="C228" s="67" t="s">
        <v>1375</v>
      </c>
      <c r="D228" s="67" t="s">
        <v>363</v>
      </c>
      <c r="E228" s="67" t="s">
        <v>1368</v>
      </c>
      <c r="F228" s="67" t="s">
        <v>1462</v>
      </c>
      <c r="G228" s="69">
        <v>411</v>
      </c>
    </row>
    <row r="229" spans="1:7">
      <c r="A229" s="67" t="s">
        <v>1708</v>
      </c>
      <c r="B229" s="70">
        <v>46126</v>
      </c>
      <c r="C229" s="67" t="s">
        <v>1375</v>
      </c>
      <c r="D229" s="67" t="s">
        <v>365</v>
      </c>
      <c r="E229" s="67" t="s">
        <v>1368</v>
      </c>
      <c r="F229" s="67" t="s">
        <v>1462</v>
      </c>
      <c r="G229" s="69">
        <v>63</v>
      </c>
    </row>
    <row r="230" spans="1:7">
      <c r="A230" s="67" t="s">
        <v>1709</v>
      </c>
      <c r="B230" s="70">
        <v>46126</v>
      </c>
      <c r="C230" s="67" t="s">
        <v>1384</v>
      </c>
      <c r="D230" s="67" t="s">
        <v>1466</v>
      </c>
      <c r="E230" s="67" t="s">
        <v>1386</v>
      </c>
      <c r="F230" s="67" t="s">
        <v>1462</v>
      </c>
      <c r="G230" s="69">
        <v>335</v>
      </c>
    </row>
    <row r="231" spans="1:7">
      <c r="A231" s="67" t="s">
        <v>1710</v>
      </c>
      <c r="B231" s="70">
        <v>46126</v>
      </c>
      <c r="C231" s="67" t="s">
        <v>1393</v>
      </c>
      <c r="D231" s="67" t="s">
        <v>356</v>
      </c>
      <c r="E231" s="67" t="s">
        <v>1368</v>
      </c>
      <c r="F231" s="67" t="s">
        <v>1462</v>
      </c>
      <c r="G231" s="69">
        <v>177</v>
      </c>
    </row>
    <row r="232" spans="1:7">
      <c r="A232" s="67" t="s">
        <v>1711</v>
      </c>
      <c r="B232" s="70">
        <v>46126</v>
      </c>
      <c r="C232" s="67" t="s">
        <v>1393</v>
      </c>
      <c r="D232" s="67" t="s">
        <v>369</v>
      </c>
      <c r="E232" s="67" t="s">
        <v>1368</v>
      </c>
      <c r="F232" s="67" t="s">
        <v>1462</v>
      </c>
      <c r="G232" s="69">
        <v>428</v>
      </c>
    </row>
    <row r="233" spans="1:7">
      <c r="A233" s="67" t="s">
        <v>1712</v>
      </c>
      <c r="B233" s="70">
        <v>46126</v>
      </c>
      <c r="C233" s="67" t="s">
        <v>1404</v>
      </c>
      <c r="D233" s="67" t="s">
        <v>360</v>
      </c>
      <c r="E233" s="67" t="s">
        <v>1368</v>
      </c>
      <c r="F233" s="67" t="s">
        <v>1462</v>
      </c>
      <c r="G233" s="69">
        <v>195</v>
      </c>
    </row>
    <row r="234" spans="1:7">
      <c r="A234" s="67" t="s">
        <v>1713</v>
      </c>
      <c r="B234" s="70">
        <v>46126</v>
      </c>
      <c r="C234" s="67" t="s">
        <v>1404</v>
      </c>
      <c r="D234" s="67" t="s">
        <v>367</v>
      </c>
      <c r="E234" s="67" t="s">
        <v>1368</v>
      </c>
      <c r="F234" s="67" t="s">
        <v>1462</v>
      </c>
      <c r="G234" s="69">
        <v>372</v>
      </c>
    </row>
    <row r="235" spans="1:7">
      <c r="A235" s="67" t="s">
        <v>1714</v>
      </c>
      <c r="B235" s="70">
        <v>46126</v>
      </c>
      <c r="C235" s="67" t="s">
        <v>1404</v>
      </c>
      <c r="D235" s="67" t="s">
        <v>367</v>
      </c>
      <c r="E235" s="67" t="s">
        <v>1368</v>
      </c>
      <c r="F235" s="67" t="s">
        <v>1462</v>
      </c>
      <c r="G235" s="69">
        <v>125</v>
      </c>
    </row>
    <row r="236" spans="1:7">
      <c r="A236" s="67" t="s">
        <v>1715</v>
      </c>
      <c r="B236" s="70">
        <v>46126</v>
      </c>
      <c r="C236" s="67" t="s">
        <v>1404</v>
      </c>
      <c r="D236" s="67" t="s">
        <v>1459</v>
      </c>
      <c r="E236" s="67" t="s">
        <v>1362</v>
      </c>
      <c r="F236" s="67" t="s">
        <v>1462</v>
      </c>
      <c r="G236" s="69">
        <v>301</v>
      </c>
    </row>
    <row r="237" spans="1:7">
      <c r="A237" s="67" t="s">
        <v>1716</v>
      </c>
      <c r="B237" s="70">
        <v>46126</v>
      </c>
      <c r="C237" s="67" t="s">
        <v>1404</v>
      </c>
      <c r="D237" s="67" t="s">
        <v>358</v>
      </c>
      <c r="E237" s="67" t="s">
        <v>1368</v>
      </c>
      <c r="F237" s="67" t="s">
        <v>1462</v>
      </c>
      <c r="G237" s="69">
        <v>236</v>
      </c>
    </row>
    <row r="238" spans="1:7">
      <c r="A238" s="67" t="s">
        <v>1717</v>
      </c>
      <c r="B238" s="70">
        <v>46126</v>
      </c>
      <c r="C238" s="67" t="s">
        <v>1406</v>
      </c>
      <c r="D238" s="67" t="s">
        <v>367</v>
      </c>
      <c r="E238" s="67" t="s">
        <v>1368</v>
      </c>
      <c r="F238" s="67" t="s">
        <v>1462</v>
      </c>
      <c r="G238" s="69">
        <v>81</v>
      </c>
    </row>
    <row r="239" spans="1:7">
      <c r="A239" s="67" t="s">
        <v>1718</v>
      </c>
      <c r="B239" s="70">
        <v>46126</v>
      </c>
      <c r="C239" s="67" t="s">
        <v>1408</v>
      </c>
      <c r="D239" s="67" t="s">
        <v>356</v>
      </c>
      <c r="E239" s="67" t="s">
        <v>1368</v>
      </c>
      <c r="F239" s="67" t="s">
        <v>1462</v>
      </c>
      <c r="G239" s="69">
        <v>53</v>
      </c>
    </row>
    <row r="240" spans="1:7">
      <c r="A240" s="67" t="s">
        <v>1719</v>
      </c>
      <c r="B240" s="70">
        <v>46126</v>
      </c>
      <c r="C240" s="67" t="s">
        <v>1411</v>
      </c>
      <c r="D240" s="67" t="s">
        <v>1481</v>
      </c>
      <c r="E240" s="67" t="s">
        <v>1482</v>
      </c>
      <c r="F240" s="67" t="s">
        <v>1462</v>
      </c>
      <c r="G240" s="69">
        <v>158</v>
      </c>
    </row>
    <row r="241" spans="1:7">
      <c r="A241" s="67" t="s">
        <v>1720</v>
      </c>
      <c r="B241" s="70">
        <v>46126</v>
      </c>
      <c r="C241" s="67" t="s">
        <v>1411</v>
      </c>
      <c r="D241" s="67" t="s">
        <v>1481</v>
      </c>
      <c r="E241" s="67" t="s">
        <v>1482</v>
      </c>
      <c r="F241" s="67" t="s">
        <v>1488</v>
      </c>
      <c r="G241" s="69">
        <v>10</v>
      </c>
    </row>
    <row r="242" spans="1:7">
      <c r="A242" s="67" t="s">
        <v>1721</v>
      </c>
      <c r="B242" s="70">
        <v>46126</v>
      </c>
      <c r="C242" s="67" t="s">
        <v>1414</v>
      </c>
      <c r="D242" s="67" t="s">
        <v>1511</v>
      </c>
      <c r="E242" s="67" t="s">
        <v>1470</v>
      </c>
      <c r="F242" s="67" t="s">
        <v>1462</v>
      </c>
      <c r="G242" s="69">
        <v>487</v>
      </c>
    </row>
    <row r="243" spans="1:7">
      <c r="A243" s="67" t="s">
        <v>1722</v>
      </c>
      <c r="B243" s="70">
        <v>46126</v>
      </c>
      <c r="C243" s="67" t="s">
        <v>1414</v>
      </c>
      <c r="D243" s="67" t="s">
        <v>1484</v>
      </c>
      <c r="E243" s="67" t="s">
        <v>1470</v>
      </c>
      <c r="F243" s="67" t="s">
        <v>1462</v>
      </c>
      <c r="G243" s="69">
        <v>51</v>
      </c>
    </row>
    <row r="244" spans="1:7">
      <c r="A244" s="67" t="s">
        <v>1723</v>
      </c>
      <c r="B244" s="70">
        <v>46126</v>
      </c>
      <c r="C244" s="67" t="s">
        <v>1414</v>
      </c>
      <c r="D244" s="67" t="s">
        <v>1459</v>
      </c>
      <c r="E244" s="67" t="s">
        <v>1362</v>
      </c>
      <c r="F244" s="67" t="s">
        <v>1462</v>
      </c>
      <c r="G244" s="69">
        <v>470</v>
      </c>
    </row>
    <row r="245" spans="1:7">
      <c r="A245" s="67" t="s">
        <v>1724</v>
      </c>
      <c r="B245" s="70">
        <v>46126</v>
      </c>
      <c r="C245" s="67" t="s">
        <v>1423</v>
      </c>
      <c r="D245" s="67" t="s">
        <v>1487</v>
      </c>
      <c r="E245" s="67" t="s">
        <v>1410</v>
      </c>
      <c r="F245" s="67" t="s">
        <v>1462</v>
      </c>
      <c r="G245" s="69">
        <v>36</v>
      </c>
    </row>
    <row r="246" spans="1:7">
      <c r="A246" s="67" t="s">
        <v>1725</v>
      </c>
      <c r="B246" s="70">
        <v>46126</v>
      </c>
      <c r="C246" s="67" t="s">
        <v>1431</v>
      </c>
      <c r="D246" s="67" t="s">
        <v>1618</v>
      </c>
      <c r="E246" s="67" t="s">
        <v>1433</v>
      </c>
      <c r="F246" s="67" t="s">
        <v>1460</v>
      </c>
      <c r="G246" s="69">
        <v>29</v>
      </c>
    </row>
    <row r="247" spans="1:7">
      <c r="A247" s="67" t="s">
        <v>1726</v>
      </c>
      <c r="B247" s="70">
        <v>46126</v>
      </c>
      <c r="C247" s="67" t="s">
        <v>1444</v>
      </c>
      <c r="D247" s="67" t="s">
        <v>1551</v>
      </c>
      <c r="E247" s="67" t="s">
        <v>1362</v>
      </c>
      <c r="F247" s="67" t="s">
        <v>1462</v>
      </c>
      <c r="G247" s="69">
        <v>384</v>
      </c>
    </row>
    <row r="248" spans="1:7">
      <c r="A248" s="67" t="s">
        <v>1727</v>
      </c>
      <c r="B248" s="70">
        <v>46127</v>
      </c>
      <c r="C248" s="67" t="s">
        <v>1359</v>
      </c>
      <c r="D248" s="67" t="s">
        <v>367</v>
      </c>
      <c r="E248" s="67" t="s">
        <v>1368</v>
      </c>
      <c r="F248" s="67" t="s">
        <v>1462</v>
      </c>
      <c r="G248" s="69">
        <v>212</v>
      </c>
    </row>
    <row r="249" spans="1:7">
      <c r="A249" s="67" t="s">
        <v>1728</v>
      </c>
      <c r="B249" s="70">
        <v>46127</v>
      </c>
      <c r="C249" s="67" t="s">
        <v>1371</v>
      </c>
      <c r="D249" s="67" t="s">
        <v>1551</v>
      </c>
      <c r="E249" s="67" t="s">
        <v>1362</v>
      </c>
      <c r="F249" s="67" t="s">
        <v>1460</v>
      </c>
      <c r="G249" s="69">
        <v>22</v>
      </c>
    </row>
    <row r="250" spans="1:7">
      <c r="A250" s="67" t="s">
        <v>1729</v>
      </c>
      <c r="B250" s="70">
        <v>46127</v>
      </c>
      <c r="C250" s="67" t="s">
        <v>1381</v>
      </c>
      <c r="D250" s="67" t="s">
        <v>369</v>
      </c>
      <c r="E250" s="67" t="s">
        <v>1368</v>
      </c>
      <c r="F250" s="67" t="s">
        <v>1460</v>
      </c>
      <c r="G250" s="69">
        <v>27</v>
      </c>
    </row>
    <row r="251" spans="1:7">
      <c r="A251" s="67" t="s">
        <v>1730</v>
      </c>
      <c r="B251" s="70">
        <v>46127</v>
      </c>
      <c r="C251" s="67" t="s">
        <v>1393</v>
      </c>
      <c r="D251" s="67" t="s">
        <v>358</v>
      </c>
      <c r="E251" s="67" t="s">
        <v>1368</v>
      </c>
      <c r="F251" s="67" t="s">
        <v>1462</v>
      </c>
      <c r="G251" s="69">
        <v>181</v>
      </c>
    </row>
    <row r="252" spans="1:7">
      <c r="A252" s="67" t="s">
        <v>1731</v>
      </c>
      <c r="B252" s="70">
        <v>46127</v>
      </c>
      <c r="C252" s="67" t="s">
        <v>1399</v>
      </c>
      <c r="D252" s="67" t="s">
        <v>1551</v>
      </c>
      <c r="E252" s="67" t="s">
        <v>1362</v>
      </c>
      <c r="F252" s="67" t="s">
        <v>1462</v>
      </c>
      <c r="G252" s="69">
        <v>318</v>
      </c>
    </row>
    <row r="253" spans="1:7">
      <c r="A253" s="67" t="s">
        <v>1732</v>
      </c>
      <c r="B253" s="70">
        <v>46127</v>
      </c>
      <c r="C253" s="67" t="s">
        <v>1404</v>
      </c>
      <c r="D253" s="67" t="s">
        <v>369</v>
      </c>
      <c r="E253" s="67" t="s">
        <v>1368</v>
      </c>
      <c r="F253" s="67" t="s">
        <v>1462</v>
      </c>
      <c r="G253" s="69">
        <v>337</v>
      </c>
    </row>
    <row r="254" spans="1:7">
      <c r="A254" s="67" t="s">
        <v>1733</v>
      </c>
      <c r="B254" s="70">
        <v>46127</v>
      </c>
      <c r="C254" s="67" t="s">
        <v>1404</v>
      </c>
      <c r="D254" s="67" t="s">
        <v>358</v>
      </c>
      <c r="E254" s="67" t="s">
        <v>1368</v>
      </c>
      <c r="F254" s="67" t="s">
        <v>1462</v>
      </c>
      <c r="G254" s="69">
        <v>236</v>
      </c>
    </row>
    <row r="255" spans="1:7">
      <c r="A255" s="67" t="s">
        <v>1734</v>
      </c>
      <c r="B255" s="70">
        <v>46127</v>
      </c>
      <c r="C255" s="67" t="s">
        <v>1411</v>
      </c>
      <c r="D255" s="67" t="s">
        <v>365</v>
      </c>
      <c r="E255" s="67" t="s">
        <v>1368</v>
      </c>
      <c r="F255" s="67" t="s">
        <v>1460</v>
      </c>
      <c r="G255" s="69">
        <v>5</v>
      </c>
    </row>
    <row r="256" spans="1:7">
      <c r="A256" s="67" t="s">
        <v>1735</v>
      </c>
      <c r="B256" s="70">
        <v>46127</v>
      </c>
      <c r="C256" s="67" t="s">
        <v>1411</v>
      </c>
      <c r="D256" s="67" t="s">
        <v>1506</v>
      </c>
      <c r="E256" s="67" t="s">
        <v>1482</v>
      </c>
      <c r="F256" s="67" t="s">
        <v>1462</v>
      </c>
      <c r="G256" s="69">
        <v>50</v>
      </c>
    </row>
    <row r="257" spans="1:7">
      <c r="A257" s="67" t="s">
        <v>1736</v>
      </c>
      <c r="B257" s="70">
        <v>46127</v>
      </c>
      <c r="C257" s="67" t="s">
        <v>1411</v>
      </c>
      <c r="D257" s="67" t="s">
        <v>1506</v>
      </c>
      <c r="E257" s="67" t="s">
        <v>1482</v>
      </c>
      <c r="F257" s="67" t="s">
        <v>1460</v>
      </c>
      <c r="G257" s="69">
        <v>20</v>
      </c>
    </row>
    <row r="258" spans="1:7">
      <c r="A258" s="67" t="s">
        <v>1737</v>
      </c>
      <c r="B258" s="70">
        <v>46127</v>
      </c>
      <c r="C258" s="67" t="s">
        <v>1411</v>
      </c>
      <c r="D258" s="67" t="s">
        <v>1506</v>
      </c>
      <c r="E258" s="67" t="s">
        <v>1482</v>
      </c>
      <c r="F258" s="67" t="s">
        <v>1462</v>
      </c>
      <c r="G258" s="69">
        <v>248</v>
      </c>
    </row>
    <row r="259" spans="1:7">
      <c r="A259" s="67" t="s">
        <v>1738</v>
      </c>
      <c r="B259" s="70">
        <v>46127</v>
      </c>
      <c r="C259" s="67" t="s">
        <v>1414</v>
      </c>
      <c r="D259" s="67" t="s">
        <v>1511</v>
      </c>
      <c r="E259" s="67" t="s">
        <v>1470</v>
      </c>
      <c r="F259" s="67" t="s">
        <v>1462</v>
      </c>
      <c r="G259" s="69">
        <v>164</v>
      </c>
    </row>
    <row r="260" spans="1:7">
      <c r="A260" s="67" t="s">
        <v>1739</v>
      </c>
      <c r="B260" s="70">
        <v>46127</v>
      </c>
      <c r="C260" s="67" t="s">
        <v>1414</v>
      </c>
      <c r="D260" s="67" t="s">
        <v>1484</v>
      </c>
      <c r="E260" s="67" t="s">
        <v>1470</v>
      </c>
      <c r="F260" s="67" t="s">
        <v>1462</v>
      </c>
      <c r="G260" s="69">
        <v>277</v>
      </c>
    </row>
    <row r="261" spans="1:7">
      <c r="A261" s="67" t="s">
        <v>1740</v>
      </c>
      <c r="B261" s="70">
        <v>46127</v>
      </c>
      <c r="C261" s="67" t="s">
        <v>1419</v>
      </c>
      <c r="D261" s="67" t="s">
        <v>1511</v>
      </c>
      <c r="E261" s="67" t="s">
        <v>1470</v>
      </c>
      <c r="F261" s="67" t="s">
        <v>1462</v>
      </c>
      <c r="G261" s="69">
        <v>391</v>
      </c>
    </row>
    <row r="262" spans="1:7">
      <c r="A262" s="67" t="s">
        <v>1741</v>
      </c>
      <c r="B262" s="70">
        <v>46127</v>
      </c>
      <c r="C262" s="67" t="s">
        <v>1423</v>
      </c>
      <c r="D262" s="67" t="s">
        <v>1515</v>
      </c>
      <c r="E262" s="67" t="s">
        <v>1410</v>
      </c>
      <c r="F262" s="67" t="s">
        <v>1462</v>
      </c>
      <c r="G262" s="69">
        <v>215</v>
      </c>
    </row>
    <row r="263" spans="1:7">
      <c r="A263" s="67" t="s">
        <v>1742</v>
      </c>
      <c r="B263" s="70">
        <v>46127</v>
      </c>
      <c r="C263" s="67" t="s">
        <v>1423</v>
      </c>
      <c r="D263" s="67" t="s">
        <v>1743</v>
      </c>
      <c r="E263" s="67" t="s">
        <v>1410</v>
      </c>
      <c r="F263" s="67" t="s">
        <v>1462</v>
      </c>
      <c r="G263" s="69">
        <v>53</v>
      </c>
    </row>
    <row r="264" spans="1:7">
      <c r="A264" s="67" t="s">
        <v>1744</v>
      </c>
      <c r="B264" s="70">
        <v>46127</v>
      </c>
      <c r="C264" s="67" t="s">
        <v>1425</v>
      </c>
      <c r="D264" s="67" t="s">
        <v>1511</v>
      </c>
      <c r="E264" s="67" t="s">
        <v>1470</v>
      </c>
      <c r="F264" s="67" t="s">
        <v>1462</v>
      </c>
      <c r="G264" s="69">
        <v>328</v>
      </c>
    </row>
    <row r="265" spans="1:7">
      <c r="A265" s="67" t="s">
        <v>1745</v>
      </c>
      <c r="B265" s="70">
        <v>46127</v>
      </c>
      <c r="C265" s="67" t="s">
        <v>1431</v>
      </c>
      <c r="D265" s="67" t="s">
        <v>1618</v>
      </c>
      <c r="E265" s="67" t="s">
        <v>1433</v>
      </c>
      <c r="F265" s="67" t="s">
        <v>1462</v>
      </c>
      <c r="G265" s="69">
        <v>94</v>
      </c>
    </row>
    <row r="266" spans="1:7">
      <c r="A266" s="67" t="s">
        <v>1746</v>
      </c>
      <c r="B266" s="70">
        <v>46127</v>
      </c>
      <c r="C266" s="67" t="s">
        <v>1444</v>
      </c>
      <c r="D266" s="67" t="s">
        <v>1476</v>
      </c>
      <c r="E266" s="67" t="s">
        <v>1362</v>
      </c>
      <c r="F266" s="67" t="s">
        <v>1462</v>
      </c>
      <c r="G266" s="69">
        <v>364</v>
      </c>
    </row>
    <row r="267" spans="1:7">
      <c r="A267" s="67" t="s">
        <v>1747</v>
      </c>
      <c r="B267" s="70">
        <v>46127</v>
      </c>
      <c r="C267" s="67" t="s">
        <v>1444</v>
      </c>
      <c r="D267" s="67" t="s">
        <v>1459</v>
      </c>
      <c r="E267" s="67" t="s">
        <v>1362</v>
      </c>
      <c r="F267" s="67" t="s">
        <v>1460</v>
      </c>
      <c r="G267" s="69">
        <v>25</v>
      </c>
    </row>
    <row r="268" spans="1:7">
      <c r="A268" s="67" t="s">
        <v>1748</v>
      </c>
      <c r="B268" s="70">
        <v>46128</v>
      </c>
      <c r="C268" s="67" t="s">
        <v>1359</v>
      </c>
      <c r="D268" s="67" t="s">
        <v>365</v>
      </c>
      <c r="E268" s="67" t="s">
        <v>1368</v>
      </c>
      <c r="F268" s="67" t="s">
        <v>1462</v>
      </c>
      <c r="G268" s="69">
        <v>48</v>
      </c>
    </row>
    <row r="269" spans="1:7">
      <c r="A269" s="67" t="s">
        <v>1749</v>
      </c>
      <c r="B269" s="70">
        <v>46128</v>
      </c>
      <c r="C269" s="67" t="s">
        <v>1359</v>
      </c>
      <c r="D269" s="67" t="s">
        <v>1602</v>
      </c>
      <c r="E269" s="67" t="s">
        <v>1386</v>
      </c>
      <c r="F269" s="67" t="s">
        <v>1462</v>
      </c>
      <c r="G269" s="69">
        <v>410</v>
      </c>
    </row>
    <row r="270" spans="1:7">
      <c r="A270" s="67" t="s">
        <v>1750</v>
      </c>
      <c r="B270" s="70">
        <v>46128</v>
      </c>
      <c r="C270" s="67" t="s">
        <v>1366</v>
      </c>
      <c r="D270" s="67" t="s">
        <v>369</v>
      </c>
      <c r="E270" s="67" t="s">
        <v>1368</v>
      </c>
      <c r="F270" s="67" t="s">
        <v>1460</v>
      </c>
      <c r="G270" s="69">
        <v>13</v>
      </c>
    </row>
    <row r="271" spans="1:7">
      <c r="A271" s="67" t="s">
        <v>1751</v>
      </c>
      <c r="B271" s="70">
        <v>46128</v>
      </c>
      <c r="C271" s="67" t="s">
        <v>1375</v>
      </c>
      <c r="D271" s="67" t="s">
        <v>363</v>
      </c>
      <c r="E271" s="67" t="s">
        <v>1368</v>
      </c>
      <c r="F271" s="67" t="s">
        <v>1462</v>
      </c>
      <c r="G271" s="69">
        <v>27</v>
      </c>
    </row>
    <row r="272" spans="1:7">
      <c r="A272" s="67" t="s">
        <v>1752</v>
      </c>
      <c r="B272" s="70">
        <v>46128</v>
      </c>
      <c r="C272" s="67" t="s">
        <v>1381</v>
      </c>
      <c r="D272" s="67" t="s">
        <v>353</v>
      </c>
      <c r="E272" s="67" t="s">
        <v>1368</v>
      </c>
      <c r="F272" s="67" t="s">
        <v>1462</v>
      </c>
      <c r="G272" s="69">
        <v>104</v>
      </c>
    </row>
    <row r="273" spans="1:7">
      <c r="A273" s="67" t="s">
        <v>1753</v>
      </c>
      <c r="B273" s="70">
        <v>46128</v>
      </c>
      <c r="C273" s="67" t="s">
        <v>1381</v>
      </c>
      <c r="D273" s="67" t="s">
        <v>356</v>
      </c>
      <c r="E273" s="67" t="s">
        <v>1368</v>
      </c>
      <c r="F273" s="67" t="s">
        <v>1460</v>
      </c>
      <c r="G273" s="69">
        <v>11</v>
      </c>
    </row>
    <row r="274" spans="1:7">
      <c r="A274" s="67" t="s">
        <v>1754</v>
      </c>
      <c r="B274" s="70">
        <v>46128</v>
      </c>
      <c r="C274" s="67" t="s">
        <v>1381</v>
      </c>
      <c r="D274" s="67" t="s">
        <v>367</v>
      </c>
      <c r="E274" s="67" t="s">
        <v>1368</v>
      </c>
      <c r="F274" s="67" t="s">
        <v>1462</v>
      </c>
      <c r="G274" s="69">
        <v>105</v>
      </c>
    </row>
    <row r="275" spans="1:7">
      <c r="A275" s="67" t="s">
        <v>1755</v>
      </c>
      <c r="B275" s="70">
        <v>46128</v>
      </c>
      <c r="C275" s="67" t="s">
        <v>1381</v>
      </c>
      <c r="D275" s="67" t="s">
        <v>1551</v>
      </c>
      <c r="E275" s="67" t="s">
        <v>1362</v>
      </c>
      <c r="F275" s="67" t="s">
        <v>1462</v>
      </c>
      <c r="G275" s="69">
        <v>71</v>
      </c>
    </row>
    <row r="276" spans="1:7">
      <c r="A276" s="67" t="s">
        <v>1756</v>
      </c>
      <c r="B276" s="70">
        <v>46128</v>
      </c>
      <c r="C276" s="67" t="s">
        <v>1384</v>
      </c>
      <c r="D276" s="67" t="s">
        <v>1602</v>
      </c>
      <c r="E276" s="67" t="s">
        <v>1386</v>
      </c>
      <c r="F276" s="67" t="s">
        <v>1462</v>
      </c>
      <c r="G276" s="69">
        <v>283</v>
      </c>
    </row>
    <row r="277" spans="1:7">
      <c r="A277" s="67" t="s">
        <v>1757</v>
      </c>
      <c r="B277" s="70">
        <v>46128</v>
      </c>
      <c r="C277" s="67" t="s">
        <v>1393</v>
      </c>
      <c r="D277" s="67" t="s">
        <v>356</v>
      </c>
      <c r="E277" s="67" t="s">
        <v>1368</v>
      </c>
      <c r="F277" s="67" t="s">
        <v>1462</v>
      </c>
      <c r="G277" s="69">
        <v>565</v>
      </c>
    </row>
    <row r="278" spans="1:7">
      <c r="A278" s="67" t="s">
        <v>1758</v>
      </c>
      <c r="B278" s="70">
        <v>46128</v>
      </c>
      <c r="C278" s="67" t="s">
        <v>1399</v>
      </c>
      <c r="D278" s="67" t="s">
        <v>1466</v>
      </c>
      <c r="E278" s="67" t="s">
        <v>1386</v>
      </c>
      <c r="F278" s="67" t="s">
        <v>1462</v>
      </c>
      <c r="G278" s="69">
        <v>96</v>
      </c>
    </row>
    <row r="279" spans="1:7">
      <c r="A279" s="67" t="s">
        <v>1759</v>
      </c>
      <c r="B279" s="70">
        <v>46128</v>
      </c>
      <c r="C279" s="67" t="s">
        <v>1399</v>
      </c>
      <c r="D279" s="67" t="s">
        <v>1459</v>
      </c>
      <c r="E279" s="67" t="s">
        <v>1362</v>
      </c>
      <c r="F279" s="67" t="s">
        <v>1462</v>
      </c>
      <c r="G279" s="69">
        <v>448</v>
      </c>
    </row>
    <row r="280" spans="1:7">
      <c r="A280" s="67" t="s">
        <v>1760</v>
      </c>
      <c r="B280" s="70">
        <v>46128</v>
      </c>
      <c r="C280" s="67" t="s">
        <v>1404</v>
      </c>
      <c r="D280" s="67" t="s">
        <v>356</v>
      </c>
      <c r="E280" s="67" t="s">
        <v>1368</v>
      </c>
      <c r="F280" s="67" t="s">
        <v>1462</v>
      </c>
      <c r="G280" s="69">
        <v>351</v>
      </c>
    </row>
    <row r="281" spans="1:7">
      <c r="A281" s="67" t="s">
        <v>1761</v>
      </c>
      <c r="B281" s="70">
        <v>46128</v>
      </c>
      <c r="C281" s="67" t="s">
        <v>1404</v>
      </c>
      <c r="D281" s="67" t="s">
        <v>367</v>
      </c>
      <c r="E281" s="67" t="s">
        <v>1368</v>
      </c>
      <c r="F281" s="67" t="s">
        <v>1462</v>
      </c>
      <c r="G281" s="69">
        <v>49</v>
      </c>
    </row>
    <row r="282" spans="1:7">
      <c r="A282" s="67" t="s">
        <v>1762</v>
      </c>
      <c r="B282" s="70">
        <v>46128</v>
      </c>
      <c r="C282" s="67" t="s">
        <v>1404</v>
      </c>
      <c r="D282" s="67" t="s">
        <v>369</v>
      </c>
      <c r="E282" s="67" t="s">
        <v>1368</v>
      </c>
      <c r="F282" s="67" t="s">
        <v>1460</v>
      </c>
      <c r="G282" s="69">
        <v>28</v>
      </c>
    </row>
    <row r="283" spans="1:7">
      <c r="A283" s="67" t="s">
        <v>1763</v>
      </c>
      <c r="B283" s="70">
        <v>46128</v>
      </c>
      <c r="C283" s="67" t="s">
        <v>1411</v>
      </c>
      <c r="D283" s="67" t="s">
        <v>1506</v>
      </c>
      <c r="E283" s="67" t="s">
        <v>1482</v>
      </c>
      <c r="F283" s="67" t="s">
        <v>1462</v>
      </c>
      <c r="G283" s="69">
        <v>344</v>
      </c>
    </row>
    <row r="284" spans="1:7">
      <c r="A284" s="67" t="s">
        <v>1764</v>
      </c>
      <c r="B284" s="70">
        <v>46128</v>
      </c>
      <c r="C284" s="67" t="s">
        <v>1419</v>
      </c>
      <c r="D284" s="67" t="s">
        <v>353</v>
      </c>
      <c r="E284" s="67" t="s">
        <v>1368</v>
      </c>
      <c r="F284" s="67" t="s">
        <v>1462</v>
      </c>
      <c r="G284" s="69">
        <v>90</v>
      </c>
    </row>
    <row r="285" spans="1:7">
      <c r="A285" s="67" t="s">
        <v>1765</v>
      </c>
      <c r="B285" s="70">
        <v>46128</v>
      </c>
      <c r="C285" s="67" t="s">
        <v>1423</v>
      </c>
      <c r="D285" s="67" t="s">
        <v>1479</v>
      </c>
      <c r="E285" s="67" t="s">
        <v>1410</v>
      </c>
      <c r="F285" s="67" t="s">
        <v>1462</v>
      </c>
      <c r="G285" s="69">
        <v>192</v>
      </c>
    </row>
    <row r="286" spans="1:7">
      <c r="A286" s="67" t="s">
        <v>1766</v>
      </c>
      <c r="B286" s="70">
        <v>46128</v>
      </c>
      <c r="C286" s="67" t="s">
        <v>1444</v>
      </c>
      <c r="D286" s="67" t="s">
        <v>1476</v>
      </c>
      <c r="E286" s="67" t="s">
        <v>1362</v>
      </c>
      <c r="F286" s="67" t="s">
        <v>1462</v>
      </c>
      <c r="G286" s="69">
        <v>532</v>
      </c>
    </row>
    <row r="287" spans="1:7">
      <c r="A287" s="67" t="s">
        <v>1767</v>
      </c>
      <c r="B287" s="70">
        <v>46128</v>
      </c>
      <c r="C287" s="67" t="s">
        <v>1446</v>
      </c>
      <c r="D287" s="67" t="s">
        <v>1551</v>
      </c>
      <c r="E287" s="67" t="s">
        <v>1362</v>
      </c>
      <c r="F287" s="67" t="s">
        <v>1462</v>
      </c>
      <c r="G287" s="69">
        <v>425</v>
      </c>
    </row>
    <row r="288" spans="1:7">
      <c r="A288" s="67" t="s">
        <v>1768</v>
      </c>
      <c r="B288" s="70">
        <v>46128</v>
      </c>
      <c r="C288" s="67" t="s">
        <v>1450</v>
      </c>
      <c r="D288" s="67" t="s">
        <v>1506</v>
      </c>
      <c r="E288" s="67" t="s">
        <v>1482</v>
      </c>
      <c r="F288" s="67" t="s">
        <v>1462</v>
      </c>
      <c r="G288" s="69">
        <v>314</v>
      </c>
    </row>
    <row r="289" spans="1:7">
      <c r="A289" s="67" t="s">
        <v>1769</v>
      </c>
      <c r="B289" s="70">
        <v>46129</v>
      </c>
      <c r="C289" s="67" t="s">
        <v>1371</v>
      </c>
      <c r="D289" s="67" t="s">
        <v>1476</v>
      </c>
      <c r="E289" s="67" t="s">
        <v>1362</v>
      </c>
      <c r="F289" s="67" t="s">
        <v>1462</v>
      </c>
      <c r="G289" s="69">
        <v>456</v>
      </c>
    </row>
    <row r="290" spans="1:7">
      <c r="A290" s="67" t="s">
        <v>1770</v>
      </c>
      <c r="B290" s="70">
        <v>46129</v>
      </c>
      <c r="C290" s="67" t="s">
        <v>1371</v>
      </c>
      <c r="D290" s="67" t="s">
        <v>1602</v>
      </c>
      <c r="E290" s="67" t="s">
        <v>1386</v>
      </c>
      <c r="F290" s="67" t="s">
        <v>1460</v>
      </c>
      <c r="G290" s="69">
        <v>27</v>
      </c>
    </row>
    <row r="291" spans="1:7">
      <c r="A291" s="67" t="s">
        <v>1771</v>
      </c>
      <c r="B291" s="70">
        <v>46129</v>
      </c>
      <c r="C291" s="67" t="s">
        <v>1375</v>
      </c>
      <c r="D291" s="67" t="s">
        <v>358</v>
      </c>
      <c r="E291" s="67" t="s">
        <v>1368</v>
      </c>
      <c r="F291" s="67" t="s">
        <v>1462</v>
      </c>
      <c r="G291" s="69">
        <v>434</v>
      </c>
    </row>
    <row r="292" spans="1:7">
      <c r="A292" s="67" t="s">
        <v>1772</v>
      </c>
      <c r="B292" s="70">
        <v>46129</v>
      </c>
      <c r="C292" s="67" t="s">
        <v>1381</v>
      </c>
      <c r="D292" s="67" t="s">
        <v>1551</v>
      </c>
      <c r="E292" s="67" t="s">
        <v>1362</v>
      </c>
      <c r="F292" s="67" t="s">
        <v>1462</v>
      </c>
      <c r="G292" s="69">
        <v>334</v>
      </c>
    </row>
    <row r="293" spans="1:7">
      <c r="A293" s="67" t="s">
        <v>1773</v>
      </c>
      <c r="B293" s="70">
        <v>46129</v>
      </c>
      <c r="C293" s="67" t="s">
        <v>1381</v>
      </c>
      <c r="D293" s="67" t="s">
        <v>1491</v>
      </c>
      <c r="E293" s="67" t="s">
        <v>1470</v>
      </c>
      <c r="F293" s="67" t="s">
        <v>1462</v>
      </c>
      <c r="G293" s="69">
        <v>32</v>
      </c>
    </row>
    <row r="294" spans="1:7">
      <c r="A294" s="67" t="s">
        <v>1774</v>
      </c>
      <c r="B294" s="70">
        <v>46129</v>
      </c>
      <c r="C294" s="67" t="s">
        <v>1399</v>
      </c>
      <c r="D294" s="67" t="s">
        <v>1551</v>
      </c>
      <c r="E294" s="67" t="s">
        <v>1362</v>
      </c>
      <c r="F294" s="67" t="s">
        <v>1460</v>
      </c>
      <c r="G294" s="69">
        <v>18</v>
      </c>
    </row>
    <row r="295" spans="1:7">
      <c r="A295" s="67" t="s">
        <v>1775</v>
      </c>
      <c r="B295" s="70">
        <v>46129</v>
      </c>
      <c r="C295" s="67" t="s">
        <v>1404</v>
      </c>
      <c r="D295" s="67" t="s">
        <v>353</v>
      </c>
      <c r="E295" s="67" t="s">
        <v>1368</v>
      </c>
      <c r="F295" s="67" t="s">
        <v>1462</v>
      </c>
      <c r="G295" s="69">
        <v>441</v>
      </c>
    </row>
    <row r="296" spans="1:7">
      <c r="A296" s="67" t="s">
        <v>1776</v>
      </c>
      <c r="B296" s="70">
        <v>46129</v>
      </c>
      <c r="C296" s="67" t="s">
        <v>1404</v>
      </c>
      <c r="D296" s="67" t="s">
        <v>353</v>
      </c>
      <c r="E296" s="67" t="s">
        <v>1368</v>
      </c>
      <c r="F296" s="67" t="s">
        <v>1462</v>
      </c>
      <c r="G296" s="69">
        <v>326</v>
      </c>
    </row>
    <row r="297" spans="1:7">
      <c r="A297" s="67" t="s">
        <v>1777</v>
      </c>
      <c r="B297" s="70">
        <v>46129</v>
      </c>
      <c r="C297" s="67" t="s">
        <v>1404</v>
      </c>
      <c r="D297" s="67" t="s">
        <v>367</v>
      </c>
      <c r="E297" s="67" t="s">
        <v>1368</v>
      </c>
      <c r="F297" s="67" t="s">
        <v>1462</v>
      </c>
      <c r="G297" s="69">
        <v>503</v>
      </c>
    </row>
    <row r="298" spans="1:7">
      <c r="A298" s="67" t="s">
        <v>1778</v>
      </c>
      <c r="B298" s="70">
        <v>46129</v>
      </c>
      <c r="C298" s="67" t="s">
        <v>1404</v>
      </c>
      <c r="D298" s="67" t="s">
        <v>369</v>
      </c>
      <c r="E298" s="67" t="s">
        <v>1368</v>
      </c>
      <c r="F298" s="67" t="s">
        <v>1462</v>
      </c>
      <c r="G298" s="69">
        <v>20</v>
      </c>
    </row>
    <row r="299" spans="1:7">
      <c r="A299" s="67" t="s">
        <v>1779</v>
      </c>
      <c r="B299" s="70">
        <v>46129</v>
      </c>
      <c r="C299" s="67" t="s">
        <v>1411</v>
      </c>
      <c r="D299" s="67" t="s">
        <v>1481</v>
      </c>
      <c r="E299" s="67" t="s">
        <v>1482</v>
      </c>
      <c r="F299" s="67" t="s">
        <v>1462</v>
      </c>
      <c r="G299" s="69">
        <v>489</v>
      </c>
    </row>
    <row r="300" spans="1:7">
      <c r="A300" s="67" t="s">
        <v>1780</v>
      </c>
      <c r="B300" s="70">
        <v>46129</v>
      </c>
      <c r="C300" s="67" t="s">
        <v>1414</v>
      </c>
      <c r="D300" s="67" t="s">
        <v>1511</v>
      </c>
      <c r="E300" s="67" t="s">
        <v>1470</v>
      </c>
      <c r="F300" s="67" t="s">
        <v>1462</v>
      </c>
      <c r="G300" s="69">
        <v>487</v>
      </c>
    </row>
    <row r="301" spans="1:7">
      <c r="A301" s="67" t="s">
        <v>1781</v>
      </c>
      <c r="B301" s="70">
        <v>46129</v>
      </c>
      <c r="C301" s="67" t="s">
        <v>1414</v>
      </c>
      <c r="D301" s="67" t="s">
        <v>1484</v>
      </c>
      <c r="E301" s="67" t="s">
        <v>1470</v>
      </c>
      <c r="F301" s="67" t="s">
        <v>1462</v>
      </c>
      <c r="G301" s="69">
        <v>275</v>
      </c>
    </row>
    <row r="302" spans="1:7">
      <c r="A302" s="67" t="s">
        <v>1782</v>
      </c>
      <c r="B302" s="70">
        <v>46129</v>
      </c>
      <c r="C302" s="67" t="s">
        <v>1414</v>
      </c>
      <c r="D302" s="67" t="s">
        <v>1484</v>
      </c>
      <c r="E302" s="67" t="s">
        <v>1470</v>
      </c>
      <c r="F302" s="67" t="s">
        <v>1462</v>
      </c>
      <c r="G302" s="69">
        <v>333</v>
      </c>
    </row>
    <row r="303" spans="1:7">
      <c r="A303" s="67" t="s">
        <v>1783</v>
      </c>
      <c r="B303" s="70">
        <v>46129</v>
      </c>
      <c r="C303" s="67" t="s">
        <v>1425</v>
      </c>
      <c r="D303" s="67" t="s">
        <v>1511</v>
      </c>
      <c r="E303" s="67" t="s">
        <v>1470</v>
      </c>
      <c r="F303" s="67" t="s">
        <v>1462</v>
      </c>
      <c r="G303" s="69">
        <v>449</v>
      </c>
    </row>
    <row r="304" spans="1:7">
      <c r="A304" s="67" t="s">
        <v>1784</v>
      </c>
      <c r="B304" s="70">
        <v>46129</v>
      </c>
      <c r="C304" s="67" t="s">
        <v>1425</v>
      </c>
      <c r="D304" s="67" t="s">
        <v>1469</v>
      </c>
      <c r="E304" s="67" t="s">
        <v>1470</v>
      </c>
      <c r="F304" s="67" t="s">
        <v>1462</v>
      </c>
      <c r="G304" s="69">
        <v>68</v>
      </c>
    </row>
    <row r="305" spans="1:7">
      <c r="A305" s="67" t="s">
        <v>1785</v>
      </c>
      <c r="B305" s="70">
        <v>46129</v>
      </c>
      <c r="C305" s="67" t="s">
        <v>1429</v>
      </c>
      <c r="D305" s="67" t="s">
        <v>356</v>
      </c>
      <c r="E305" s="67" t="s">
        <v>1368</v>
      </c>
      <c r="F305" s="67" t="s">
        <v>1462</v>
      </c>
      <c r="G305" s="69">
        <v>431</v>
      </c>
    </row>
    <row r="306" spans="1:7">
      <c r="A306" s="67" t="s">
        <v>1786</v>
      </c>
      <c r="B306" s="70">
        <v>46129</v>
      </c>
      <c r="C306" s="67" t="s">
        <v>1438</v>
      </c>
      <c r="D306" s="67" t="s">
        <v>358</v>
      </c>
      <c r="E306" s="67" t="s">
        <v>1368</v>
      </c>
      <c r="F306" s="67" t="s">
        <v>1462</v>
      </c>
      <c r="G306" s="69">
        <v>501</v>
      </c>
    </row>
    <row r="307" spans="1:7">
      <c r="A307" s="67" t="s">
        <v>1787</v>
      </c>
      <c r="B307" s="70">
        <v>46129</v>
      </c>
      <c r="C307" s="67" t="s">
        <v>1448</v>
      </c>
      <c r="D307" s="67" t="s">
        <v>1520</v>
      </c>
      <c r="E307" s="67" t="s">
        <v>1433</v>
      </c>
      <c r="F307" s="67" t="s">
        <v>1460</v>
      </c>
      <c r="G307" s="69">
        <v>19</v>
      </c>
    </row>
    <row r="308" spans="1:7">
      <c r="A308" s="67" t="s">
        <v>1788</v>
      </c>
      <c r="B308" s="70">
        <v>46130</v>
      </c>
      <c r="C308" s="67" t="s">
        <v>1359</v>
      </c>
      <c r="D308" s="67" t="s">
        <v>1476</v>
      </c>
      <c r="E308" s="67" t="s">
        <v>1362</v>
      </c>
      <c r="F308" s="67" t="s">
        <v>1462</v>
      </c>
      <c r="G308" s="69">
        <v>506</v>
      </c>
    </row>
    <row r="309" spans="1:7">
      <c r="A309" s="67" t="s">
        <v>1789</v>
      </c>
      <c r="B309" s="70">
        <v>46130</v>
      </c>
      <c r="C309" s="67" t="s">
        <v>1359</v>
      </c>
      <c r="D309" s="67" t="s">
        <v>1602</v>
      </c>
      <c r="E309" s="67" t="s">
        <v>1386</v>
      </c>
      <c r="F309" s="67" t="s">
        <v>1462</v>
      </c>
      <c r="G309" s="69">
        <v>158</v>
      </c>
    </row>
    <row r="310" spans="1:7">
      <c r="A310" s="67" t="s">
        <v>1790</v>
      </c>
      <c r="B310" s="70">
        <v>46130</v>
      </c>
      <c r="C310" s="67" t="s">
        <v>1366</v>
      </c>
      <c r="D310" s="67" t="s">
        <v>1511</v>
      </c>
      <c r="E310" s="67" t="s">
        <v>1470</v>
      </c>
      <c r="F310" s="67" t="s">
        <v>1462</v>
      </c>
      <c r="G310" s="69">
        <v>106</v>
      </c>
    </row>
    <row r="311" spans="1:7">
      <c r="A311" s="67" t="s">
        <v>1791</v>
      </c>
      <c r="B311" s="70">
        <v>46130</v>
      </c>
      <c r="C311" s="67" t="s">
        <v>1366</v>
      </c>
      <c r="D311" s="67" t="s">
        <v>358</v>
      </c>
      <c r="E311" s="67" t="s">
        <v>1368</v>
      </c>
      <c r="F311" s="67" t="s">
        <v>1462</v>
      </c>
      <c r="G311" s="69">
        <v>306</v>
      </c>
    </row>
    <row r="312" spans="1:7">
      <c r="A312" s="67" t="s">
        <v>1792</v>
      </c>
      <c r="B312" s="70">
        <v>46130</v>
      </c>
      <c r="C312" s="67" t="s">
        <v>1381</v>
      </c>
      <c r="D312" s="67" t="s">
        <v>369</v>
      </c>
      <c r="E312" s="67" t="s">
        <v>1368</v>
      </c>
      <c r="F312" s="67" t="s">
        <v>1462</v>
      </c>
      <c r="G312" s="69">
        <v>309</v>
      </c>
    </row>
    <row r="313" spans="1:7">
      <c r="A313" s="67" t="s">
        <v>1793</v>
      </c>
      <c r="B313" s="70">
        <v>46130</v>
      </c>
      <c r="C313" s="67" t="s">
        <v>1384</v>
      </c>
      <c r="D313" s="67" t="s">
        <v>1466</v>
      </c>
      <c r="E313" s="67" t="s">
        <v>1386</v>
      </c>
      <c r="F313" s="67" t="s">
        <v>1462</v>
      </c>
      <c r="G313" s="69">
        <v>318</v>
      </c>
    </row>
    <row r="314" spans="1:7">
      <c r="A314" s="67" t="s">
        <v>1794</v>
      </c>
      <c r="B314" s="70">
        <v>46130</v>
      </c>
      <c r="C314" s="67" t="s">
        <v>1384</v>
      </c>
      <c r="D314" s="67" t="s">
        <v>1466</v>
      </c>
      <c r="E314" s="67" t="s">
        <v>1386</v>
      </c>
      <c r="F314" s="67" t="s">
        <v>1462</v>
      </c>
      <c r="G314" s="69">
        <v>102</v>
      </c>
    </row>
    <row r="315" spans="1:7">
      <c r="A315" s="67" t="s">
        <v>1795</v>
      </c>
      <c r="B315" s="70">
        <v>46130</v>
      </c>
      <c r="C315" s="67" t="s">
        <v>1393</v>
      </c>
      <c r="D315" s="67" t="s">
        <v>365</v>
      </c>
      <c r="E315" s="67" t="s">
        <v>1368</v>
      </c>
      <c r="F315" s="67" t="s">
        <v>1460</v>
      </c>
      <c r="G315" s="69">
        <v>15</v>
      </c>
    </row>
    <row r="316" spans="1:7">
      <c r="A316" s="67" t="s">
        <v>1796</v>
      </c>
      <c r="B316" s="70">
        <v>46130</v>
      </c>
      <c r="C316" s="67" t="s">
        <v>1399</v>
      </c>
      <c r="D316" s="67" t="s">
        <v>1466</v>
      </c>
      <c r="E316" s="67" t="s">
        <v>1386</v>
      </c>
      <c r="F316" s="67" t="s">
        <v>1462</v>
      </c>
      <c r="G316" s="69">
        <v>373</v>
      </c>
    </row>
    <row r="317" spans="1:7">
      <c r="A317" s="67" t="s">
        <v>1797</v>
      </c>
      <c r="B317" s="70">
        <v>46130</v>
      </c>
      <c r="C317" s="67" t="s">
        <v>1399</v>
      </c>
      <c r="D317" s="67" t="s">
        <v>1551</v>
      </c>
      <c r="E317" s="67" t="s">
        <v>1362</v>
      </c>
      <c r="F317" s="67" t="s">
        <v>1460</v>
      </c>
      <c r="G317" s="69">
        <v>7</v>
      </c>
    </row>
    <row r="318" spans="1:7">
      <c r="A318" s="67" t="s">
        <v>1798</v>
      </c>
      <c r="B318" s="70">
        <v>46130</v>
      </c>
      <c r="C318" s="67" t="s">
        <v>1399</v>
      </c>
      <c r="D318" s="67" t="s">
        <v>1459</v>
      </c>
      <c r="E318" s="67" t="s">
        <v>1362</v>
      </c>
      <c r="F318" s="67" t="s">
        <v>1462</v>
      </c>
      <c r="G318" s="69">
        <v>160</v>
      </c>
    </row>
    <row r="319" spans="1:7">
      <c r="A319" s="67" t="s">
        <v>1799</v>
      </c>
      <c r="B319" s="70">
        <v>46130</v>
      </c>
      <c r="C319" s="67" t="s">
        <v>1404</v>
      </c>
      <c r="D319" s="67" t="s">
        <v>365</v>
      </c>
      <c r="E319" s="67" t="s">
        <v>1368</v>
      </c>
      <c r="F319" s="67" t="s">
        <v>1462</v>
      </c>
      <c r="G319" s="69">
        <v>76</v>
      </c>
    </row>
    <row r="320" spans="1:7">
      <c r="A320" s="67" t="s">
        <v>1800</v>
      </c>
      <c r="B320" s="70">
        <v>46130</v>
      </c>
      <c r="C320" s="67" t="s">
        <v>1404</v>
      </c>
      <c r="D320" s="67" t="s">
        <v>1476</v>
      </c>
      <c r="E320" s="67" t="s">
        <v>1362</v>
      </c>
      <c r="F320" s="67" t="s">
        <v>1462</v>
      </c>
      <c r="G320" s="69">
        <v>284</v>
      </c>
    </row>
    <row r="321" spans="1:7">
      <c r="A321" s="67" t="s">
        <v>1801</v>
      </c>
      <c r="B321" s="70">
        <v>46130</v>
      </c>
      <c r="C321" s="67" t="s">
        <v>1404</v>
      </c>
      <c r="D321" s="67" t="s">
        <v>1469</v>
      </c>
      <c r="E321" s="67" t="s">
        <v>1470</v>
      </c>
      <c r="F321" s="67" t="s">
        <v>1462</v>
      </c>
      <c r="G321" s="69">
        <v>130</v>
      </c>
    </row>
    <row r="322" spans="1:7">
      <c r="A322" s="67" t="s">
        <v>1802</v>
      </c>
      <c r="B322" s="70">
        <v>46130</v>
      </c>
      <c r="C322" s="67" t="s">
        <v>1411</v>
      </c>
      <c r="D322" s="67" t="s">
        <v>353</v>
      </c>
      <c r="E322" s="67" t="s">
        <v>1368</v>
      </c>
      <c r="F322" s="67" t="s">
        <v>1462</v>
      </c>
      <c r="G322" s="69">
        <v>413</v>
      </c>
    </row>
    <row r="323" spans="1:7">
      <c r="A323" s="67" t="s">
        <v>1803</v>
      </c>
      <c r="B323" s="70">
        <v>46130</v>
      </c>
      <c r="C323" s="67" t="s">
        <v>1411</v>
      </c>
      <c r="D323" s="67" t="s">
        <v>367</v>
      </c>
      <c r="E323" s="67" t="s">
        <v>1368</v>
      </c>
      <c r="F323" s="67" t="s">
        <v>1462</v>
      </c>
      <c r="G323" s="69">
        <v>246</v>
      </c>
    </row>
    <row r="324" spans="1:7">
      <c r="A324" s="67" t="s">
        <v>1804</v>
      </c>
      <c r="B324" s="70">
        <v>46130</v>
      </c>
      <c r="C324" s="67" t="s">
        <v>1411</v>
      </c>
      <c r="D324" s="67" t="s">
        <v>1506</v>
      </c>
      <c r="E324" s="67" t="s">
        <v>1482</v>
      </c>
      <c r="F324" s="67" t="s">
        <v>1462</v>
      </c>
      <c r="G324" s="69">
        <v>223</v>
      </c>
    </row>
    <row r="325" spans="1:7">
      <c r="A325" s="67" t="s">
        <v>1805</v>
      </c>
      <c r="B325" s="70">
        <v>46130</v>
      </c>
      <c r="C325" s="67" t="s">
        <v>1411</v>
      </c>
      <c r="D325" s="67" t="s">
        <v>1506</v>
      </c>
      <c r="E325" s="67" t="s">
        <v>1482</v>
      </c>
      <c r="F325" s="67" t="s">
        <v>1462</v>
      </c>
      <c r="G325" s="69">
        <v>100</v>
      </c>
    </row>
    <row r="326" spans="1:7">
      <c r="A326" s="67" t="s">
        <v>1806</v>
      </c>
      <c r="B326" s="70">
        <v>46130</v>
      </c>
      <c r="C326" s="67" t="s">
        <v>1411</v>
      </c>
      <c r="D326" s="67" t="s">
        <v>1506</v>
      </c>
      <c r="E326" s="67" t="s">
        <v>1482</v>
      </c>
      <c r="F326" s="67" t="s">
        <v>1462</v>
      </c>
      <c r="G326" s="69">
        <v>249</v>
      </c>
    </row>
    <row r="327" spans="1:7">
      <c r="A327" s="67" t="s">
        <v>1807</v>
      </c>
      <c r="B327" s="70">
        <v>46130</v>
      </c>
      <c r="C327" s="67" t="s">
        <v>1411</v>
      </c>
      <c r="D327" s="67" t="s">
        <v>1506</v>
      </c>
      <c r="E327" s="67" t="s">
        <v>1482</v>
      </c>
      <c r="F327" s="67" t="s">
        <v>1460</v>
      </c>
      <c r="G327" s="69">
        <v>23</v>
      </c>
    </row>
    <row r="328" spans="1:7">
      <c r="A328" s="67" t="s">
        <v>1808</v>
      </c>
      <c r="B328" s="70">
        <v>46130</v>
      </c>
      <c r="C328" s="67" t="s">
        <v>1423</v>
      </c>
      <c r="D328" s="67" t="s">
        <v>1479</v>
      </c>
      <c r="E328" s="67" t="s">
        <v>1410</v>
      </c>
      <c r="F328" s="67" t="s">
        <v>1462</v>
      </c>
      <c r="G328" s="69">
        <v>111</v>
      </c>
    </row>
    <row r="329" spans="1:7">
      <c r="A329" s="67" t="s">
        <v>1809</v>
      </c>
      <c r="B329" s="70">
        <v>46130</v>
      </c>
      <c r="C329" s="67" t="s">
        <v>1425</v>
      </c>
      <c r="D329" s="67" t="s">
        <v>1551</v>
      </c>
      <c r="E329" s="67" t="s">
        <v>1362</v>
      </c>
      <c r="F329" s="67" t="s">
        <v>1462</v>
      </c>
      <c r="G329" s="69">
        <v>535</v>
      </c>
    </row>
    <row r="330" spans="1:7">
      <c r="A330" s="67" t="s">
        <v>1810</v>
      </c>
      <c r="B330" s="70">
        <v>46130</v>
      </c>
      <c r="C330" s="67" t="s">
        <v>1442</v>
      </c>
      <c r="D330" s="67" t="s">
        <v>1551</v>
      </c>
      <c r="E330" s="67" t="s">
        <v>1362</v>
      </c>
      <c r="F330" s="67" t="s">
        <v>1462</v>
      </c>
      <c r="G330" s="69">
        <v>158</v>
      </c>
    </row>
    <row r="331" spans="1:7">
      <c r="A331" s="67" t="s">
        <v>1811</v>
      </c>
      <c r="B331" s="70">
        <v>46131</v>
      </c>
      <c r="C331" s="67" t="s">
        <v>1359</v>
      </c>
      <c r="D331" s="67" t="s">
        <v>356</v>
      </c>
      <c r="E331" s="67" t="s">
        <v>1368</v>
      </c>
      <c r="F331" s="67" t="s">
        <v>1462</v>
      </c>
      <c r="G331" s="69">
        <v>417</v>
      </c>
    </row>
    <row r="332" spans="1:7">
      <c r="A332" s="67" t="s">
        <v>1812</v>
      </c>
      <c r="B332" s="70">
        <v>46131</v>
      </c>
      <c r="C332" s="67" t="s">
        <v>1359</v>
      </c>
      <c r="D332" s="67" t="s">
        <v>1466</v>
      </c>
      <c r="E332" s="67" t="s">
        <v>1386</v>
      </c>
      <c r="F332" s="67" t="s">
        <v>1462</v>
      </c>
      <c r="G332" s="69">
        <v>31</v>
      </c>
    </row>
    <row r="333" spans="1:7">
      <c r="A333" s="67" t="s">
        <v>1813</v>
      </c>
      <c r="B333" s="70">
        <v>46131</v>
      </c>
      <c r="C333" s="67" t="s">
        <v>1359</v>
      </c>
      <c r="D333" s="67" t="s">
        <v>1551</v>
      </c>
      <c r="E333" s="67" t="s">
        <v>1362</v>
      </c>
      <c r="F333" s="67" t="s">
        <v>1462</v>
      </c>
      <c r="G333" s="69">
        <v>332</v>
      </c>
    </row>
    <row r="334" spans="1:7">
      <c r="A334" s="67" t="s">
        <v>1814</v>
      </c>
      <c r="B334" s="70">
        <v>46131</v>
      </c>
      <c r="C334" s="67" t="s">
        <v>1359</v>
      </c>
      <c r="D334" s="67" t="s">
        <v>1551</v>
      </c>
      <c r="E334" s="67" t="s">
        <v>1362</v>
      </c>
      <c r="F334" s="67" t="s">
        <v>1462</v>
      </c>
      <c r="G334" s="69">
        <v>277</v>
      </c>
    </row>
    <row r="335" spans="1:7">
      <c r="A335" s="67" t="s">
        <v>1815</v>
      </c>
      <c r="B335" s="70">
        <v>46131</v>
      </c>
      <c r="C335" s="67" t="s">
        <v>1359</v>
      </c>
      <c r="D335" s="67" t="s">
        <v>1459</v>
      </c>
      <c r="E335" s="67" t="s">
        <v>1362</v>
      </c>
      <c r="F335" s="67" t="s">
        <v>1462</v>
      </c>
      <c r="G335" s="69">
        <v>254</v>
      </c>
    </row>
    <row r="336" spans="1:7">
      <c r="A336" s="67" t="s">
        <v>1816</v>
      </c>
      <c r="B336" s="70">
        <v>46131</v>
      </c>
      <c r="C336" s="67" t="s">
        <v>1366</v>
      </c>
      <c r="D336" s="67" t="s">
        <v>369</v>
      </c>
      <c r="E336" s="67" t="s">
        <v>1368</v>
      </c>
      <c r="F336" s="67" t="s">
        <v>1462</v>
      </c>
      <c r="G336" s="69">
        <v>584</v>
      </c>
    </row>
    <row r="337" spans="1:7">
      <c r="A337" s="67" t="s">
        <v>1817</v>
      </c>
      <c r="B337" s="70">
        <v>46131</v>
      </c>
      <c r="C337" s="67" t="s">
        <v>1366</v>
      </c>
      <c r="D337" s="67" t="s">
        <v>1551</v>
      </c>
      <c r="E337" s="67" t="s">
        <v>1362</v>
      </c>
      <c r="F337" s="67" t="s">
        <v>1462</v>
      </c>
      <c r="G337" s="69">
        <v>598</v>
      </c>
    </row>
    <row r="338" spans="1:7">
      <c r="A338" s="67" t="s">
        <v>1818</v>
      </c>
      <c r="B338" s="70">
        <v>46131</v>
      </c>
      <c r="C338" s="67" t="s">
        <v>1366</v>
      </c>
      <c r="D338" s="67" t="s">
        <v>1459</v>
      </c>
      <c r="E338" s="67" t="s">
        <v>1362</v>
      </c>
      <c r="F338" s="67" t="s">
        <v>1462</v>
      </c>
      <c r="G338" s="69">
        <v>192</v>
      </c>
    </row>
    <row r="339" spans="1:7">
      <c r="A339" s="67" t="s">
        <v>1819</v>
      </c>
      <c r="B339" s="70">
        <v>46131</v>
      </c>
      <c r="C339" s="67" t="s">
        <v>1371</v>
      </c>
      <c r="D339" s="67" t="s">
        <v>369</v>
      </c>
      <c r="E339" s="67" t="s">
        <v>1368</v>
      </c>
      <c r="F339" s="67" t="s">
        <v>1462</v>
      </c>
      <c r="G339" s="69">
        <v>401</v>
      </c>
    </row>
    <row r="340" spans="1:7">
      <c r="A340" s="67" t="s">
        <v>1820</v>
      </c>
      <c r="B340" s="70">
        <v>46131</v>
      </c>
      <c r="C340" s="67" t="s">
        <v>1371</v>
      </c>
      <c r="D340" s="67" t="s">
        <v>1459</v>
      </c>
      <c r="E340" s="67" t="s">
        <v>1362</v>
      </c>
      <c r="F340" s="67" t="s">
        <v>1460</v>
      </c>
      <c r="G340" s="69">
        <v>8</v>
      </c>
    </row>
    <row r="341" spans="1:7">
      <c r="A341" s="67" t="s">
        <v>1821</v>
      </c>
      <c r="B341" s="70">
        <v>46131</v>
      </c>
      <c r="C341" s="67" t="s">
        <v>1375</v>
      </c>
      <c r="D341" s="67" t="s">
        <v>358</v>
      </c>
      <c r="E341" s="67" t="s">
        <v>1368</v>
      </c>
      <c r="F341" s="67" t="s">
        <v>1462</v>
      </c>
      <c r="G341" s="69">
        <v>95</v>
      </c>
    </row>
    <row r="342" spans="1:7">
      <c r="A342" s="67" t="s">
        <v>1822</v>
      </c>
      <c r="B342" s="70">
        <v>46131</v>
      </c>
      <c r="C342" s="67" t="s">
        <v>1381</v>
      </c>
      <c r="D342" s="67" t="s">
        <v>356</v>
      </c>
      <c r="E342" s="67" t="s">
        <v>1368</v>
      </c>
      <c r="F342" s="67" t="s">
        <v>1462</v>
      </c>
      <c r="G342" s="69">
        <v>402</v>
      </c>
    </row>
    <row r="343" spans="1:7">
      <c r="A343" s="67" t="s">
        <v>1823</v>
      </c>
      <c r="B343" s="70">
        <v>46131</v>
      </c>
      <c r="C343" s="67" t="s">
        <v>1381</v>
      </c>
      <c r="D343" s="67" t="s">
        <v>356</v>
      </c>
      <c r="E343" s="67" t="s">
        <v>1368</v>
      </c>
      <c r="F343" s="67" t="s">
        <v>1462</v>
      </c>
      <c r="G343" s="69">
        <v>188</v>
      </c>
    </row>
    <row r="344" spans="1:7">
      <c r="A344" s="67" t="s">
        <v>1824</v>
      </c>
      <c r="B344" s="70">
        <v>46131</v>
      </c>
      <c r="C344" s="67" t="s">
        <v>1381</v>
      </c>
      <c r="D344" s="67" t="s">
        <v>367</v>
      </c>
      <c r="E344" s="67" t="s">
        <v>1368</v>
      </c>
      <c r="F344" s="67" t="s">
        <v>1462</v>
      </c>
      <c r="G344" s="69">
        <v>344</v>
      </c>
    </row>
    <row r="345" spans="1:7">
      <c r="A345" s="67" t="s">
        <v>1825</v>
      </c>
      <c r="B345" s="70">
        <v>46131</v>
      </c>
      <c r="C345" s="67" t="s">
        <v>1393</v>
      </c>
      <c r="D345" s="67" t="s">
        <v>353</v>
      </c>
      <c r="E345" s="67" t="s">
        <v>1368</v>
      </c>
      <c r="F345" s="67" t="s">
        <v>1462</v>
      </c>
      <c r="G345" s="69">
        <v>248</v>
      </c>
    </row>
    <row r="346" spans="1:7">
      <c r="A346" s="67" t="s">
        <v>1826</v>
      </c>
      <c r="B346" s="70">
        <v>46131</v>
      </c>
      <c r="C346" s="67" t="s">
        <v>1406</v>
      </c>
      <c r="D346" s="67" t="s">
        <v>356</v>
      </c>
      <c r="E346" s="67" t="s">
        <v>1368</v>
      </c>
      <c r="F346" s="67" t="s">
        <v>1462</v>
      </c>
      <c r="G346" s="69">
        <v>125</v>
      </c>
    </row>
    <row r="347" spans="1:7">
      <c r="A347" s="67" t="s">
        <v>1827</v>
      </c>
      <c r="B347" s="70">
        <v>46131</v>
      </c>
      <c r="C347" s="67" t="s">
        <v>1406</v>
      </c>
      <c r="D347" s="67" t="s">
        <v>1484</v>
      </c>
      <c r="E347" s="67" t="s">
        <v>1470</v>
      </c>
      <c r="F347" s="67" t="s">
        <v>1462</v>
      </c>
      <c r="G347" s="69">
        <v>408</v>
      </c>
    </row>
    <row r="348" spans="1:7">
      <c r="A348" s="67" t="s">
        <v>1828</v>
      </c>
      <c r="B348" s="70">
        <v>46131</v>
      </c>
      <c r="C348" s="67" t="s">
        <v>1411</v>
      </c>
      <c r="D348" s="67" t="s">
        <v>1506</v>
      </c>
      <c r="E348" s="67" t="s">
        <v>1482</v>
      </c>
      <c r="F348" s="67" t="s">
        <v>1462</v>
      </c>
      <c r="G348" s="69">
        <v>360</v>
      </c>
    </row>
    <row r="349" spans="1:7">
      <c r="A349" s="67" t="s">
        <v>1829</v>
      </c>
      <c r="B349" s="70">
        <v>46131</v>
      </c>
      <c r="C349" s="67" t="s">
        <v>1411</v>
      </c>
      <c r="D349" s="67" t="s">
        <v>1506</v>
      </c>
      <c r="E349" s="67" t="s">
        <v>1482</v>
      </c>
      <c r="F349" s="67" t="s">
        <v>1462</v>
      </c>
      <c r="G349" s="69">
        <v>299</v>
      </c>
    </row>
    <row r="350" spans="1:7">
      <c r="A350" s="67" t="s">
        <v>1830</v>
      </c>
      <c r="B350" s="70">
        <v>46131</v>
      </c>
      <c r="C350" s="67" t="s">
        <v>1414</v>
      </c>
      <c r="D350" s="67" t="s">
        <v>1511</v>
      </c>
      <c r="E350" s="67" t="s">
        <v>1470</v>
      </c>
      <c r="F350" s="67" t="s">
        <v>1462</v>
      </c>
      <c r="G350" s="69">
        <v>117</v>
      </c>
    </row>
    <row r="351" spans="1:7">
      <c r="A351" s="67" t="s">
        <v>1831</v>
      </c>
      <c r="B351" s="70">
        <v>46131</v>
      </c>
      <c r="C351" s="67" t="s">
        <v>1427</v>
      </c>
      <c r="D351" s="67" t="s">
        <v>1551</v>
      </c>
      <c r="E351" s="67" t="s">
        <v>1362</v>
      </c>
      <c r="F351" s="67" t="s">
        <v>1462</v>
      </c>
      <c r="G351" s="69">
        <v>57</v>
      </c>
    </row>
    <row r="352" spans="1:7">
      <c r="A352" s="67" t="s">
        <v>1832</v>
      </c>
      <c r="B352" s="70">
        <v>46131</v>
      </c>
      <c r="C352" s="67" t="s">
        <v>1444</v>
      </c>
      <c r="D352" s="67" t="s">
        <v>369</v>
      </c>
      <c r="E352" s="67" t="s">
        <v>1368</v>
      </c>
      <c r="F352" s="67" t="s">
        <v>1462</v>
      </c>
      <c r="G352" s="69">
        <v>430</v>
      </c>
    </row>
    <row r="353" spans="1:7">
      <c r="A353" s="67" t="s">
        <v>1833</v>
      </c>
      <c r="B353" s="70">
        <v>46131</v>
      </c>
      <c r="C353" s="67" t="s">
        <v>1450</v>
      </c>
      <c r="D353" s="67" t="s">
        <v>1506</v>
      </c>
      <c r="E353" s="67" t="s">
        <v>1482</v>
      </c>
      <c r="F353" s="67" t="s">
        <v>1462</v>
      </c>
      <c r="G353" s="69">
        <v>349</v>
      </c>
    </row>
    <row r="354" spans="1:7">
      <c r="A354" s="67" t="s">
        <v>1834</v>
      </c>
      <c r="B354" s="70">
        <v>46132</v>
      </c>
      <c r="C354" s="67" t="s">
        <v>1359</v>
      </c>
      <c r="D354" s="67" t="s">
        <v>1466</v>
      </c>
      <c r="E354" s="67" t="s">
        <v>1386</v>
      </c>
      <c r="F354" s="67" t="s">
        <v>1462</v>
      </c>
      <c r="G354" s="69">
        <v>395</v>
      </c>
    </row>
    <row r="355" spans="1:7">
      <c r="A355" s="67" t="s">
        <v>1835</v>
      </c>
      <c r="B355" s="70">
        <v>46132</v>
      </c>
      <c r="C355" s="67" t="s">
        <v>1366</v>
      </c>
      <c r="D355" s="67" t="s">
        <v>353</v>
      </c>
      <c r="E355" s="67" t="s">
        <v>1368</v>
      </c>
      <c r="F355" s="67" t="s">
        <v>1460</v>
      </c>
      <c r="G355" s="69">
        <v>28</v>
      </c>
    </row>
    <row r="356" spans="1:7">
      <c r="A356" s="67" t="s">
        <v>1836</v>
      </c>
      <c r="B356" s="70">
        <v>46132</v>
      </c>
      <c r="C356" s="67" t="s">
        <v>1371</v>
      </c>
      <c r="D356" s="67" t="s">
        <v>365</v>
      </c>
      <c r="E356" s="67" t="s">
        <v>1368</v>
      </c>
      <c r="F356" s="67" t="s">
        <v>1462</v>
      </c>
      <c r="G356" s="69">
        <v>47</v>
      </c>
    </row>
    <row r="357" spans="1:7">
      <c r="A357" s="67" t="s">
        <v>1837</v>
      </c>
      <c r="B357" s="70">
        <v>46132</v>
      </c>
      <c r="C357" s="67" t="s">
        <v>1371</v>
      </c>
      <c r="D357" s="67" t="s">
        <v>1551</v>
      </c>
      <c r="E357" s="67" t="s">
        <v>1362</v>
      </c>
      <c r="F357" s="67" t="s">
        <v>1462</v>
      </c>
      <c r="G357" s="69">
        <v>534</v>
      </c>
    </row>
    <row r="358" spans="1:7">
      <c r="A358" s="67" t="s">
        <v>1838</v>
      </c>
      <c r="B358" s="70">
        <v>46132</v>
      </c>
      <c r="C358" s="67" t="s">
        <v>1378</v>
      </c>
      <c r="D358" s="67" t="s">
        <v>358</v>
      </c>
      <c r="E358" s="67" t="s">
        <v>1368</v>
      </c>
      <c r="F358" s="67" t="s">
        <v>1462</v>
      </c>
      <c r="G358" s="69">
        <v>536</v>
      </c>
    </row>
    <row r="359" spans="1:7">
      <c r="A359" s="67" t="s">
        <v>1839</v>
      </c>
      <c r="B359" s="70">
        <v>46132</v>
      </c>
      <c r="C359" s="67" t="s">
        <v>1381</v>
      </c>
      <c r="D359" s="67" t="s">
        <v>369</v>
      </c>
      <c r="E359" s="67" t="s">
        <v>1368</v>
      </c>
      <c r="F359" s="67" t="s">
        <v>1462</v>
      </c>
      <c r="G359" s="69">
        <v>307</v>
      </c>
    </row>
    <row r="360" spans="1:7">
      <c r="A360" s="67" t="s">
        <v>1840</v>
      </c>
      <c r="B360" s="70">
        <v>46132</v>
      </c>
      <c r="C360" s="67" t="s">
        <v>1381</v>
      </c>
      <c r="D360" s="67" t="s">
        <v>1469</v>
      </c>
      <c r="E360" s="67" t="s">
        <v>1470</v>
      </c>
      <c r="F360" s="67" t="s">
        <v>1462</v>
      </c>
      <c r="G360" s="69">
        <v>73</v>
      </c>
    </row>
    <row r="361" spans="1:7">
      <c r="A361" s="67" t="s">
        <v>1841</v>
      </c>
      <c r="B361" s="70">
        <v>46132</v>
      </c>
      <c r="C361" s="67" t="s">
        <v>1384</v>
      </c>
      <c r="D361" s="67" t="s">
        <v>1602</v>
      </c>
      <c r="E361" s="67" t="s">
        <v>1386</v>
      </c>
      <c r="F361" s="67" t="s">
        <v>1462</v>
      </c>
      <c r="G361" s="69">
        <v>173</v>
      </c>
    </row>
    <row r="362" spans="1:7">
      <c r="A362" s="67" t="s">
        <v>1842</v>
      </c>
      <c r="B362" s="70">
        <v>46132</v>
      </c>
      <c r="C362" s="67" t="s">
        <v>1404</v>
      </c>
      <c r="D362" s="67" t="s">
        <v>356</v>
      </c>
      <c r="E362" s="67" t="s">
        <v>1368</v>
      </c>
      <c r="F362" s="67" t="s">
        <v>1462</v>
      </c>
      <c r="G362" s="69">
        <v>380</v>
      </c>
    </row>
    <row r="363" spans="1:7">
      <c r="A363" s="67" t="s">
        <v>1843</v>
      </c>
      <c r="B363" s="70">
        <v>46132</v>
      </c>
      <c r="C363" s="67" t="s">
        <v>1406</v>
      </c>
      <c r="D363" s="67" t="s">
        <v>356</v>
      </c>
      <c r="E363" s="67" t="s">
        <v>1368</v>
      </c>
      <c r="F363" s="67" t="s">
        <v>1460</v>
      </c>
      <c r="G363" s="69">
        <v>23</v>
      </c>
    </row>
    <row r="364" spans="1:7">
      <c r="A364" s="67" t="s">
        <v>1844</v>
      </c>
      <c r="B364" s="70">
        <v>46132</v>
      </c>
      <c r="C364" s="67" t="s">
        <v>1414</v>
      </c>
      <c r="D364" s="67" t="s">
        <v>1491</v>
      </c>
      <c r="E364" s="67" t="s">
        <v>1470</v>
      </c>
      <c r="F364" s="67" t="s">
        <v>1462</v>
      </c>
      <c r="G364" s="69">
        <v>462</v>
      </c>
    </row>
    <row r="365" spans="1:7">
      <c r="A365" s="67" t="s">
        <v>1845</v>
      </c>
      <c r="B365" s="70">
        <v>46132</v>
      </c>
      <c r="C365" s="67" t="s">
        <v>1425</v>
      </c>
      <c r="D365" s="67" t="s">
        <v>1484</v>
      </c>
      <c r="E365" s="67" t="s">
        <v>1470</v>
      </c>
      <c r="F365" s="67" t="s">
        <v>1462</v>
      </c>
      <c r="G365" s="69">
        <v>190</v>
      </c>
    </row>
    <row r="366" spans="1:7">
      <c r="A366" s="67" t="s">
        <v>1846</v>
      </c>
      <c r="B366" s="70">
        <v>46132</v>
      </c>
      <c r="C366" s="67" t="s">
        <v>1429</v>
      </c>
      <c r="D366" s="67" t="s">
        <v>353</v>
      </c>
      <c r="E366" s="67" t="s">
        <v>1368</v>
      </c>
      <c r="F366" s="67" t="s">
        <v>1462</v>
      </c>
      <c r="G366" s="69">
        <v>344</v>
      </c>
    </row>
    <row r="367" spans="1:7">
      <c r="A367" s="67" t="s">
        <v>1847</v>
      </c>
      <c r="B367" s="70">
        <v>46132</v>
      </c>
      <c r="C367" s="67" t="s">
        <v>1431</v>
      </c>
      <c r="D367" s="67" t="s">
        <v>1618</v>
      </c>
      <c r="E367" s="67" t="s">
        <v>1433</v>
      </c>
      <c r="F367" s="67" t="s">
        <v>1462</v>
      </c>
      <c r="G367" s="69">
        <v>362</v>
      </c>
    </row>
    <row r="368" spans="1:7">
      <c r="A368" s="67" t="s">
        <v>1848</v>
      </c>
      <c r="B368" s="70">
        <v>46132</v>
      </c>
      <c r="C368" s="67" t="s">
        <v>1444</v>
      </c>
      <c r="D368" s="67" t="s">
        <v>356</v>
      </c>
      <c r="E368" s="67" t="s">
        <v>1368</v>
      </c>
      <c r="F368" s="67" t="s">
        <v>1462</v>
      </c>
      <c r="G368" s="69">
        <v>59</v>
      </c>
    </row>
    <row r="369" spans="1:7">
      <c r="A369" s="67" t="s">
        <v>1849</v>
      </c>
      <c r="B369" s="70">
        <v>46132</v>
      </c>
      <c r="C369" s="67" t="s">
        <v>1444</v>
      </c>
      <c r="D369" s="67" t="s">
        <v>1551</v>
      </c>
      <c r="E369" s="67" t="s">
        <v>1362</v>
      </c>
      <c r="F369" s="67" t="s">
        <v>1462</v>
      </c>
      <c r="G369" s="69">
        <v>288</v>
      </c>
    </row>
    <row r="370" spans="1:7">
      <c r="A370" s="67" t="s">
        <v>1850</v>
      </c>
      <c r="B370" s="70">
        <v>46132</v>
      </c>
      <c r="C370" s="67" t="s">
        <v>1446</v>
      </c>
      <c r="D370" s="67" t="s">
        <v>1551</v>
      </c>
      <c r="E370" s="67" t="s">
        <v>1362</v>
      </c>
      <c r="F370" s="67" t="s">
        <v>1460</v>
      </c>
      <c r="G370" s="69">
        <v>24</v>
      </c>
    </row>
    <row r="371" spans="1:7">
      <c r="A371" s="67" t="s">
        <v>1851</v>
      </c>
      <c r="B371" s="70">
        <v>46133</v>
      </c>
      <c r="C371" s="67" t="s">
        <v>1359</v>
      </c>
      <c r="D371" s="67" t="s">
        <v>1476</v>
      </c>
      <c r="E371" s="67" t="s">
        <v>1362</v>
      </c>
      <c r="F371" s="67" t="s">
        <v>1462</v>
      </c>
      <c r="G371" s="69">
        <v>32</v>
      </c>
    </row>
    <row r="372" spans="1:7">
      <c r="A372" s="67" t="s">
        <v>1852</v>
      </c>
      <c r="B372" s="70">
        <v>46133</v>
      </c>
      <c r="C372" s="67" t="s">
        <v>1359</v>
      </c>
      <c r="D372" s="67" t="s">
        <v>367</v>
      </c>
      <c r="E372" s="67" t="s">
        <v>1368</v>
      </c>
      <c r="F372" s="67" t="s">
        <v>1460</v>
      </c>
      <c r="G372" s="69">
        <v>22</v>
      </c>
    </row>
    <row r="373" spans="1:7">
      <c r="A373" s="67" t="s">
        <v>1853</v>
      </c>
      <c r="B373" s="70">
        <v>46133</v>
      </c>
      <c r="C373" s="67" t="s">
        <v>1359</v>
      </c>
      <c r="D373" s="67" t="s">
        <v>1466</v>
      </c>
      <c r="E373" s="67" t="s">
        <v>1386</v>
      </c>
      <c r="F373" s="67" t="s">
        <v>1462</v>
      </c>
      <c r="G373" s="69">
        <v>338</v>
      </c>
    </row>
    <row r="374" spans="1:7">
      <c r="A374" s="67" t="s">
        <v>1854</v>
      </c>
      <c r="B374" s="70">
        <v>46133</v>
      </c>
      <c r="C374" s="67" t="s">
        <v>1359</v>
      </c>
      <c r="D374" s="67" t="s">
        <v>1459</v>
      </c>
      <c r="E374" s="67" t="s">
        <v>1362</v>
      </c>
      <c r="F374" s="67" t="s">
        <v>1462</v>
      </c>
      <c r="G374" s="69">
        <v>432</v>
      </c>
    </row>
    <row r="375" spans="1:7">
      <c r="A375" s="67" t="s">
        <v>1855</v>
      </c>
      <c r="B375" s="70">
        <v>46133</v>
      </c>
      <c r="C375" s="67" t="s">
        <v>1366</v>
      </c>
      <c r="D375" s="67" t="s">
        <v>367</v>
      </c>
      <c r="E375" s="67" t="s">
        <v>1368</v>
      </c>
      <c r="F375" s="67" t="s">
        <v>1462</v>
      </c>
      <c r="G375" s="69">
        <v>444</v>
      </c>
    </row>
    <row r="376" spans="1:7">
      <c r="A376" s="67" t="s">
        <v>1856</v>
      </c>
      <c r="B376" s="70">
        <v>46133</v>
      </c>
      <c r="C376" s="67" t="s">
        <v>1366</v>
      </c>
      <c r="D376" s="67" t="s">
        <v>358</v>
      </c>
      <c r="E376" s="67" t="s">
        <v>1368</v>
      </c>
      <c r="F376" s="67" t="s">
        <v>1460</v>
      </c>
      <c r="G376" s="69">
        <v>30</v>
      </c>
    </row>
    <row r="377" spans="1:7">
      <c r="A377" s="67" t="s">
        <v>1857</v>
      </c>
      <c r="B377" s="70">
        <v>46133</v>
      </c>
      <c r="C377" s="67" t="s">
        <v>1371</v>
      </c>
      <c r="D377" s="67" t="s">
        <v>367</v>
      </c>
      <c r="E377" s="67" t="s">
        <v>1368</v>
      </c>
      <c r="F377" s="67" t="s">
        <v>1462</v>
      </c>
      <c r="G377" s="69">
        <v>150</v>
      </c>
    </row>
    <row r="378" spans="1:7">
      <c r="A378" s="67" t="s">
        <v>1858</v>
      </c>
      <c r="B378" s="70">
        <v>46133</v>
      </c>
      <c r="C378" s="67" t="s">
        <v>1371</v>
      </c>
      <c r="D378" s="67" t="s">
        <v>1602</v>
      </c>
      <c r="E378" s="67" t="s">
        <v>1386</v>
      </c>
      <c r="F378" s="67" t="s">
        <v>1462</v>
      </c>
      <c r="G378" s="69">
        <v>191</v>
      </c>
    </row>
    <row r="379" spans="1:7">
      <c r="A379" s="67" t="s">
        <v>1859</v>
      </c>
      <c r="B379" s="70">
        <v>46133</v>
      </c>
      <c r="C379" s="67" t="s">
        <v>1378</v>
      </c>
      <c r="D379" s="67" t="s">
        <v>353</v>
      </c>
      <c r="E379" s="67" t="s">
        <v>1368</v>
      </c>
      <c r="F379" s="67" t="s">
        <v>1462</v>
      </c>
      <c r="G379" s="69">
        <v>282</v>
      </c>
    </row>
    <row r="380" spans="1:7">
      <c r="A380" s="67" t="s">
        <v>1860</v>
      </c>
      <c r="B380" s="70">
        <v>46133</v>
      </c>
      <c r="C380" s="67" t="s">
        <v>1378</v>
      </c>
      <c r="D380" s="67" t="s">
        <v>356</v>
      </c>
      <c r="E380" s="67" t="s">
        <v>1368</v>
      </c>
      <c r="F380" s="67" t="s">
        <v>1462</v>
      </c>
      <c r="G380" s="69">
        <v>136</v>
      </c>
    </row>
    <row r="381" spans="1:7">
      <c r="A381" s="67" t="s">
        <v>1861</v>
      </c>
      <c r="B381" s="70">
        <v>46133</v>
      </c>
      <c r="C381" s="67" t="s">
        <v>1381</v>
      </c>
      <c r="D381" s="67" t="s">
        <v>358</v>
      </c>
      <c r="E381" s="67" t="s">
        <v>1368</v>
      </c>
      <c r="F381" s="67" t="s">
        <v>1462</v>
      </c>
      <c r="G381" s="69">
        <v>151</v>
      </c>
    </row>
    <row r="382" spans="1:7">
      <c r="A382" s="67" t="s">
        <v>1862</v>
      </c>
      <c r="B382" s="70">
        <v>46133</v>
      </c>
      <c r="C382" s="67" t="s">
        <v>1384</v>
      </c>
      <c r="D382" s="67" t="s">
        <v>1466</v>
      </c>
      <c r="E382" s="67" t="s">
        <v>1386</v>
      </c>
      <c r="F382" s="67" t="s">
        <v>1462</v>
      </c>
      <c r="G382" s="69">
        <v>315</v>
      </c>
    </row>
    <row r="383" spans="1:7">
      <c r="A383" s="67" t="s">
        <v>1863</v>
      </c>
      <c r="B383" s="70">
        <v>46133</v>
      </c>
      <c r="C383" s="67" t="s">
        <v>1399</v>
      </c>
      <c r="D383" s="67" t="s">
        <v>1459</v>
      </c>
      <c r="E383" s="67" t="s">
        <v>1362</v>
      </c>
      <c r="F383" s="67" t="s">
        <v>1462</v>
      </c>
      <c r="G383" s="69">
        <v>206</v>
      </c>
    </row>
    <row r="384" spans="1:7">
      <c r="A384" s="67" t="s">
        <v>1864</v>
      </c>
      <c r="B384" s="70">
        <v>46133</v>
      </c>
      <c r="C384" s="67" t="s">
        <v>1404</v>
      </c>
      <c r="D384" s="67" t="s">
        <v>356</v>
      </c>
      <c r="E384" s="67" t="s">
        <v>1368</v>
      </c>
      <c r="F384" s="67" t="s">
        <v>1462</v>
      </c>
      <c r="G384" s="69">
        <v>482</v>
      </c>
    </row>
    <row r="385" spans="1:7">
      <c r="A385" s="67" t="s">
        <v>1865</v>
      </c>
      <c r="B385" s="70">
        <v>46133</v>
      </c>
      <c r="C385" s="67" t="s">
        <v>1404</v>
      </c>
      <c r="D385" s="67" t="s">
        <v>356</v>
      </c>
      <c r="E385" s="67" t="s">
        <v>1368</v>
      </c>
      <c r="F385" s="67" t="s">
        <v>1462</v>
      </c>
      <c r="G385" s="69">
        <v>377</v>
      </c>
    </row>
    <row r="386" spans="1:7">
      <c r="A386" s="67" t="s">
        <v>1866</v>
      </c>
      <c r="B386" s="70">
        <v>46133</v>
      </c>
      <c r="C386" s="67" t="s">
        <v>1404</v>
      </c>
      <c r="D386" s="67" t="s">
        <v>1484</v>
      </c>
      <c r="E386" s="67" t="s">
        <v>1470</v>
      </c>
      <c r="F386" s="67" t="s">
        <v>1460</v>
      </c>
      <c r="G386" s="69">
        <v>28</v>
      </c>
    </row>
    <row r="387" spans="1:7">
      <c r="A387" s="67" t="s">
        <v>1867</v>
      </c>
      <c r="B387" s="70">
        <v>46133</v>
      </c>
      <c r="C387" s="67" t="s">
        <v>1406</v>
      </c>
      <c r="D387" s="67" t="s">
        <v>356</v>
      </c>
      <c r="E387" s="67" t="s">
        <v>1368</v>
      </c>
      <c r="F387" s="67" t="s">
        <v>1462</v>
      </c>
      <c r="G387" s="69">
        <v>32</v>
      </c>
    </row>
    <row r="388" spans="1:7">
      <c r="A388" s="67" t="s">
        <v>1868</v>
      </c>
      <c r="B388" s="70">
        <v>46133</v>
      </c>
      <c r="C388" s="67" t="s">
        <v>1406</v>
      </c>
      <c r="D388" s="67" t="s">
        <v>358</v>
      </c>
      <c r="E388" s="67" t="s">
        <v>1368</v>
      </c>
      <c r="F388" s="67" t="s">
        <v>1460</v>
      </c>
      <c r="G388" s="69">
        <v>6</v>
      </c>
    </row>
    <row r="389" spans="1:7">
      <c r="A389" s="67" t="s">
        <v>1869</v>
      </c>
      <c r="B389" s="70">
        <v>46133</v>
      </c>
      <c r="C389" s="67" t="s">
        <v>1414</v>
      </c>
      <c r="D389" s="67" t="s">
        <v>1491</v>
      </c>
      <c r="E389" s="67" t="s">
        <v>1470</v>
      </c>
      <c r="F389" s="67" t="s">
        <v>1462</v>
      </c>
      <c r="G389" s="69">
        <v>471</v>
      </c>
    </row>
    <row r="390" spans="1:7">
      <c r="A390" s="67" t="s">
        <v>1870</v>
      </c>
      <c r="B390" s="70">
        <v>46133</v>
      </c>
      <c r="C390" s="67" t="s">
        <v>1425</v>
      </c>
      <c r="D390" s="67" t="s">
        <v>1484</v>
      </c>
      <c r="E390" s="67" t="s">
        <v>1470</v>
      </c>
      <c r="F390" s="67" t="s">
        <v>1462</v>
      </c>
      <c r="G390" s="69">
        <v>347</v>
      </c>
    </row>
    <row r="391" spans="1:7">
      <c r="A391" s="67" t="s">
        <v>1871</v>
      </c>
      <c r="B391" s="70">
        <v>46133</v>
      </c>
      <c r="C391" s="67" t="s">
        <v>1425</v>
      </c>
      <c r="D391" s="67" t="s">
        <v>1484</v>
      </c>
      <c r="E391" s="67" t="s">
        <v>1470</v>
      </c>
      <c r="F391" s="67" t="s">
        <v>1460</v>
      </c>
      <c r="G391" s="69">
        <v>22</v>
      </c>
    </row>
    <row r="392" spans="1:7">
      <c r="A392" s="67" t="s">
        <v>1872</v>
      </c>
      <c r="B392" s="70">
        <v>46133</v>
      </c>
      <c r="C392" s="67" t="s">
        <v>1429</v>
      </c>
      <c r="D392" s="67" t="s">
        <v>1511</v>
      </c>
      <c r="E392" s="67" t="s">
        <v>1470</v>
      </c>
      <c r="F392" s="67" t="s">
        <v>1462</v>
      </c>
      <c r="G392" s="69">
        <v>269</v>
      </c>
    </row>
    <row r="393" spans="1:7">
      <c r="A393" s="67" t="s">
        <v>1873</v>
      </c>
      <c r="B393" s="70">
        <v>46133</v>
      </c>
      <c r="C393" s="67" t="s">
        <v>1429</v>
      </c>
      <c r="D393" s="67" t="s">
        <v>356</v>
      </c>
      <c r="E393" s="67" t="s">
        <v>1368</v>
      </c>
      <c r="F393" s="67" t="s">
        <v>1462</v>
      </c>
      <c r="G393" s="69">
        <v>34</v>
      </c>
    </row>
    <row r="394" spans="1:7">
      <c r="A394" s="67" t="s">
        <v>1874</v>
      </c>
      <c r="B394" s="70">
        <v>46133</v>
      </c>
      <c r="C394" s="67" t="s">
        <v>1429</v>
      </c>
      <c r="D394" s="67" t="s">
        <v>1459</v>
      </c>
      <c r="E394" s="67" t="s">
        <v>1362</v>
      </c>
      <c r="F394" s="67" t="s">
        <v>1460</v>
      </c>
      <c r="G394" s="69">
        <v>26</v>
      </c>
    </row>
    <row r="395" spans="1:7">
      <c r="A395" s="67" t="s">
        <v>1875</v>
      </c>
      <c r="B395" s="70">
        <v>46133</v>
      </c>
      <c r="C395" s="67" t="s">
        <v>1442</v>
      </c>
      <c r="D395" s="67" t="s">
        <v>1466</v>
      </c>
      <c r="E395" s="67" t="s">
        <v>1386</v>
      </c>
      <c r="F395" s="67" t="s">
        <v>1462</v>
      </c>
      <c r="G395" s="69">
        <v>519</v>
      </c>
    </row>
    <row r="396" spans="1:7">
      <c r="A396" s="67" t="s">
        <v>1876</v>
      </c>
      <c r="B396" s="70">
        <v>46134</v>
      </c>
      <c r="C396" s="67" t="s">
        <v>1366</v>
      </c>
      <c r="D396" s="67" t="s">
        <v>356</v>
      </c>
      <c r="E396" s="67" t="s">
        <v>1368</v>
      </c>
      <c r="F396" s="67" t="s">
        <v>1462</v>
      </c>
      <c r="G396" s="69">
        <v>417</v>
      </c>
    </row>
    <row r="397" spans="1:7">
      <c r="A397" s="67" t="s">
        <v>1877</v>
      </c>
      <c r="B397" s="70">
        <v>46134</v>
      </c>
      <c r="C397" s="67" t="s">
        <v>1366</v>
      </c>
      <c r="D397" s="67" t="s">
        <v>365</v>
      </c>
      <c r="E397" s="67" t="s">
        <v>1368</v>
      </c>
      <c r="F397" s="67" t="s">
        <v>1462</v>
      </c>
      <c r="G397" s="69">
        <v>111</v>
      </c>
    </row>
    <row r="398" spans="1:7">
      <c r="A398" s="67" t="s">
        <v>1878</v>
      </c>
      <c r="B398" s="70">
        <v>46134</v>
      </c>
      <c r="C398" s="67" t="s">
        <v>1366</v>
      </c>
      <c r="D398" s="67" t="s">
        <v>1476</v>
      </c>
      <c r="E398" s="67" t="s">
        <v>1362</v>
      </c>
      <c r="F398" s="67" t="s">
        <v>1462</v>
      </c>
      <c r="G398" s="69">
        <v>182</v>
      </c>
    </row>
    <row r="399" spans="1:7">
      <c r="A399" s="67" t="s">
        <v>1879</v>
      </c>
      <c r="B399" s="70">
        <v>46134</v>
      </c>
      <c r="C399" s="67" t="s">
        <v>1366</v>
      </c>
      <c r="D399" s="67" t="s">
        <v>1551</v>
      </c>
      <c r="E399" s="67" t="s">
        <v>1362</v>
      </c>
      <c r="F399" s="67" t="s">
        <v>1462</v>
      </c>
      <c r="G399" s="69">
        <v>539</v>
      </c>
    </row>
    <row r="400" spans="1:7">
      <c r="A400" s="67" t="s">
        <v>1880</v>
      </c>
      <c r="B400" s="70">
        <v>46134</v>
      </c>
      <c r="C400" s="67" t="s">
        <v>1371</v>
      </c>
      <c r="D400" s="67" t="s">
        <v>1466</v>
      </c>
      <c r="E400" s="67" t="s">
        <v>1386</v>
      </c>
      <c r="F400" s="67" t="s">
        <v>1462</v>
      </c>
      <c r="G400" s="69">
        <v>413</v>
      </c>
    </row>
    <row r="401" spans="1:7">
      <c r="A401" s="67" t="s">
        <v>1881</v>
      </c>
      <c r="B401" s="70">
        <v>46134</v>
      </c>
      <c r="C401" s="67" t="s">
        <v>1371</v>
      </c>
      <c r="D401" s="67" t="s">
        <v>1551</v>
      </c>
      <c r="E401" s="67" t="s">
        <v>1362</v>
      </c>
      <c r="F401" s="67" t="s">
        <v>1460</v>
      </c>
      <c r="G401" s="69">
        <v>9</v>
      </c>
    </row>
    <row r="402" spans="1:7">
      <c r="A402" s="67" t="s">
        <v>1882</v>
      </c>
      <c r="B402" s="70">
        <v>46134</v>
      </c>
      <c r="C402" s="67" t="s">
        <v>1375</v>
      </c>
      <c r="D402" s="67" t="s">
        <v>356</v>
      </c>
      <c r="E402" s="67" t="s">
        <v>1368</v>
      </c>
      <c r="F402" s="67" t="s">
        <v>1462</v>
      </c>
      <c r="G402" s="69">
        <v>187</v>
      </c>
    </row>
    <row r="403" spans="1:7">
      <c r="A403" s="67" t="s">
        <v>1883</v>
      </c>
      <c r="B403" s="70">
        <v>46134</v>
      </c>
      <c r="C403" s="67" t="s">
        <v>1375</v>
      </c>
      <c r="D403" s="67" t="s">
        <v>367</v>
      </c>
      <c r="E403" s="67" t="s">
        <v>1368</v>
      </c>
      <c r="F403" s="67" t="s">
        <v>1462</v>
      </c>
      <c r="G403" s="69">
        <v>536</v>
      </c>
    </row>
    <row r="404" spans="1:7">
      <c r="A404" s="67" t="s">
        <v>1884</v>
      </c>
      <c r="B404" s="70">
        <v>46134</v>
      </c>
      <c r="C404" s="67" t="s">
        <v>1389</v>
      </c>
      <c r="D404" s="67" t="s">
        <v>367</v>
      </c>
      <c r="E404" s="67" t="s">
        <v>1368</v>
      </c>
      <c r="F404" s="67" t="s">
        <v>1462</v>
      </c>
      <c r="G404" s="69">
        <v>290</v>
      </c>
    </row>
    <row r="405" spans="1:7">
      <c r="A405" s="67" t="s">
        <v>1885</v>
      </c>
      <c r="B405" s="70">
        <v>46134</v>
      </c>
      <c r="C405" s="67" t="s">
        <v>1404</v>
      </c>
      <c r="D405" s="67" t="s">
        <v>1491</v>
      </c>
      <c r="E405" s="67" t="s">
        <v>1470</v>
      </c>
      <c r="F405" s="67" t="s">
        <v>1462</v>
      </c>
      <c r="G405" s="69">
        <v>136</v>
      </c>
    </row>
    <row r="406" spans="1:7">
      <c r="A406" s="67" t="s">
        <v>1886</v>
      </c>
      <c r="B406" s="70">
        <v>46134</v>
      </c>
      <c r="C406" s="67" t="s">
        <v>1414</v>
      </c>
      <c r="D406" s="67" t="s">
        <v>1511</v>
      </c>
      <c r="E406" s="67" t="s">
        <v>1470</v>
      </c>
      <c r="F406" s="67" t="s">
        <v>1460</v>
      </c>
      <c r="G406" s="69">
        <v>11</v>
      </c>
    </row>
    <row r="407" spans="1:7">
      <c r="A407" s="67" t="s">
        <v>1887</v>
      </c>
      <c r="B407" s="70">
        <v>46134</v>
      </c>
      <c r="C407" s="67" t="s">
        <v>1419</v>
      </c>
      <c r="D407" s="67" t="s">
        <v>1551</v>
      </c>
      <c r="E407" s="67" t="s">
        <v>1362</v>
      </c>
      <c r="F407" s="67" t="s">
        <v>1462</v>
      </c>
      <c r="G407" s="69">
        <v>134</v>
      </c>
    </row>
    <row r="408" spans="1:7">
      <c r="A408" s="67" t="s">
        <v>1888</v>
      </c>
      <c r="B408" s="70">
        <v>46134</v>
      </c>
      <c r="C408" s="67" t="s">
        <v>1425</v>
      </c>
      <c r="D408" s="67" t="s">
        <v>1607</v>
      </c>
      <c r="E408" s="67" t="s">
        <v>1470</v>
      </c>
      <c r="F408" s="67" t="s">
        <v>1460</v>
      </c>
      <c r="G408" s="69">
        <v>23</v>
      </c>
    </row>
    <row r="409" spans="1:7">
      <c r="A409" s="67" t="s">
        <v>1889</v>
      </c>
      <c r="B409" s="70">
        <v>46134</v>
      </c>
      <c r="C409" s="67" t="s">
        <v>1427</v>
      </c>
      <c r="D409" s="67" t="s">
        <v>1459</v>
      </c>
      <c r="E409" s="67" t="s">
        <v>1362</v>
      </c>
      <c r="F409" s="67" t="s">
        <v>1460</v>
      </c>
      <c r="G409" s="69">
        <v>19</v>
      </c>
    </row>
    <row r="410" spans="1:7">
      <c r="A410" s="67" t="s">
        <v>1890</v>
      </c>
      <c r="B410" s="70">
        <v>46134</v>
      </c>
      <c r="C410" s="67" t="s">
        <v>1429</v>
      </c>
      <c r="D410" s="67" t="s">
        <v>356</v>
      </c>
      <c r="E410" s="67" t="s">
        <v>1368</v>
      </c>
      <c r="F410" s="67" t="s">
        <v>1462</v>
      </c>
      <c r="G410" s="69">
        <v>532</v>
      </c>
    </row>
    <row r="411" spans="1:7">
      <c r="A411" s="67" t="s">
        <v>1891</v>
      </c>
      <c r="B411" s="70">
        <v>46134</v>
      </c>
      <c r="C411" s="67" t="s">
        <v>1434</v>
      </c>
      <c r="D411" s="67" t="s">
        <v>1466</v>
      </c>
      <c r="E411" s="67" t="s">
        <v>1386</v>
      </c>
      <c r="F411" s="67" t="s">
        <v>1460</v>
      </c>
      <c r="G411" s="69">
        <v>18</v>
      </c>
    </row>
    <row r="412" spans="1:7">
      <c r="A412" s="67" t="s">
        <v>1892</v>
      </c>
      <c r="B412" s="70">
        <v>46135</v>
      </c>
      <c r="C412" s="67" t="s">
        <v>1359</v>
      </c>
      <c r="D412" s="67" t="s">
        <v>1551</v>
      </c>
      <c r="E412" s="67" t="s">
        <v>1362</v>
      </c>
      <c r="F412" s="67" t="s">
        <v>1460</v>
      </c>
      <c r="G412" s="69">
        <v>30</v>
      </c>
    </row>
    <row r="413" spans="1:7">
      <c r="A413" s="67" t="s">
        <v>1893</v>
      </c>
      <c r="B413" s="70">
        <v>46135</v>
      </c>
      <c r="C413" s="67" t="s">
        <v>1366</v>
      </c>
      <c r="D413" s="67" t="s">
        <v>365</v>
      </c>
      <c r="E413" s="67" t="s">
        <v>1368</v>
      </c>
      <c r="F413" s="67" t="s">
        <v>1462</v>
      </c>
      <c r="G413" s="69">
        <v>175</v>
      </c>
    </row>
    <row r="414" spans="1:7">
      <c r="A414" s="67" t="s">
        <v>1894</v>
      </c>
      <c r="B414" s="70">
        <v>46135</v>
      </c>
      <c r="C414" s="67" t="s">
        <v>1366</v>
      </c>
      <c r="D414" s="67" t="s">
        <v>358</v>
      </c>
      <c r="E414" s="67" t="s">
        <v>1368</v>
      </c>
      <c r="F414" s="67" t="s">
        <v>1462</v>
      </c>
      <c r="G414" s="69">
        <v>311</v>
      </c>
    </row>
    <row r="415" spans="1:7">
      <c r="A415" s="67" t="s">
        <v>1895</v>
      </c>
      <c r="B415" s="70">
        <v>46135</v>
      </c>
      <c r="C415" s="67" t="s">
        <v>1381</v>
      </c>
      <c r="D415" s="67" t="s">
        <v>353</v>
      </c>
      <c r="E415" s="67" t="s">
        <v>1368</v>
      </c>
      <c r="F415" s="67" t="s">
        <v>1462</v>
      </c>
      <c r="G415" s="69">
        <v>48</v>
      </c>
    </row>
    <row r="416" spans="1:7">
      <c r="A416" s="67" t="s">
        <v>1896</v>
      </c>
      <c r="B416" s="70">
        <v>46135</v>
      </c>
      <c r="C416" s="67" t="s">
        <v>1381</v>
      </c>
      <c r="D416" s="67" t="s">
        <v>356</v>
      </c>
      <c r="E416" s="67" t="s">
        <v>1368</v>
      </c>
      <c r="F416" s="67" t="s">
        <v>1488</v>
      </c>
      <c r="G416" s="69">
        <v>4</v>
      </c>
    </row>
    <row r="417" spans="1:7">
      <c r="A417" s="67" t="s">
        <v>1897</v>
      </c>
      <c r="B417" s="70">
        <v>46135</v>
      </c>
      <c r="C417" s="67" t="s">
        <v>1381</v>
      </c>
      <c r="D417" s="67" t="s">
        <v>1476</v>
      </c>
      <c r="E417" s="67" t="s">
        <v>1362</v>
      </c>
      <c r="F417" s="67" t="s">
        <v>1462</v>
      </c>
      <c r="G417" s="69">
        <v>357</v>
      </c>
    </row>
    <row r="418" spans="1:7">
      <c r="A418" s="67" t="s">
        <v>1898</v>
      </c>
      <c r="B418" s="70">
        <v>46135</v>
      </c>
      <c r="C418" s="67" t="s">
        <v>1381</v>
      </c>
      <c r="D418" s="67" t="s">
        <v>369</v>
      </c>
      <c r="E418" s="67" t="s">
        <v>1368</v>
      </c>
      <c r="F418" s="67" t="s">
        <v>1488</v>
      </c>
      <c r="G418" s="69">
        <v>6</v>
      </c>
    </row>
    <row r="419" spans="1:7">
      <c r="A419" s="67" t="s">
        <v>1899</v>
      </c>
      <c r="B419" s="70">
        <v>46135</v>
      </c>
      <c r="C419" s="67" t="s">
        <v>1389</v>
      </c>
      <c r="D419" s="67" t="s">
        <v>356</v>
      </c>
      <c r="E419" s="67" t="s">
        <v>1368</v>
      </c>
      <c r="F419" s="67" t="s">
        <v>1462</v>
      </c>
      <c r="G419" s="69">
        <v>353</v>
      </c>
    </row>
    <row r="420" spans="1:7">
      <c r="A420" s="67" t="s">
        <v>1900</v>
      </c>
      <c r="B420" s="70">
        <v>46135</v>
      </c>
      <c r="C420" s="67" t="s">
        <v>1389</v>
      </c>
      <c r="D420" s="67" t="s">
        <v>1551</v>
      </c>
      <c r="E420" s="67" t="s">
        <v>1362</v>
      </c>
      <c r="F420" s="67" t="s">
        <v>1462</v>
      </c>
      <c r="G420" s="69">
        <v>143</v>
      </c>
    </row>
    <row r="421" spans="1:7">
      <c r="A421" s="67" t="s">
        <v>1901</v>
      </c>
      <c r="B421" s="70">
        <v>46135</v>
      </c>
      <c r="C421" s="67" t="s">
        <v>1399</v>
      </c>
      <c r="D421" s="67" t="s">
        <v>1466</v>
      </c>
      <c r="E421" s="67" t="s">
        <v>1386</v>
      </c>
      <c r="F421" s="67" t="s">
        <v>1462</v>
      </c>
      <c r="G421" s="69">
        <v>344</v>
      </c>
    </row>
    <row r="422" spans="1:7">
      <c r="A422" s="67" t="s">
        <v>1902</v>
      </c>
      <c r="B422" s="70">
        <v>46135</v>
      </c>
      <c r="C422" s="67" t="s">
        <v>1399</v>
      </c>
      <c r="D422" s="67" t="s">
        <v>1551</v>
      </c>
      <c r="E422" s="67" t="s">
        <v>1362</v>
      </c>
      <c r="F422" s="67" t="s">
        <v>1462</v>
      </c>
      <c r="G422" s="69">
        <v>400</v>
      </c>
    </row>
    <row r="423" spans="1:7">
      <c r="A423" s="67" t="s">
        <v>1903</v>
      </c>
      <c r="B423" s="70">
        <v>46135</v>
      </c>
      <c r="C423" s="67" t="s">
        <v>1404</v>
      </c>
      <c r="D423" s="67" t="s">
        <v>367</v>
      </c>
      <c r="E423" s="67" t="s">
        <v>1368</v>
      </c>
      <c r="F423" s="67" t="s">
        <v>1462</v>
      </c>
      <c r="G423" s="69">
        <v>547</v>
      </c>
    </row>
    <row r="424" spans="1:7">
      <c r="A424" s="67" t="s">
        <v>1904</v>
      </c>
      <c r="B424" s="70">
        <v>46135</v>
      </c>
      <c r="C424" s="67" t="s">
        <v>1406</v>
      </c>
      <c r="D424" s="67" t="s">
        <v>365</v>
      </c>
      <c r="E424" s="67" t="s">
        <v>1368</v>
      </c>
      <c r="F424" s="67" t="s">
        <v>1462</v>
      </c>
      <c r="G424" s="69">
        <v>83</v>
      </c>
    </row>
    <row r="425" spans="1:7">
      <c r="A425" s="67" t="s">
        <v>1905</v>
      </c>
      <c r="B425" s="70">
        <v>46135</v>
      </c>
      <c r="C425" s="67" t="s">
        <v>1411</v>
      </c>
      <c r="D425" s="67" t="s">
        <v>1506</v>
      </c>
      <c r="E425" s="67" t="s">
        <v>1482</v>
      </c>
      <c r="F425" s="67" t="s">
        <v>1462</v>
      </c>
      <c r="G425" s="69">
        <v>246</v>
      </c>
    </row>
    <row r="426" spans="1:7">
      <c r="A426" s="67" t="s">
        <v>1906</v>
      </c>
      <c r="B426" s="70">
        <v>46135</v>
      </c>
      <c r="C426" s="67" t="s">
        <v>1411</v>
      </c>
      <c r="D426" s="67" t="s">
        <v>1481</v>
      </c>
      <c r="E426" s="67" t="s">
        <v>1482</v>
      </c>
      <c r="F426" s="67" t="s">
        <v>1462</v>
      </c>
      <c r="G426" s="69">
        <v>245</v>
      </c>
    </row>
    <row r="427" spans="1:7">
      <c r="A427" s="67" t="s">
        <v>1907</v>
      </c>
      <c r="B427" s="70">
        <v>46135</v>
      </c>
      <c r="C427" s="67" t="s">
        <v>1414</v>
      </c>
      <c r="D427" s="67" t="s">
        <v>1484</v>
      </c>
      <c r="E427" s="67" t="s">
        <v>1470</v>
      </c>
      <c r="F427" s="67" t="s">
        <v>1462</v>
      </c>
      <c r="G427" s="69">
        <v>532</v>
      </c>
    </row>
    <row r="428" spans="1:7">
      <c r="A428" s="67" t="s">
        <v>1908</v>
      </c>
      <c r="B428" s="70">
        <v>46135</v>
      </c>
      <c r="C428" s="67" t="s">
        <v>1414</v>
      </c>
      <c r="D428" s="67" t="s">
        <v>1484</v>
      </c>
      <c r="E428" s="67" t="s">
        <v>1470</v>
      </c>
      <c r="F428" s="67" t="s">
        <v>1462</v>
      </c>
      <c r="G428" s="69">
        <v>422</v>
      </c>
    </row>
    <row r="429" spans="1:7">
      <c r="A429" s="67" t="s">
        <v>1909</v>
      </c>
      <c r="B429" s="70">
        <v>46135</v>
      </c>
      <c r="C429" s="67" t="s">
        <v>1414</v>
      </c>
      <c r="D429" s="67" t="s">
        <v>1459</v>
      </c>
      <c r="E429" s="67" t="s">
        <v>1362</v>
      </c>
      <c r="F429" s="67" t="s">
        <v>1488</v>
      </c>
      <c r="G429" s="69">
        <v>5</v>
      </c>
    </row>
    <row r="430" spans="1:7">
      <c r="A430" s="67" t="s">
        <v>1910</v>
      </c>
      <c r="B430" s="70">
        <v>46135</v>
      </c>
      <c r="C430" s="67" t="s">
        <v>1423</v>
      </c>
      <c r="D430" s="67" t="s">
        <v>353</v>
      </c>
      <c r="E430" s="67" t="s">
        <v>1368</v>
      </c>
      <c r="F430" s="67" t="s">
        <v>1460</v>
      </c>
      <c r="G430" s="69">
        <v>24</v>
      </c>
    </row>
    <row r="431" spans="1:7">
      <c r="A431" s="67" t="s">
        <v>1911</v>
      </c>
      <c r="B431" s="70">
        <v>46135</v>
      </c>
      <c r="C431" s="67" t="s">
        <v>1423</v>
      </c>
      <c r="D431" s="67" t="s">
        <v>367</v>
      </c>
      <c r="E431" s="67" t="s">
        <v>1368</v>
      </c>
      <c r="F431" s="67" t="s">
        <v>1462</v>
      </c>
      <c r="G431" s="69">
        <v>537</v>
      </c>
    </row>
    <row r="432" spans="1:7">
      <c r="A432" s="67" t="s">
        <v>1912</v>
      </c>
      <c r="B432" s="70">
        <v>46135</v>
      </c>
      <c r="C432" s="67" t="s">
        <v>1425</v>
      </c>
      <c r="D432" s="67" t="s">
        <v>1511</v>
      </c>
      <c r="E432" s="67" t="s">
        <v>1470</v>
      </c>
      <c r="F432" s="67" t="s">
        <v>1462</v>
      </c>
      <c r="G432" s="69">
        <v>481</v>
      </c>
    </row>
    <row r="433" spans="1:7">
      <c r="A433" s="67" t="s">
        <v>1913</v>
      </c>
      <c r="B433" s="70">
        <v>46135</v>
      </c>
      <c r="C433" s="67" t="s">
        <v>1429</v>
      </c>
      <c r="D433" s="67" t="s">
        <v>369</v>
      </c>
      <c r="E433" s="67" t="s">
        <v>1368</v>
      </c>
      <c r="F433" s="67" t="s">
        <v>1488</v>
      </c>
      <c r="G433" s="69">
        <v>8</v>
      </c>
    </row>
    <row r="434" spans="1:7">
      <c r="A434" s="67" t="s">
        <v>1914</v>
      </c>
      <c r="B434" s="70">
        <v>46135</v>
      </c>
      <c r="C434" s="67" t="s">
        <v>1431</v>
      </c>
      <c r="D434" s="67" t="s">
        <v>1520</v>
      </c>
      <c r="E434" s="67" t="s">
        <v>1433</v>
      </c>
      <c r="F434" s="67" t="s">
        <v>1460</v>
      </c>
      <c r="G434" s="69">
        <v>27</v>
      </c>
    </row>
    <row r="435" spans="1:7">
      <c r="A435" s="67" t="s">
        <v>1915</v>
      </c>
      <c r="B435" s="70">
        <v>46135</v>
      </c>
      <c r="C435" s="67" t="s">
        <v>1431</v>
      </c>
      <c r="D435" s="67" t="s">
        <v>1618</v>
      </c>
      <c r="E435" s="67" t="s">
        <v>1433</v>
      </c>
      <c r="F435" s="67" t="s">
        <v>1460</v>
      </c>
      <c r="G435" s="69">
        <v>13</v>
      </c>
    </row>
    <row r="436" spans="1:7">
      <c r="A436" s="67" t="s">
        <v>1916</v>
      </c>
      <c r="B436" s="70">
        <v>46135</v>
      </c>
      <c r="C436" s="67" t="s">
        <v>1446</v>
      </c>
      <c r="D436" s="67" t="s">
        <v>367</v>
      </c>
      <c r="E436" s="67" t="s">
        <v>1368</v>
      </c>
      <c r="F436" s="67" t="s">
        <v>1460</v>
      </c>
      <c r="G436" s="69">
        <v>9</v>
      </c>
    </row>
    <row r="437" spans="1:7">
      <c r="A437" s="67" t="s">
        <v>1917</v>
      </c>
      <c r="B437" s="70">
        <v>46135</v>
      </c>
      <c r="C437" s="67" t="s">
        <v>1446</v>
      </c>
      <c r="D437" s="67" t="s">
        <v>1466</v>
      </c>
      <c r="E437" s="67" t="s">
        <v>1386</v>
      </c>
      <c r="F437" s="67" t="s">
        <v>1488</v>
      </c>
      <c r="G437" s="69">
        <v>6</v>
      </c>
    </row>
    <row r="438" spans="1:7">
      <c r="A438" s="67" t="s">
        <v>1918</v>
      </c>
      <c r="B438" s="70">
        <v>46136</v>
      </c>
      <c r="C438" s="67" t="s">
        <v>1366</v>
      </c>
      <c r="D438" s="67" t="s">
        <v>356</v>
      </c>
      <c r="E438" s="67" t="s">
        <v>1368</v>
      </c>
      <c r="F438" s="67" t="s">
        <v>1462</v>
      </c>
      <c r="G438" s="69">
        <v>502</v>
      </c>
    </row>
    <row r="439" spans="1:7">
      <c r="A439" s="67" t="s">
        <v>1919</v>
      </c>
      <c r="B439" s="70">
        <v>46136</v>
      </c>
      <c r="C439" s="67" t="s">
        <v>1371</v>
      </c>
      <c r="D439" s="67" t="s">
        <v>1476</v>
      </c>
      <c r="E439" s="67" t="s">
        <v>1362</v>
      </c>
      <c r="F439" s="67" t="s">
        <v>1460</v>
      </c>
      <c r="G439" s="69">
        <v>28</v>
      </c>
    </row>
    <row r="440" spans="1:7">
      <c r="A440" s="67" t="s">
        <v>1920</v>
      </c>
      <c r="B440" s="70">
        <v>46136</v>
      </c>
      <c r="C440" s="67" t="s">
        <v>1371</v>
      </c>
      <c r="D440" s="67" t="s">
        <v>1551</v>
      </c>
      <c r="E440" s="67" t="s">
        <v>1362</v>
      </c>
      <c r="F440" s="67" t="s">
        <v>1462</v>
      </c>
      <c r="G440" s="69">
        <v>477</v>
      </c>
    </row>
    <row r="441" spans="1:7">
      <c r="A441" s="67" t="s">
        <v>1921</v>
      </c>
      <c r="B441" s="70">
        <v>46136</v>
      </c>
      <c r="C441" s="67" t="s">
        <v>1384</v>
      </c>
      <c r="D441" s="67" t="s">
        <v>1466</v>
      </c>
      <c r="E441" s="67" t="s">
        <v>1386</v>
      </c>
      <c r="F441" s="67" t="s">
        <v>1462</v>
      </c>
      <c r="G441" s="69">
        <v>376</v>
      </c>
    </row>
    <row r="442" spans="1:7">
      <c r="A442" s="67" t="s">
        <v>1922</v>
      </c>
      <c r="B442" s="70">
        <v>46136</v>
      </c>
      <c r="C442" s="67" t="s">
        <v>1389</v>
      </c>
      <c r="D442" s="67" t="s">
        <v>1469</v>
      </c>
      <c r="E442" s="67" t="s">
        <v>1470</v>
      </c>
      <c r="F442" s="67" t="s">
        <v>1462</v>
      </c>
      <c r="G442" s="69">
        <v>168</v>
      </c>
    </row>
    <row r="443" spans="1:7">
      <c r="A443" s="67" t="s">
        <v>1923</v>
      </c>
      <c r="B443" s="70">
        <v>46136</v>
      </c>
      <c r="C443" s="67" t="s">
        <v>1393</v>
      </c>
      <c r="D443" s="67" t="s">
        <v>1520</v>
      </c>
      <c r="E443" s="67" t="s">
        <v>1433</v>
      </c>
      <c r="F443" s="67" t="s">
        <v>1462</v>
      </c>
      <c r="G443" s="69">
        <v>506</v>
      </c>
    </row>
    <row r="444" spans="1:7">
      <c r="A444" s="67" t="s">
        <v>1924</v>
      </c>
      <c r="B444" s="70">
        <v>46136</v>
      </c>
      <c r="C444" s="67" t="s">
        <v>1399</v>
      </c>
      <c r="D444" s="67" t="s">
        <v>1551</v>
      </c>
      <c r="E444" s="67" t="s">
        <v>1362</v>
      </c>
      <c r="F444" s="67" t="s">
        <v>1462</v>
      </c>
      <c r="G444" s="69">
        <v>122</v>
      </c>
    </row>
    <row r="445" spans="1:7">
      <c r="A445" s="67" t="s">
        <v>1925</v>
      </c>
      <c r="B445" s="70">
        <v>46136</v>
      </c>
      <c r="C445" s="67" t="s">
        <v>1399</v>
      </c>
      <c r="D445" s="67" t="s">
        <v>1551</v>
      </c>
      <c r="E445" s="67" t="s">
        <v>1362</v>
      </c>
      <c r="F445" s="67" t="s">
        <v>1462</v>
      </c>
      <c r="G445" s="69">
        <v>485</v>
      </c>
    </row>
    <row r="446" spans="1:7">
      <c r="A446" s="67" t="s">
        <v>1926</v>
      </c>
      <c r="B446" s="70">
        <v>46136</v>
      </c>
      <c r="C446" s="67" t="s">
        <v>1401</v>
      </c>
      <c r="D446" s="67" t="s">
        <v>1602</v>
      </c>
      <c r="E446" s="67" t="s">
        <v>1386</v>
      </c>
      <c r="F446" s="67" t="s">
        <v>1462</v>
      </c>
      <c r="G446" s="69">
        <v>192</v>
      </c>
    </row>
    <row r="447" spans="1:7">
      <c r="A447" s="67" t="s">
        <v>1927</v>
      </c>
      <c r="B447" s="70">
        <v>46136</v>
      </c>
      <c r="C447" s="67" t="s">
        <v>1404</v>
      </c>
      <c r="D447" s="67" t="s">
        <v>358</v>
      </c>
      <c r="E447" s="67" t="s">
        <v>1368</v>
      </c>
      <c r="F447" s="67" t="s">
        <v>1460</v>
      </c>
      <c r="G447" s="69">
        <v>10</v>
      </c>
    </row>
    <row r="448" spans="1:7">
      <c r="A448" s="67" t="s">
        <v>1928</v>
      </c>
      <c r="B448" s="70">
        <v>46136</v>
      </c>
      <c r="C448" s="67" t="s">
        <v>1411</v>
      </c>
      <c r="D448" s="67" t="s">
        <v>1506</v>
      </c>
      <c r="E448" s="67" t="s">
        <v>1482</v>
      </c>
      <c r="F448" s="67" t="s">
        <v>1462</v>
      </c>
      <c r="G448" s="69">
        <v>441</v>
      </c>
    </row>
    <row r="449" spans="1:7">
      <c r="A449" s="67" t="s">
        <v>1929</v>
      </c>
      <c r="B449" s="70">
        <v>46136</v>
      </c>
      <c r="C449" s="67" t="s">
        <v>1423</v>
      </c>
      <c r="D449" s="67" t="s">
        <v>1930</v>
      </c>
      <c r="E449" s="67" t="s">
        <v>1410</v>
      </c>
      <c r="F449" s="67" t="s">
        <v>1462</v>
      </c>
      <c r="G449" s="69">
        <v>24</v>
      </c>
    </row>
    <row r="450" spans="1:7">
      <c r="A450" s="67" t="s">
        <v>1931</v>
      </c>
      <c r="B450" s="70">
        <v>46136</v>
      </c>
      <c r="C450" s="67" t="s">
        <v>1423</v>
      </c>
      <c r="D450" s="67" t="s">
        <v>365</v>
      </c>
      <c r="E450" s="67" t="s">
        <v>1368</v>
      </c>
      <c r="F450" s="67" t="s">
        <v>1462</v>
      </c>
      <c r="G450" s="69">
        <v>196</v>
      </c>
    </row>
    <row r="451" spans="1:7">
      <c r="A451" s="67" t="s">
        <v>1932</v>
      </c>
      <c r="B451" s="70">
        <v>46136</v>
      </c>
      <c r="C451" s="67" t="s">
        <v>1429</v>
      </c>
      <c r="D451" s="67" t="s">
        <v>353</v>
      </c>
      <c r="E451" s="67" t="s">
        <v>1368</v>
      </c>
      <c r="F451" s="67" t="s">
        <v>1462</v>
      </c>
      <c r="G451" s="69">
        <v>339</v>
      </c>
    </row>
    <row r="452" spans="1:7">
      <c r="A452" s="67" t="s">
        <v>1933</v>
      </c>
      <c r="B452" s="70">
        <v>46136</v>
      </c>
      <c r="C452" s="67" t="s">
        <v>1434</v>
      </c>
      <c r="D452" s="67" t="s">
        <v>363</v>
      </c>
      <c r="E452" s="67" t="s">
        <v>1368</v>
      </c>
      <c r="F452" s="67" t="s">
        <v>1462</v>
      </c>
      <c r="G452" s="69">
        <v>160</v>
      </c>
    </row>
    <row r="453" spans="1:7">
      <c r="A453" s="67" t="s">
        <v>1934</v>
      </c>
      <c r="B453" s="70">
        <v>46136</v>
      </c>
      <c r="C453" s="67" t="s">
        <v>1442</v>
      </c>
      <c r="D453" s="67" t="s">
        <v>1551</v>
      </c>
      <c r="E453" s="67" t="s">
        <v>1362</v>
      </c>
      <c r="F453" s="67" t="s">
        <v>1462</v>
      </c>
      <c r="G453" s="69">
        <v>515</v>
      </c>
    </row>
    <row r="454" spans="1:7">
      <c r="A454" s="67" t="s">
        <v>1935</v>
      </c>
      <c r="B454" s="70">
        <v>46137</v>
      </c>
      <c r="C454" s="67" t="s">
        <v>1366</v>
      </c>
      <c r="D454" s="67" t="s">
        <v>353</v>
      </c>
      <c r="E454" s="67" t="s">
        <v>1368</v>
      </c>
      <c r="F454" s="67" t="s">
        <v>1462</v>
      </c>
      <c r="G454" s="69">
        <v>562</v>
      </c>
    </row>
    <row r="455" spans="1:7">
      <c r="A455" s="67" t="s">
        <v>1936</v>
      </c>
      <c r="B455" s="70">
        <v>46137</v>
      </c>
      <c r="C455" s="67" t="s">
        <v>1366</v>
      </c>
      <c r="D455" s="67" t="s">
        <v>1484</v>
      </c>
      <c r="E455" s="67" t="s">
        <v>1470</v>
      </c>
      <c r="F455" s="67" t="s">
        <v>1462</v>
      </c>
      <c r="G455" s="69">
        <v>368</v>
      </c>
    </row>
    <row r="456" spans="1:7">
      <c r="A456" s="67" t="s">
        <v>1937</v>
      </c>
      <c r="B456" s="70">
        <v>46137</v>
      </c>
      <c r="C456" s="67" t="s">
        <v>1366</v>
      </c>
      <c r="D456" s="67" t="s">
        <v>358</v>
      </c>
      <c r="E456" s="67" t="s">
        <v>1368</v>
      </c>
      <c r="F456" s="67" t="s">
        <v>1462</v>
      </c>
      <c r="G456" s="69">
        <v>205</v>
      </c>
    </row>
    <row r="457" spans="1:7">
      <c r="A457" s="67" t="s">
        <v>1938</v>
      </c>
      <c r="B457" s="70">
        <v>46137</v>
      </c>
      <c r="C457" s="67" t="s">
        <v>1371</v>
      </c>
      <c r="D457" s="67" t="s">
        <v>1551</v>
      </c>
      <c r="E457" s="67" t="s">
        <v>1362</v>
      </c>
      <c r="F457" s="67" t="s">
        <v>1462</v>
      </c>
      <c r="G457" s="69">
        <v>220</v>
      </c>
    </row>
    <row r="458" spans="1:7">
      <c r="A458" s="67" t="s">
        <v>1939</v>
      </c>
      <c r="B458" s="70">
        <v>46137</v>
      </c>
      <c r="C458" s="67" t="s">
        <v>1381</v>
      </c>
      <c r="D458" s="67" t="s">
        <v>356</v>
      </c>
      <c r="E458" s="67" t="s">
        <v>1368</v>
      </c>
      <c r="F458" s="67" t="s">
        <v>1460</v>
      </c>
      <c r="G458" s="69">
        <v>27</v>
      </c>
    </row>
    <row r="459" spans="1:7">
      <c r="A459" s="67" t="s">
        <v>1940</v>
      </c>
      <c r="B459" s="70">
        <v>46137</v>
      </c>
      <c r="C459" s="67" t="s">
        <v>1381</v>
      </c>
      <c r="D459" s="67" t="s">
        <v>358</v>
      </c>
      <c r="E459" s="67" t="s">
        <v>1368</v>
      </c>
      <c r="F459" s="67" t="s">
        <v>1460</v>
      </c>
      <c r="G459" s="69">
        <v>20</v>
      </c>
    </row>
    <row r="460" spans="1:7">
      <c r="A460" s="67" t="s">
        <v>1941</v>
      </c>
      <c r="B460" s="70">
        <v>46137</v>
      </c>
      <c r="C460" s="67" t="s">
        <v>1389</v>
      </c>
      <c r="D460" s="67" t="s">
        <v>358</v>
      </c>
      <c r="E460" s="67" t="s">
        <v>1368</v>
      </c>
      <c r="F460" s="67" t="s">
        <v>1460</v>
      </c>
      <c r="G460" s="69">
        <v>18</v>
      </c>
    </row>
    <row r="461" spans="1:7">
      <c r="A461" s="67" t="s">
        <v>1942</v>
      </c>
      <c r="B461" s="70">
        <v>46137</v>
      </c>
      <c r="C461" s="67" t="s">
        <v>1399</v>
      </c>
      <c r="D461" s="67" t="s">
        <v>1476</v>
      </c>
      <c r="E461" s="67" t="s">
        <v>1362</v>
      </c>
      <c r="F461" s="67" t="s">
        <v>1460</v>
      </c>
      <c r="G461" s="69">
        <v>26</v>
      </c>
    </row>
    <row r="462" spans="1:7">
      <c r="A462" s="67" t="s">
        <v>1943</v>
      </c>
      <c r="B462" s="70">
        <v>46137</v>
      </c>
      <c r="C462" s="67" t="s">
        <v>1411</v>
      </c>
      <c r="D462" s="67" t="s">
        <v>356</v>
      </c>
      <c r="E462" s="67" t="s">
        <v>1368</v>
      </c>
      <c r="F462" s="67" t="s">
        <v>1460</v>
      </c>
      <c r="G462" s="69">
        <v>14</v>
      </c>
    </row>
    <row r="463" spans="1:7">
      <c r="A463" s="67" t="s">
        <v>1944</v>
      </c>
      <c r="B463" s="70">
        <v>46137</v>
      </c>
      <c r="C463" s="67" t="s">
        <v>1411</v>
      </c>
      <c r="D463" s="67" t="s">
        <v>1506</v>
      </c>
      <c r="E463" s="67" t="s">
        <v>1482</v>
      </c>
      <c r="F463" s="67" t="s">
        <v>1462</v>
      </c>
      <c r="G463" s="69">
        <v>150</v>
      </c>
    </row>
    <row r="464" spans="1:7">
      <c r="A464" s="67" t="s">
        <v>1945</v>
      </c>
      <c r="B464" s="70">
        <v>46137</v>
      </c>
      <c r="C464" s="67" t="s">
        <v>1411</v>
      </c>
      <c r="D464" s="67" t="s">
        <v>1481</v>
      </c>
      <c r="E464" s="67" t="s">
        <v>1482</v>
      </c>
      <c r="F464" s="67" t="s">
        <v>1462</v>
      </c>
      <c r="G464" s="69">
        <v>71</v>
      </c>
    </row>
    <row r="465" spans="1:7">
      <c r="A465" s="67" t="s">
        <v>1946</v>
      </c>
      <c r="B465" s="70">
        <v>46137</v>
      </c>
      <c r="C465" s="67" t="s">
        <v>1414</v>
      </c>
      <c r="D465" s="67" t="s">
        <v>1511</v>
      </c>
      <c r="E465" s="67" t="s">
        <v>1470</v>
      </c>
      <c r="F465" s="67" t="s">
        <v>1462</v>
      </c>
      <c r="G465" s="69">
        <v>594</v>
      </c>
    </row>
    <row r="466" spans="1:7">
      <c r="A466" s="67" t="s">
        <v>1947</v>
      </c>
      <c r="B466" s="70">
        <v>46137</v>
      </c>
      <c r="C466" s="67" t="s">
        <v>1414</v>
      </c>
      <c r="D466" s="67" t="s">
        <v>1511</v>
      </c>
      <c r="E466" s="67" t="s">
        <v>1470</v>
      </c>
      <c r="F466" s="67" t="s">
        <v>1488</v>
      </c>
      <c r="G466" s="69">
        <v>10</v>
      </c>
    </row>
    <row r="467" spans="1:7">
      <c r="A467" s="67" t="s">
        <v>1948</v>
      </c>
      <c r="B467" s="70">
        <v>46137</v>
      </c>
      <c r="C467" s="67" t="s">
        <v>1414</v>
      </c>
      <c r="D467" s="67" t="s">
        <v>1511</v>
      </c>
      <c r="E467" s="67" t="s">
        <v>1470</v>
      </c>
      <c r="F467" s="67" t="s">
        <v>1462</v>
      </c>
      <c r="G467" s="69">
        <v>284</v>
      </c>
    </row>
    <row r="468" spans="1:7">
      <c r="A468" s="67" t="s">
        <v>1949</v>
      </c>
      <c r="B468" s="70">
        <v>46137</v>
      </c>
      <c r="C468" s="67" t="s">
        <v>1419</v>
      </c>
      <c r="D468" s="67" t="s">
        <v>1459</v>
      </c>
      <c r="E468" s="67" t="s">
        <v>1362</v>
      </c>
      <c r="F468" s="67" t="s">
        <v>1462</v>
      </c>
      <c r="G468" s="69">
        <v>443</v>
      </c>
    </row>
    <row r="469" spans="1:7">
      <c r="A469" s="67" t="s">
        <v>1950</v>
      </c>
      <c r="B469" s="70">
        <v>46137</v>
      </c>
      <c r="C469" s="67" t="s">
        <v>1423</v>
      </c>
      <c r="D469" s="67" t="s">
        <v>356</v>
      </c>
      <c r="E469" s="67" t="s">
        <v>1368</v>
      </c>
      <c r="F469" s="67" t="s">
        <v>1462</v>
      </c>
      <c r="G469" s="69">
        <v>271</v>
      </c>
    </row>
    <row r="470" spans="1:7">
      <c r="A470" s="67" t="s">
        <v>1951</v>
      </c>
      <c r="B470" s="70">
        <v>46137</v>
      </c>
      <c r="C470" s="67" t="s">
        <v>1425</v>
      </c>
      <c r="D470" s="67" t="s">
        <v>1551</v>
      </c>
      <c r="E470" s="67" t="s">
        <v>1362</v>
      </c>
      <c r="F470" s="67" t="s">
        <v>1460</v>
      </c>
      <c r="G470" s="69">
        <v>24</v>
      </c>
    </row>
    <row r="471" spans="1:7">
      <c r="A471" s="67" t="s">
        <v>1952</v>
      </c>
      <c r="B471" s="70">
        <v>46137</v>
      </c>
      <c r="C471" s="67" t="s">
        <v>1429</v>
      </c>
      <c r="D471" s="67" t="s">
        <v>356</v>
      </c>
      <c r="E471" s="67" t="s">
        <v>1368</v>
      </c>
      <c r="F471" s="67" t="s">
        <v>1460</v>
      </c>
      <c r="G471" s="69">
        <v>15</v>
      </c>
    </row>
    <row r="472" spans="1:7">
      <c r="A472" s="67" t="s">
        <v>1953</v>
      </c>
      <c r="B472" s="70">
        <v>46137</v>
      </c>
      <c r="C472" s="67" t="s">
        <v>1444</v>
      </c>
      <c r="D472" s="67" t="s">
        <v>365</v>
      </c>
      <c r="E472" s="67" t="s">
        <v>1368</v>
      </c>
      <c r="F472" s="67" t="s">
        <v>1462</v>
      </c>
      <c r="G472" s="69">
        <v>381</v>
      </c>
    </row>
    <row r="473" spans="1:7">
      <c r="A473" s="67" t="s">
        <v>1954</v>
      </c>
      <c r="B473" s="70">
        <v>46137</v>
      </c>
      <c r="C473" s="67" t="s">
        <v>1444</v>
      </c>
      <c r="D473" s="67" t="s">
        <v>1476</v>
      </c>
      <c r="E473" s="67" t="s">
        <v>1362</v>
      </c>
      <c r="F473" s="67" t="s">
        <v>1460</v>
      </c>
      <c r="G473" s="69">
        <v>30</v>
      </c>
    </row>
    <row r="474" spans="1:7">
      <c r="A474" s="67" t="s">
        <v>1955</v>
      </c>
      <c r="B474" s="70">
        <v>46137</v>
      </c>
      <c r="C474" s="67" t="s">
        <v>1446</v>
      </c>
      <c r="D474" s="67" t="s">
        <v>1459</v>
      </c>
      <c r="E474" s="67" t="s">
        <v>1362</v>
      </c>
      <c r="F474" s="67" t="s">
        <v>1462</v>
      </c>
      <c r="G474" s="69">
        <v>220</v>
      </c>
    </row>
    <row r="475" spans="1:7">
      <c r="A475" s="67" t="s">
        <v>1956</v>
      </c>
      <c r="B475" s="70">
        <v>46137</v>
      </c>
      <c r="C475" s="67" t="s">
        <v>1446</v>
      </c>
      <c r="D475" s="67" t="s">
        <v>1459</v>
      </c>
      <c r="E475" s="67" t="s">
        <v>1362</v>
      </c>
      <c r="F475" s="67" t="s">
        <v>1462</v>
      </c>
      <c r="G475" s="69">
        <v>64</v>
      </c>
    </row>
    <row r="476" spans="1:7">
      <c r="A476" s="67" t="s">
        <v>1957</v>
      </c>
      <c r="B476" s="70">
        <v>46138</v>
      </c>
      <c r="C476" s="67" t="s">
        <v>1359</v>
      </c>
      <c r="D476" s="67" t="s">
        <v>1551</v>
      </c>
      <c r="E476" s="67" t="s">
        <v>1362</v>
      </c>
      <c r="F476" s="67" t="s">
        <v>1462</v>
      </c>
      <c r="G476" s="69">
        <v>306</v>
      </c>
    </row>
    <row r="477" spans="1:7">
      <c r="A477" s="67" t="s">
        <v>1958</v>
      </c>
      <c r="B477" s="70">
        <v>46138</v>
      </c>
      <c r="C477" s="67" t="s">
        <v>1366</v>
      </c>
      <c r="D477" s="67" t="s">
        <v>1511</v>
      </c>
      <c r="E477" s="67" t="s">
        <v>1470</v>
      </c>
      <c r="F477" s="67" t="s">
        <v>1462</v>
      </c>
      <c r="G477" s="69">
        <v>492</v>
      </c>
    </row>
    <row r="478" spans="1:7">
      <c r="A478" s="67" t="s">
        <v>1959</v>
      </c>
      <c r="B478" s="70">
        <v>46138</v>
      </c>
      <c r="C478" s="67" t="s">
        <v>1366</v>
      </c>
      <c r="D478" s="67" t="s">
        <v>369</v>
      </c>
      <c r="E478" s="67" t="s">
        <v>1368</v>
      </c>
      <c r="F478" s="67" t="s">
        <v>1488</v>
      </c>
      <c r="G478" s="69">
        <v>5</v>
      </c>
    </row>
    <row r="479" spans="1:7">
      <c r="A479" s="67" t="s">
        <v>1960</v>
      </c>
      <c r="B479" s="70">
        <v>46138</v>
      </c>
      <c r="C479" s="67" t="s">
        <v>1371</v>
      </c>
      <c r="D479" s="67" t="s">
        <v>356</v>
      </c>
      <c r="E479" s="67" t="s">
        <v>1368</v>
      </c>
      <c r="F479" s="67" t="s">
        <v>1460</v>
      </c>
      <c r="G479" s="69">
        <v>27</v>
      </c>
    </row>
    <row r="480" spans="1:7">
      <c r="A480" s="67" t="s">
        <v>1961</v>
      </c>
      <c r="B480" s="70">
        <v>46138</v>
      </c>
      <c r="C480" s="67" t="s">
        <v>1371</v>
      </c>
      <c r="D480" s="67" t="s">
        <v>1551</v>
      </c>
      <c r="E480" s="67" t="s">
        <v>1362</v>
      </c>
      <c r="F480" s="67" t="s">
        <v>1462</v>
      </c>
      <c r="G480" s="69">
        <v>489</v>
      </c>
    </row>
    <row r="481" spans="1:7">
      <c r="A481" s="67" t="s">
        <v>1962</v>
      </c>
      <c r="B481" s="70">
        <v>46138</v>
      </c>
      <c r="C481" s="67" t="s">
        <v>1371</v>
      </c>
      <c r="D481" s="67" t="s">
        <v>1459</v>
      </c>
      <c r="E481" s="67" t="s">
        <v>1362</v>
      </c>
      <c r="F481" s="67" t="s">
        <v>1462</v>
      </c>
      <c r="G481" s="69">
        <v>50</v>
      </c>
    </row>
    <row r="482" spans="1:7">
      <c r="A482" s="67" t="s">
        <v>1963</v>
      </c>
      <c r="B482" s="70">
        <v>46138</v>
      </c>
      <c r="C482" s="67" t="s">
        <v>1381</v>
      </c>
      <c r="D482" s="67" t="s">
        <v>353</v>
      </c>
      <c r="E482" s="67" t="s">
        <v>1368</v>
      </c>
      <c r="F482" s="67" t="s">
        <v>1462</v>
      </c>
      <c r="G482" s="69">
        <v>48</v>
      </c>
    </row>
    <row r="483" spans="1:7">
      <c r="A483" s="67" t="s">
        <v>1964</v>
      </c>
      <c r="B483" s="70">
        <v>46138</v>
      </c>
      <c r="C483" s="67" t="s">
        <v>1381</v>
      </c>
      <c r="D483" s="67" t="s">
        <v>356</v>
      </c>
      <c r="E483" s="67" t="s">
        <v>1368</v>
      </c>
      <c r="F483" s="67" t="s">
        <v>1460</v>
      </c>
      <c r="G483" s="69">
        <v>30</v>
      </c>
    </row>
    <row r="484" spans="1:7">
      <c r="A484" s="67" t="s">
        <v>1965</v>
      </c>
      <c r="B484" s="70">
        <v>46138</v>
      </c>
      <c r="C484" s="67" t="s">
        <v>1381</v>
      </c>
      <c r="D484" s="67" t="s">
        <v>369</v>
      </c>
      <c r="E484" s="67" t="s">
        <v>1368</v>
      </c>
      <c r="F484" s="67" t="s">
        <v>1462</v>
      </c>
      <c r="G484" s="69">
        <v>154</v>
      </c>
    </row>
    <row r="485" spans="1:7">
      <c r="A485" s="67" t="s">
        <v>1966</v>
      </c>
      <c r="B485" s="70">
        <v>46138</v>
      </c>
      <c r="C485" s="67" t="s">
        <v>1381</v>
      </c>
      <c r="D485" s="67" t="s">
        <v>1551</v>
      </c>
      <c r="E485" s="67" t="s">
        <v>1362</v>
      </c>
      <c r="F485" s="67" t="s">
        <v>1462</v>
      </c>
      <c r="G485" s="69">
        <v>225</v>
      </c>
    </row>
    <row r="486" spans="1:7">
      <c r="A486" s="67" t="s">
        <v>1967</v>
      </c>
      <c r="B486" s="70">
        <v>46138</v>
      </c>
      <c r="C486" s="67" t="s">
        <v>1389</v>
      </c>
      <c r="D486" s="67" t="s">
        <v>353</v>
      </c>
      <c r="E486" s="67" t="s">
        <v>1368</v>
      </c>
      <c r="F486" s="67" t="s">
        <v>1462</v>
      </c>
      <c r="G486" s="69">
        <v>379</v>
      </c>
    </row>
    <row r="487" spans="1:7">
      <c r="A487" s="67" t="s">
        <v>1968</v>
      </c>
      <c r="B487" s="70">
        <v>46138</v>
      </c>
      <c r="C487" s="67" t="s">
        <v>1391</v>
      </c>
      <c r="D487" s="67" t="s">
        <v>1582</v>
      </c>
      <c r="E487" s="67" t="s">
        <v>5</v>
      </c>
      <c r="F487" s="67" t="s">
        <v>1462</v>
      </c>
      <c r="G487" s="69">
        <v>428</v>
      </c>
    </row>
    <row r="488" spans="1:7">
      <c r="A488" s="67" t="s">
        <v>1969</v>
      </c>
      <c r="B488" s="70">
        <v>46138</v>
      </c>
      <c r="C488" s="67" t="s">
        <v>1393</v>
      </c>
      <c r="D488" s="67" t="s">
        <v>353</v>
      </c>
      <c r="E488" s="67" t="s">
        <v>1368</v>
      </c>
      <c r="F488" s="67" t="s">
        <v>1462</v>
      </c>
      <c r="G488" s="69">
        <v>161</v>
      </c>
    </row>
    <row r="489" spans="1:7">
      <c r="A489" s="67" t="s">
        <v>1970</v>
      </c>
      <c r="B489" s="70">
        <v>46138</v>
      </c>
      <c r="C489" s="67" t="s">
        <v>1393</v>
      </c>
      <c r="D489" s="67" t="s">
        <v>353</v>
      </c>
      <c r="E489" s="67" t="s">
        <v>1368</v>
      </c>
      <c r="F489" s="67" t="s">
        <v>1462</v>
      </c>
      <c r="G489" s="69">
        <v>368</v>
      </c>
    </row>
    <row r="490" spans="1:7">
      <c r="A490" s="67" t="s">
        <v>1971</v>
      </c>
      <c r="B490" s="70">
        <v>46138</v>
      </c>
      <c r="C490" s="67" t="s">
        <v>1393</v>
      </c>
      <c r="D490" s="67" t="s">
        <v>356</v>
      </c>
      <c r="E490" s="67" t="s">
        <v>1368</v>
      </c>
      <c r="F490" s="67" t="s">
        <v>1462</v>
      </c>
      <c r="G490" s="69">
        <v>217</v>
      </c>
    </row>
    <row r="491" spans="1:7">
      <c r="A491" s="67" t="s">
        <v>1972</v>
      </c>
      <c r="B491" s="70">
        <v>46138</v>
      </c>
      <c r="C491" s="67" t="s">
        <v>1399</v>
      </c>
      <c r="D491" s="67" t="s">
        <v>1466</v>
      </c>
      <c r="E491" s="67" t="s">
        <v>1386</v>
      </c>
      <c r="F491" s="67" t="s">
        <v>1462</v>
      </c>
      <c r="G491" s="69">
        <v>459</v>
      </c>
    </row>
    <row r="492" spans="1:7">
      <c r="A492" s="67" t="s">
        <v>1973</v>
      </c>
      <c r="B492" s="70">
        <v>46138</v>
      </c>
      <c r="C492" s="67" t="s">
        <v>1401</v>
      </c>
      <c r="D492" s="67" t="s">
        <v>1459</v>
      </c>
      <c r="E492" s="67" t="s">
        <v>1362</v>
      </c>
      <c r="F492" s="67" t="s">
        <v>1462</v>
      </c>
      <c r="G492" s="69">
        <v>207</v>
      </c>
    </row>
    <row r="493" spans="1:7">
      <c r="A493" s="67" t="s">
        <v>1974</v>
      </c>
      <c r="B493" s="70">
        <v>46138</v>
      </c>
      <c r="C493" s="67" t="s">
        <v>1404</v>
      </c>
      <c r="D493" s="67" t="s">
        <v>353</v>
      </c>
      <c r="E493" s="67" t="s">
        <v>1368</v>
      </c>
      <c r="F493" s="67" t="s">
        <v>1460</v>
      </c>
      <c r="G493" s="69">
        <v>29</v>
      </c>
    </row>
    <row r="494" spans="1:7">
      <c r="A494" s="67" t="s">
        <v>1975</v>
      </c>
      <c r="B494" s="70">
        <v>46138</v>
      </c>
      <c r="C494" s="67" t="s">
        <v>1404</v>
      </c>
      <c r="D494" s="67" t="s">
        <v>1511</v>
      </c>
      <c r="E494" s="67" t="s">
        <v>1470</v>
      </c>
      <c r="F494" s="67" t="s">
        <v>1462</v>
      </c>
      <c r="G494" s="69">
        <v>540</v>
      </c>
    </row>
    <row r="495" spans="1:7">
      <c r="A495" s="67" t="s">
        <v>1976</v>
      </c>
      <c r="B495" s="70">
        <v>46138</v>
      </c>
      <c r="C495" s="67" t="s">
        <v>1404</v>
      </c>
      <c r="D495" s="67" t="s">
        <v>1484</v>
      </c>
      <c r="E495" s="67" t="s">
        <v>1470</v>
      </c>
      <c r="F495" s="67" t="s">
        <v>1462</v>
      </c>
      <c r="G495" s="69">
        <v>392</v>
      </c>
    </row>
    <row r="496" spans="1:7">
      <c r="A496" s="67" t="s">
        <v>1977</v>
      </c>
      <c r="B496" s="70">
        <v>46138</v>
      </c>
      <c r="C496" s="67" t="s">
        <v>1406</v>
      </c>
      <c r="D496" s="67" t="s">
        <v>1511</v>
      </c>
      <c r="E496" s="67" t="s">
        <v>1470</v>
      </c>
      <c r="F496" s="67" t="s">
        <v>1460</v>
      </c>
      <c r="G496" s="69">
        <v>20</v>
      </c>
    </row>
    <row r="497" spans="1:7">
      <c r="A497" s="67" t="s">
        <v>1978</v>
      </c>
      <c r="B497" s="70">
        <v>46138</v>
      </c>
      <c r="C497" s="67" t="s">
        <v>1411</v>
      </c>
      <c r="D497" s="67" t="s">
        <v>1506</v>
      </c>
      <c r="E497" s="67" t="s">
        <v>1482</v>
      </c>
      <c r="F497" s="67" t="s">
        <v>1462</v>
      </c>
      <c r="G497" s="69">
        <v>233</v>
      </c>
    </row>
    <row r="498" spans="1:7">
      <c r="A498" s="67" t="s">
        <v>1979</v>
      </c>
      <c r="B498" s="70">
        <v>46138</v>
      </c>
      <c r="C498" s="67" t="s">
        <v>1411</v>
      </c>
      <c r="D498" s="67" t="s">
        <v>1506</v>
      </c>
      <c r="E498" s="67" t="s">
        <v>1482</v>
      </c>
      <c r="F498" s="67" t="s">
        <v>1460</v>
      </c>
      <c r="G498" s="69">
        <v>7</v>
      </c>
    </row>
    <row r="499" spans="1:7">
      <c r="A499" s="67" t="s">
        <v>1980</v>
      </c>
      <c r="B499" s="70">
        <v>46138</v>
      </c>
      <c r="C499" s="67" t="s">
        <v>1411</v>
      </c>
      <c r="D499" s="67" t="s">
        <v>1506</v>
      </c>
      <c r="E499" s="67" t="s">
        <v>1482</v>
      </c>
      <c r="F499" s="67" t="s">
        <v>1462</v>
      </c>
      <c r="G499" s="69">
        <v>261</v>
      </c>
    </row>
    <row r="500" spans="1:7">
      <c r="A500" s="67" t="s">
        <v>1981</v>
      </c>
      <c r="B500" s="70">
        <v>46138</v>
      </c>
      <c r="C500" s="67" t="s">
        <v>1411</v>
      </c>
      <c r="D500" s="67" t="s">
        <v>1506</v>
      </c>
      <c r="E500" s="67" t="s">
        <v>1482</v>
      </c>
      <c r="F500" s="67" t="s">
        <v>1462</v>
      </c>
      <c r="G500" s="69">
        <v>225</v>
      </c>
    </row>
    <row r="501" spans="1:7">
      <c r="A501" s="67" t="s">
        <v>1982</v>
      </c>
      <c r="B501" s="70">
        <v>46138</v>
      </c>
      <c r="C501" s="67" t="s">
        <v>1411</v>
      </c>
      <c r="D501" s="67" t="s">
        <v>1481</v>
      </c>
      <c r="E501" s="67" t="s">
        <v>1482</v>
      </c>
      <c r="F501" s="67" t="s">
        <v>1460</v>
      </c>
      <c r="G501" s="69">
        <v>9</v>
      </c>
    </row>
    <row r="502" spans="1:7">
      <c r="A502" s="67" t="s">
        <v>1983</v>
      </c>
      <c r="B502" s="70">
        <v>46138</v>
      </c>
      <c r="C502" s="67" t="s">
        <v>1411</v>
      </c>
      <c r="D502" s="67" t="s">
        <v>1481</v>
      </c>
      <c r="E502" s="67" t="s">
        <v>1482</v>
      </c>
      <c r="F502" s="67" t="s">
        <v>1462</v>
      </c>
      <c r="G502" s="69">
        <v>246</v>
      </c>
    </row>
    <row r="503" spans="1:7">
      <c r="A503" s="67" t="s">
        <v>1984</v>
      </c>
      <c r="B503" s="70">
        <v>46138</v>
      </c>
      <c r="C503" s="67" t="s">
        <v>1414</v>
      </c>
      <c r="D503" s="67" t="s">
        <v>1484</v>
      </c>
      <c r="E503" s="67" t="s">
        <v>1470</v>
      </c>
      <c r="F503" s="67" t="s">
        <v>1462</v>
      </c>
      <c r="G503" s="69">
        <v>58</v>
      </c>
    </row>
    <row r="504" spans="1:7">
      <c r="A504" s="67" t="s">
        <v>1985</v>
      </c>
      <c r="B504" s="70">
        <v>46138</v>
      </c>
      <c r="C504" s="67" t="s">
        <v>1414</v>
      </c>
      <c r="D504" s="67" t="s">
        <v>1469</v>
      </c>
      <c r="E504" s="67" t="s">
        <v>1470</v>
      </c>
      <c r="F504" s="67" t="s">
        <v>1462</v>
      </c>
      <c r="G504" s="69">
        <v>579</v>
      </c>
    </row>
    <row r="505" spans="1:7">
      <c r="A505" s="67" t="s">
        <v>1986</v>
      </c>
      <c r="B505" s="70">
        <v>46138</v>
      </c>
      <c r="C505" s="67" t="s">
        <v>1419</v>
      </c>
      <c r="D505" s="67" t="s">
        <v>1484</v>
      </c>
      <c r="E505" s="67" t="s">
        <v>1470</v>
      </c>
      <c r="F505" s="67" t="s">
        <v>1462</v>
      </c>
      <c r="G505" s="69">
        <v>111</v>
      </c>
    </row>
    <row r="506" spans="1:7">
      <c r="A506" s="67" t="s">
        <v>1987</v>
      </c>
      <c r="B506" s="70">
        <v>46138</v>
      </c>
      <c r="C506" s="67" t="s">
        <v>1419</v>
      </c>
      <c r="D506" s="67" t="s">
        <v>1476</v>
      </c>
      <c r="E506" s="67" t="s">
        <v>1362</v>
      </c>
      <c r="F506" s="67" t="s">
        <v>1462</v>
      </c>
      <c r="G506" s="69">
        <v>150</v>
      </c>
    </row>
    <row r="507" spans="1:7">
      <c r="A507" s="67" t="s">
        <v>1988</v>
      </c>
      <c r="B507" s="70">
        <v>46138</v>
      </c>
      <c r="C507" s="67" t="s">
        <v>1423</v>
      </c>
      <c r="D507" s="67" t="s">
        <v>1515</v>
      </c>
      <c r="E507" s="67" t="s">
        <v>1410</v>
      </c>
      <c r="F507" s="67" t="s">
        <v>1462</v>
      </c>
      <c r="G507" s="69">
        <v>325</v>
      </c>
    </row>
    <row r="508" spans="1:7">
      <c r="A508" s="67" t="s">
        <v>1989</v>
      </c>
      <c r="B508" s="70">
        <v>46138</v>
      </c>
      <c r="C508" s="67" t="s">
        <v>1438</v>
      </c>
      <c r="D508" s="67" t="s">
        <v>1551</v>
      </c>
      <c r="E508" s="67" t="s">
        <v>1362</v>
      </c>
      <c r="F508" s="67" t="s">
        <v>1462</v>
      </c>
      <c r="G508" s="69">
        <v>157</v>
      </c>
    </row>
    <row r="509" spans="1:7">
      <c r="A509" s="67" t="s">
        <v>1990</v>
      </c>
      <c r="B509" s="70">
        <v>46138</v>
      </c>
      <c r="C509" s="67" t="s">
        <v>1442</v>
      </c>
      <c r="D509" s="67" t="s">
        <v>1476</v>
      </c>
      <c r="E509" s="67" t="s">
        <v>1362</v>
      </c>
      <c r="F509" s="67" t="s">
        <v>1460</v>
      </c>
      <c r="G509" s="69">
        <v>28</v>
      </c>
    </row>
    <row r="510" spans="1:7">
      <c r="A510" s="67" t="s">
        <v>1991</v>
      </c>
      <c r="B510" s="70">
        <v>46138</v>
      </c>
      <c r="C510" s="67" t="s">
        <v>1444</v>
      </c>
      <c r="D510" s="67" t="s">
        <v>1476</v>
      </c>
      <c r="E510" s="67" t="s">
        <v>1362</v>
      </c>
      <c r="F510" s="67" t="s">
        <v>1462</v>
      </c>
      <c r="G510" s="69">
        <v>458</v>
      </c>
    </row>
    <row r="511" spans="1:7">
      <c r="A511" s="67" t="s">
        <v>1992</v>
      </c>
      <c r="B511" s="70">
        <v>46138</v>
      </c>
      <c r="C511" s="67" t="s">
        <v>1444</v>
      </c>
      <c r="D511" s="67" t="s">
        <v>1551</v>
      </c>
      <c r="E511" s="67" t="s">
        <v>1362</v>
      </c>
      <c r="F511" s="67" t="s">
        <v>1462</v>
      </c>
      <c r="G511" s="69">
        <v>93</v>
      </c>
    </row>
    <row r="512" spans="1:7">
      <c r="A512" s="67" t="s">
        <v>1993</v>
      </c>
      <c r="B512" s="70">
        <v>46139</v>
      </c>
      <c r="C512" s="67" t="s">
        <v>1359</v>
      </c>
      <c r="D512" s="67" t="s">
        <v>365</v>
      </c>
      <c r="E512" s="67" t="s">
        <v>1368</v>
      </c>
      <c r="F512" s="67" t="s">
        <v>1462</v>
      </c>
      <c r="G512" s="69">
        <v>376</v>
      </c>
    </row>
    <row r="513" spans="1:7">
      <c r="A513" s="67" t="s">
        <v>1994</v>
      </c>
      <c r="B513" s="70">
        <v>46139</v>
      </c>
      <c r="C513" s="67" t="s">
        <v>1359</v>
      </c>
      <c r="D513" s="67" t="s">
        <v>367</v>
      </c>
      <c r="E513" s="67" t="s">
        <v>1368</v>
      </c>
      <c r="F513" s="67" t="s">
        <v>1462</v>
      </c>
      <c r="G513" s="69">
        <v>584</v>
      </c>
    </row>
    <row r="514" spans="1:7">
      <c r="A514" s="67" t="s">
        <v>1995</v>
      </c>
      <c r="B514" s="70">
        <v>46139</v>
      </c>
      <c r="C514" s="67" t="s">
        <v>1359</v>
      </c>
      <c r="D514" s="67" t="s">
        <v>1551</v>
      </c>
      <c r="E514" s="67" t="s">
        <v>1362</v>
      </c>
      <c r="F514" s="67" t="s">
        <v>1462</v>
      </c>
      <c r="G514" s="69">
        <v>419</v>
      </c>
    </row>
    <row r="515" spans="1:7">
      <c r="A515" s="67" t="s">
        <v>1996</v>
      </c>
      <c r="B515" s="70">
        <v>46139</v>
      </c>
      <c r="C515" s="67" t="s">
        <v>1359</v>
      </c>
      <c r="D515" s="67" t="s">
        <v>1551</v>
      </c>
      <c r="E515" s="67" t="s">
        <v>1362</v>
      </c>
      <c r="F515" s="67" t="s">
        <v>1462</v>
      </c>
      <c r="G515" s="69">
        <v>399</v>
      </c>
    </row>
    <row r="516" spans="1:7">
      <c r="A516" s="67" t="s">
        <v>1997</v>
      </c>
      <c r="B516" s="70">
        <v>46139</v>
      </c>
      <c r="C516" s="67" t="s">
        <v>1359</v>
      </c>
      <c r="D516" s="67" t="s">
        <v>1459</v>
      </c>
      <c r="E516" s="67" t="s">
        <v>1362</v>
      </c>
      <c r="F516" s="67" t="s">
        <v>1460</v>
      </c>
      <c r="G516" s="69">
        <v>16</v>
      </c>
    </row>
    <row r="517" spans="1:7">
      <c r="A517" s="67" t="s">
        <v>1998</v>
      </c>
      <c r="B517" s="70">
        <v>46139</v>
      </c>
      <c r="C517" s="67" t="s">
        <v>1359</v>
      </c>
      <c r="D517" s="67" t="s">
        <v>358</v>
      </c>
      <c r="E517" s="67" t="s">
        <v>1368</v>
      </c>
      <c r="F517" s="67" t="s">
        <v>1462</v>
      </c>
      <c r="G517" s="69">
        <v>201</v>
      </c>
    </row>
    <row r="518" spans="1:7">
      <c r="A518" s="67" t="s">
        <v>1999</v>
      </c>
      <c r="B518" s="70">
        <v>46139</v>
      </c>
      <c r="C518" s="67" t="s">
        <v>1371</v>
      </c>
      <c r="D518" s="67" t="s">
        <v>1459</v>
      </c>
      <c r="E518" s="67" t="s">
        <v>1362</v>
      </c>
      <c r="F518" s="67" t="s">
        <v>1462</v>
      </c>
      <c r="G518" s="69">
        <v>277</v>
      </c>
    </row>
    <row r="519" spans="1:7">
      <c r="A519" s="67" t="s">
        <v>2000</v>
      </c>
      <c r="B519" s="70">
        <v>46139</v>
      </c>
      <c r="C519" s="67" t="s">
        <v>1371</v>
      </c>
      <c r="D519" s="67" t="s">
        <v>1459</v>
      </c>
      <c r="E519" s="67" t="s">
        <v>1362</v>
      </c>
      <c r="F519" s="67" t="s">
        <v>1462</v>
      </c>
      <c r="G519" s="69">
        <v>224</v>
      </c>
    </row>
    <row r="520" spans="1:7">
      <c r="A520" s="67" t="s">
        <v>2001</v>
      </c>
      <c r="B520" s="70">
        <v>46139</v>
      </c>
      <c r="C520" s="67" t="s">
        <v>1381</v>
      </c>
      <c r="D520" s="67" t="s">
        <v>353</v>
      </c>
      <c r="E520" s="67" t="s">
        <v>1368</v>
      </c>
      <c r="F520" s="67" t="s">
        <v>1462</v>
      </c>
      <c r="G520" s="69">
        <v>469</v>
      </c>
    </row>
    <row r="521" spans="1:7">
      <c r="A521" s="67" t="s">
        <v>2002</v>
      </c>
      <c r="B521" s="70">
        <v>46139</v>
      </c>
      <c r="C521" s="67" t="s">
        <v>1384</v>
      </c>
      <c r="D521" s="67" t="s">
        <v>1466</v>
      </c>
      <c r="E521" s="67" t="s">
        <v>1386</v>
      </c>
      <c r="F521" s="67" t="s">
        <v>1462</v>
      </c>
      <c r="G521" s="69">
        <v>380</v>
      </c>
    </row>
    <row r="522" spans="1:7">
      <c r="A522" s="67" t="s">
        <v>2003</v>
      </c>
      <c r="B522" s="70">
        <v>46139</v>
      </c>
      <c r="C522" s="67" t="s">
        <v>1389</v>
      </c>
      <c r="D522" s="67" t="s">
        <v>356</v>
      </c>
      <c r="E522" s="67" t="s">
        <v>1368</v>
      </c>
      <c r="F522" s="67" t="s">
        <v>1462</v>
      </c>
      <c r="G522" s="69">
        <v>115</v>
      </c>
    </row>
    <row r="523" spans="1:7">
      <c r="A523" s="67" t="s">
        <v>2004</v>
      </c>
      <c r="B523" s="70">
        <v>46139</v>
      </c>
      <c r="C523" s="67" t="s">
        <v>1391</v>
      </c>
      <c r="D523" s="67" t="s">
        <v>2005</v>
      </c>
      <c r="E523" s="67" t="s">
        <v>5</v>
      </c>
      <c r="F523" s="67" t="s">
        <v>1462</v>
      </c>
      <c r="G523" s="69">
        <v>501</v>
      </c>
    </row>
    <row r="524" spans="1:7">
      <c r="A524" s="67" t="s">
        <v>2006</v>
      </c>
      <c r="B524" s="70">
        <v>46139</v>
      </c>
      <c r="C524" s="67" t="s">
        <v>1393</v>
      </c>
      <c r="D524" s="67" t="s">
        <v>369</v>
      </c>
      <c r="E524" s="67" t="s">
        <v>1368</v>
      </c>
      <c r="F524" s="67" t="s">
        <v>1462</v>
      </c>
      <c r="G524" s="69">
        <v>329</v>
      </c>
    </row>
    <row r="525" spans="1:7">
      <c r="A525" s="67" t="s">
        <v>2007</v>
      </c>
      <c r="B525" s="70">
        <v>46139</v>
      </c>
      <c r="C525" s="67" t="s">
        <v>1399</v>
      </c>
      <c r="D525" s="67" t="s">
        <v>1466</v>
      </c>
      <c r="E525" s="67" t="s">
        <v>1386</v>
      </c>
      <c r="F525" s="67" t="s">
        <v>1462</v>
      </c>
      <c r="G525" s="69">
        <v>411</v>
      </c>
    </row>
    <row r="526" spans="1:7">
      <c r="A526" s="67" t="s">
        <v>2008</v>
      </c>
      <c r="B526" s="70">
        <v>46139</v>
      </c>
      <c r="C526" s="67" t="s">
        <v>1404</v>
      </c>
      <c r="D526" s="67" t="s">
        <v>369</v>
      </c>
      <c r="E526" s="67" t="s">
        <v>1368</v>
      </c>
      <c r="F526" s="67" t="s">
        <v>1462</v>
      </c>
      <c r="G526" s="69">
        <v>131</v>
      </c>
    </row>
    <row r="527" spans="1:7">
      <c r="A527" s="67" t="s">
        <v>2009</v>
      </c>
      <c r="B527" s="70">
        <v>46139</v>
      </c>
      <c r="C527" s="67" t="s">
        <v>1406</v>
      </c>
      <c r="D527" s="67" t="s">
        <v>353</v>
      </c>
      <c r="E527" s="67" t="s">
        <v>1368</v>
      </c>
      <c r="F527" s="67" t="s">
        <v>1462</v>
      </c>
      <c r="G527" s="69">
        <v>546</v>
      </c>
    </row>
    <row r="528" spans="1:7">
      <c r="A528" s="67" t="s">
        <v>2010</v>
      </c>
      <c r="B528" s="70">
        <v>46139</v>
      </c>
      <c r="C528" s="67" t="s">
        <v>1406</v>
      </c>
      <c r="D528" s="67" t="s">
        <v>367</v>
      </c>
      <c r="E528" s="67" t="s">
        <v>1368</v>
      </c>
      <c r="F528" s="67" t="s">
        <v>1462</v>
      </c>
      <c r="G528" s="69">
        <v>42</v>
      </c>
    </row>
    <row r="529" spans="1:7">
      <c r="A529" s="67" t="s">
        <v>2011</v>
      </c>
      <c r="B529" s="70">
        <v>46139</v>
      </c>
      <c r="C529" s="67" t="s">
        <v>1406</v>
      </c>
      <c r="D529" s="67" t="s">
        <v>369</v>
      </c>
      <c r="E529" s="67" t="s">
        <v>1368</v>
      </c>
      <c r="F529" s="67" t="s">
        <v>1462</v>
      </c>
      <c r="G529" s="69">
        <v>535</v>
      </c>
    </row>
    <row r="530" spans="1:7">
      <c r="A530" s="67" t="s">
        <v>2012</v>
      </c>
      <c r="B530" s="70">
        <v>46139</v>
      </c>
      <c r="C530" s="67" t="s">
        <v>1411</v>
      </c>
      <c r="D530" s="67" t="s">
        <v>1481</v>
      </c>
      <c r="E530" s="67" t="s">
        <v>1482</v>
      </c>
      <c r="F530" s="67" t="s">
        <v>1462</v>
      </c>
      <c r="G530" s="69">
        <v>348</v>
      </c>
    </row>
    <row r="531" spans="1:7">
      <c r="A531" s="67" t="s">
        <v>2013</v>
      </c>
      <c r="B531" s="70">
        <v>46139</v>
      </c>
      <c r="C531" s="67" t="s">
        <v>1411</v>
      </c>
      <c r="D531" s="67" t="s">
        <v>1481</v>
      </c>
      <c r="E531" s="67" t="s">
        <v>1482</v>
      </c>
      <c r="F531" s="67" t="s">
        <v>1460</v>
      </c>
      <c r="G531" s="69">
        <v>11</v>
      </c>
    </row>
    <row r="532" spans="1:7">
      <c r="A532" s="67" t="s">
        <v>2014</v>
      </c>
      <c r="B532" s="70">
        <v>46139</v>
      </c>
      <c r="C532" s="67" t="s">
        <v>1414</v>
      </c>
      <c r="D532" s="67" t="s">
        <v>1484</v>
      </c>
      <c r="E532" s="67" t="s">
        <v>1470</v>
      </c>
      <c r="F532" s="67" t="s">
        <v>1462</v>
      </c>
      <c r="G532" s="69">
        <v>447</v>
      </c>
    </row>
    <row r="533" spans="1:7">
      <c r="A533" s="67" t="s">
        <v>2015</v>
      </c>
      <c r="B533" s="70">
        <v>46139</v>
      </c>
      <c r="C533" s="67" t="s">
        <v>1423</v>
      </c>
      <c r="D533" s="67" t="s">
        <v>356</v>
      </c>
      <c r="E533" s="67" t="s">
        <v>1368</v>
      </c>
      <c r="F533" s="67" t="s">
        <v>1488</v>
      </c>
      <c r="G533" s="69">
        <v>3</v>
      </c>
    </row>
    <row r="534" spans="1:7">
      <c r="A534" s="67" t="s">
        <v>2016</v>
      </c>
      <c r="B534" s="70">
        <v>46139</v>
      </c>
      <c r="C534" s="67" t="s">
        <v>1429</v>
      </c>
      <c r="D534" s="67" t="s">
        <v>367</v>
      </c>
      <c r="E534" s="67" t="s">
        <v>1368</v>
      </c>
      <c r="F534" s="67" t="s">
        <v>1460</v>
      </c>
      <c r="G534" s="69">
        <v>14</v>
      </c>
    </row>
    <row r="535" spans="1:7">
      <c r="A535" s="67" t="s">
        <v>2017</v>
      </c>
      <c r="B535" s="70">
        <v>46139</v>
      </c>
      <c r="C535" s="67" t="s">
        <v>1429</v>
      </c>
      <c r="D535" s="67" t="s">
        <v>358</v>
      </c>
      <c r="E535" s="67" t="s">
        <v>1368</v>
      </c>
      <c r="F535" s="67" t="s">
        <v>1460</v>
      </c>
      <c r="G535" s="69">
        <v>25</v>
      </c>
    </row>
    <row r="536" spans="1:7">
      <c r="A536" s="67" t="s">
        <v>2018</v>
      </c>
      <c r="B536" s="70">
        <v>46139</v>
      </c>
      <c r="C536" s="67" t="s">
        <v>1429</v>
      </c>
      <c r="D536" s="67" t="s">
        <v>1491</v>
      </c>
      <c r="E536" s="67" t="s">
        <v>1470</v>
      </c>
      <c r="F536" s="67" t="s">
        <v>1462</v>
      </c>
      <c r="G536" s="69">
        <v>178</v>
      </c>
    </row>
    <row r="537" spans="1:7">
      <c r="A537" s="67" t="s">
        <v>2019</v>
      </c>
      <c r="B537" s="70">
        <v>46139</v>
      </c>
      <c r="C537" s="67" t="s">
        <v>1446</v>
      </c>
      <c r="D537" s="67" t="s">
        <v>1476</v>
      </c>
      <c r="E537" s="67" t="s">
        <v>1362</v>
      </c>
      <c r="F537" s="67" t="s">
        <v>1462</v>
      </c>
      <c r="G537" s="69">
        <v>339</v>
      </c>
    </row>
    <row r="538" spans="1:7">
      <c r="A538" s="67" t="s">
        <v>2020</v>
      </c>
      <c r="B538" s="70">
        <v>46139</v>
      </c>
      <c r="C538" s="67" t="s">
        <v>1446</v>
      </c>
      <c r="D538" s="67" t="s">
        <v>1602</v>
      </c>
      <c r="E538" s="67" t="s">
        <v>1386</v>
      </c>
      <c r="F538" s="67" t="s">
        <v>1462</v>
      </c>
      <c r="G538" s="69">
        <v>482</v>
      </c>
    </row>
    <row r="539" spans="1:7">
      <c r="A539" s="67" t="s">
        <v>2021</v>
      </c>
      <c r="B539" s="70">
        <v>46140</v>
      </c>
      <c r="C539" s="67" t="s">
        <v>1359</v>
      </c>
      <c r="D539" s="67" t="s">
        <v>1476</v>
      </c>
      <c r="E539" s="67" t="s">
        <v>1362</v>
      </c>
      <c r="F539" s="67" t="s">
        <v>1462</v>
      </c>
      <c r="G539" s="69">
        <v>48</v>
      </c>
    </row>
    <row r="540" spans="1:7">
      <c r="A540" s="67" t="s">
        <v>2022</v>
      </c>
      <c r="B540" s="70">
        <v>46140</v>
      </c>
      <c r="C540" s="67" t="s">
        <v>1371</v>
      </c>
      <c r="D540" s="67" t="s">
        <v>1459</v>
      </c>
      <c r="E540" s="67" t="s">
        <v>1362</v>
      </c>
      <c r="F540" s="67" t="s">
        <v>1462</v>
      </c>
      <c r="G540" s="69">
        <v>277</v>
      </c>
    </row>
    <row r="541" spans="1:7">
      <c r="A541" s="67" t="s">
        <v>2023</v>
      </c>
      <c r="B541" s="70">
        <v>46140</v>
      </c>
      <c r="C541" s="67" t="s">
        <v>1381</v>
      </c>
      <c r="D541" s="67" t="s">
        <v>1511</v>
      </c>
      <c r="E541" s="67" t="s">
        <v>1470</v>
      </c>
      <c r="F541" s="67" t="s">
        <v>1462</v>
      </c>
      <c r="G541" s="69">
        <v>138</v>
      </c>
    </row>
    <row r="542" spans="1:7">
      <c r="A542" s="67" t="s">
        <v>2024</v>
      </c>
      <c r="B542" s="70">
        <v>46140</v>
      </c>
      <c r="C542" s="67" t="s">
        <v>1381</v>
      </c>
      <c r="D542" s="67" t="s">
        <v>356</v>
      </c>
      <c r="E542" s="67" t="s">
        <v>1368</v>
      </c>
      <c r="F542" s="67" t="s">
        <v>1460</v>
      </c>
      <c r="G542" s="69">
        <v>14</v>
      </c>
    </row>
    <row r="543" spans="1:7">
      <c r="A543" s="67" t="s">
        <v>2025</v>
      </c>
      <c r="B543" s="70">
        <v>46140</v>
      </c>
      <c r="C543" s="67" t="s">
        <v>1381</v>
      </c>
      <c r="D543" s="67" t="s">
        <v>369</v>
      </c>
      <c r="E543" s="67" t="s">
        <v>1368</v>
      </c>
      <c r="F543" s="67" t="s">
        <v>1460</v>
      </c>
      <c r="G543" s="69">
        <v>9</v>
      </c>
    </row>
    <row r="544" spans="1:7">
      <c r="A544" s="67" t="s">
        <v>2026</v>
      </c>
      <c r="B544" s="70">
        <v>46140</v>
      </c>
      <c r="C544" s="67" t="s">
        <v>1389</v>
      </c>
      <c r="D544" s="67" t="s">
        <v>358</v>
      </c>
      <c r="E544" s="67" t="s">
        <v>1368</v>
      </c>
      <c r="F544" s="67" t="s">
        <v>1462</v>
      </c>
      <c r="G544" s="69">
        <v>340</v>
      </c>
    </row>
    <row r="545" spans="1:7">
      <c r="A545" s="67" t="s">
        <v>2027</v>
      </c>
      <c r="B545" s="70">
        <v>46140</v>
      </c>
      <c r="C545" s="67" t="s">
        <v>1411</v>
      </c>
      <c r="D545" s="67" t="s">
        <v>1506</v>
      </c>
      <c r="E545" s="67" t="s">
        <v>1482</v>
      </c>
      <c r="F545" s="67" t="s">
        <v>1462</v>
      </c>
      <c r="G545" s="69">
        <v>331</v>
      </c>
    </row>
    <row r="546" spans="1:7">
      <c r="A546" s="67" t="s">
        <v>2028</v>
      </c>
      <c r="B546" s="70">
        <v>46140</v>
      </c>
      <c r="C546" s="67" t="s">
        <v>1411</v>
      </c>
      <c r="D546" s="67" t="s">
        <v>1481</v>
      </c>
      <c r="E546" s="67" t="s">
        <v>1482</v>
      </c>
      <c r="F546" s="67" t="s">
        <v>1462</v>
      </c>
      <c r="G546" s="69">
        <v>159</v>
      </c>
    </row>
    <row r="547" spans="1:7">
      <c r="A547" s="67" t="s">
        <v>2029</v>
      </c>
      <c r="B547" s="70">
        <v>46140</v>
      </c>
      <c r="C547" s="67" t="s">
        <v>1425</v>
      </c>
      <c r="D547" s="67" t="s">
        <v>1511</v>
      </c>
      <c r="E547" s="67" t="s">
        <v>1470</v>
      </c>
      <c r="F547" s="67" t="s">
        <v>1462</v>
      </c>
      <c r="G547" s="69">
        <v>85</v>
      </c>
    </row>
    <row r="548" spans="1:7">
      <c r="A548" s="67" t="s">
        <v>2030</v>
      </c>
      <c r="B548" s="70">
        <v>46140</v>
      </c>
      <c r="C548" s="67" t="s">
        <v>1425</v>
      </c>
      <c r="D548" s="67" t="s">
        <v>1459</v>
      </c>
      <c r="E548" s="67" t="s">
        <v>1362</v>
      </c>
      <c r="F548" s="67" t="s">
        <v>1462</v>
      </c>
      <c r="G548" s="69">
        <v>184</v>
      </c>
    </row>
    <row r="549" spans="1:7">
      <c r="A549" s="67" t="s">
        <v>2031</v>
      </c>
      <c r="B549" s="70">
        <v>46140</v>
      </c>
      <c r="C549" s="67" t="s">
        <v>1429</v>
      </c>
      <c r="D549" s="67" t="s">
        <v>356</v>
      </c>
      <c r="E549" s="67" t="s">
        <v>1368</v>
      </c>
      <c r="F549" s="67" t="s">
        <v>1462</v>
      </c>
      <c r="G549" s="69">
        <v>440</v>
      </c>
    </row>
    <row r="550" spans="1:7">
      <c r="A550" s="67" t="s">
        <v>2032</v>
      </c>
      <c r="B550" s="70">
        <v>46140</v>
      </c>
      <c r="C550" s="67" t="s">
        <v>1446</v>
      </c>
      <c r="D550" s="67" t="s">
        <v>353</v>
      </c>
      <c r="E550" s="67" t="s">
        <v>1368</v>
      </c>
      <c r="F550" s="67" t="s">
        <v>1462</v>
      </c>
      <c r="G550" s="69">
        <v>474</v>
      </c>
    </row>
    <row r="551" spans="1:7">
      <c r="A551" s="67" t="s">
        <v>2033</v>
      </c>
      <c r="B551" s="70">
        <v>46140</v>
      </c>
      <c r="C551" s="67" t="s">
        <v>1446</v>
      </c>
      <c r="D551" s="67" t="s">
        <v>1476</v>
      </c>
      <c r="E551" s="67" t="s">
        <v>1362</v>
      </c>
      <c r="F551" s="67" t="s">
        <v>1462</v>
      </c>
      <c r="G551" s="69">
        <v>364</v>
      </c>
    </row>
    <row r="552" spans="1:7">
      <c r="A552" s="67" t="s">
        <v>2034</v>
      </c>
      <c r="B552" s="70">
        <v>46140</v>
      </c>
      <c r="C552" s="67" t="s">
        <v>1450</v>
      </c>
      <c r="D552" s="67" t="s">
        <v>1506</v>
      </c>
      <c r="E552" s="67" t="s">
        <v>1482</v>
      </c>
      <c r="F552" s="67" t="s">
        <v>1462</v>
      </c>
      <c r="G552" s="69">
        <v>256</v>
      </c>
    </row>
    <row r="553" spans="1:7">
      <c r="A553" s="67" t="s">
        <v>2035</v>
      </c>
      <c r="B553" s="70">
        <v>46141</v>
      </c>
      <c r="C553" s="67" t="s">
        <v>1359</v>
      </c>
      <c r="D553" s="67" t="s">
        <v>365</v>
      </c>
      <c r="E553" s="67" t="s">
        <v>1368</v>
      </c>
      <c r="F553" s="67" t="s">
        <v>1462</v>
      </c>
      <c r="G553" s="69">
        <v>309</v>
      </c>
    </row>
    <row r="554" spans="1:7">
      <c r="A554" s="67" t="s">
        <v>2036</v>
      </c>
      <c r="B554" s="70">
        <v>46141</v>
      </c>
      <c r="C554" s="67" t="s">
        <v>1366</v>
      </c>
      <c r="D554" s="67" t="s">
        <v>363</v>
      </c>
      <c r="E554" s="67" t="s">
        <v>1368</v>
      </c>
      <c r="F554" s="67" t="s">
        <v>1460</v>
      </c>
      <c r="G554" s="69">
        <v>23</v>
      </c>
    </row>
    <row r="555" spans="1:7">
      <c r="A555" s="67" t="s">
        <v>2037</v>
      </c>
      <c r="B555" s="70">
        <v>46141</v>
      </c>
      <c r="C555" s="67" t="s">
        <v>1366</v>
      </c>
      <c r="D555" s="67" t="s">
        <v>365</v>
      </c>
      <c r="E555" s="67" t="s">
        <v>1368</v>
      </c>
      <c r="F555" s="67" t="s">
        <v>1460</v>
      </c>
      <c r="G555" s="69">
        <v>20</v>
      </c>
    </row>
    <row r="556" spans="1:7">
      <c r="A556" s="67" t="s">
        <v>2038</v>
      </c>
      <c r="B556" s="70">
        <v>46141</v>
      </c>
      <c r="C556" s="67" t="s">
        <v>1366</v>
      </c>
      <c r="D556" s="67" t="s">
        <v>369</v>
      </c>
      <c r="E556" s="67" t="s">
        <v>1368</v>
      </c>
      <c r="F556" s="67" t="s">
        <v>1462</v>
      </c>
      <c r="G556" s="69">
        <v>239</v>
      </c>
    </row>
    <row r="557" spans="1:7">
      <c r="A557" s="67" t="s">
        <v>2039</v>
      </c>
      <c r="B557" s="70">
        <v>46141</v>
      </c>
      <c r="C557" s="67" t="s">
        <v>1366</v>
      </c>
      <c r="D557" s="67" t="s">
        <v>358</v>
      </c>
      <c r="E557" s="67" t="s">
        <v>1368</v>
      </c>
      <c r="F557" s="67" t="s">
        <v>1460</v>
      </c>
      <c r="G557" s="69">
        <v>30</v>
      </c>
    </row>
    <row r="558" spans="1:7">
      <c r="A558" s="67" t="s">
        <v>2040</v>
      </c>
      <c r="B558" s="70">
        <v>46141</v>
      </c>
      <c r="C558" s="67" t="s">
        <v>1381</v>
      </c>
      <c r="D558" s="67" t="s">
        <v>1511</v>
      </c>
      <c r="E558" s="67" t="s">
        <v>1470</v>
      </c>
      <c r="F558" s="67" t="s">
        <v>1462</v>
      </c>
      <c r="G558" s="69">
        <v>80</v>
      </c>
    </row>
    <row r="559" spans="1:7">
      <c r="A559" s="67" t="s">
        <v>2041</v>
      </c>
      <c r="B559" s="70">
        <v>46141</v>
      </c>
      <c r="C559" s="67" t="s">
        <v>1381</v>
      </c>
      <c r="D559" s="67" t="s">
        <v>365</v>
      </c>
      <c r="E559" s="67" t="s">
        <v>1368</v>
      </c>
      <c r="F559" s="67" t="s">
        <v>1462</v>
      </c>
      <c r="G559" s="69">
        <v>518</v>
      </c>
    </row>
    <row r="560" spans="1:7">
      <c r="A560" s="67" t="s">
        <v>2042</v>
      </c>
      <c r="B560" s="70">
        <v>46141</v>
      </c>
      <c r="C560" s="67" t="s">
        <v>1381</v>
      </c>
      <c r="D560" s="67" t="s">
        <v>369</v>
      </c>
      <c r="E560" s="67" t="s">
        <v>1368</v>
      </c>
      <c r="F560" s="67" t="s">
        <v>1462</v>
      </c>
      <c r="G560" s="69">
        <v>112</v>
      </c>
    </row>
    <row r="561" spans="1:7">
      <c r="A561" s="67" t="s">
        <v>2043</v>
      </c>
      <c r="B561" s="70">
        <v>46141</v>
      </c>
      <c r="C561" s="67" t="s">
        <v>1384</v>
      </c>
      <c r="D561" s="67" t="s">
        <v>1466</v>
      </c>
      <c r="E561" s="67" t="s">
        <v>1386</v>
      </c>
      <c r="F561" s="67" t="s">
        <v>1462</v>
      </c>
      <c r="G561" s="69">
        <v>526</v>
      </c>
    </row>
    <row r="562" spans="1:7">
      <c r="A562" s="67" t="s">
        <v>2044</v>
      </c>
      <c r="B562" s="70">
        <v>46141</v>
      </c>
      <c r="C562" s="67" t="s">
        <v>1399</v>
      </c>
      <c r="D562" s="67" t="s">
        <v>1466</v>
      </c>
      <c r="E562" s="67" t="s">
        <v>1386</v>
      </c>
      <c r="F562" s="67" t="s">
        <v>1462</v>
      </c>
      <c r="G562" s="69">
        <v>497</v>
      </c>
    </row>
    <row r="563" spans="1:7">
      <c r="A563" s="67" t="s">
        <v>2045</v>
      </c>
      <c r="B563" s="70">
        <v>46141</v>
      </c>
      <c r="C563" s="67" t="s">
        <v>1404</v>
      </c>
      <c r="D563" s="67" t="s">
        <v>367</v>
      </c>
      <c r="E563" s="67" t="s">
        <v>1368</v>
      </c>
      <c r="F563" s="67" t="s">
        <v>1462</v>
      </c>
      <c r="G563" s="69">
        <v>267</v>
      </c>
    </row>
    <row r="564" spans="1:7">
      <c r="A564" s="67" t="s">
        <v>2046</v>
      </c>
      <c r="B564" s="70">
        <v>46141</v>
      </c>
      <c r="C564" s="67" t="s">
        <v>1406</v>
      </c>
      <c r="D564" s="67" t="s">
        <v>367</v>
      </c>
      <c r="E564" s="67" t="s">
        <v>1368</v>
      </c>
      <c r="F564" s="67" t="s">
        <v>1462</v>
      </c>
      <c r="G564" s="69">
        <v>511</v>
      </c>
    </row>
    <row r="565" spans="1:7">
      <c r="A565" s="67" t="s">
        <v>2047</v>
      </c>
      <c r="B565" s="70">
        <v>46141</v>
      </c>
      <c r="C565" s="67" t="s">
        <v>1423</v>
      </c>
      <c r="D565" s="67" t="s">
        <v>1487</v>
      </c>
      <c r="E565" s="67" t="s">
        <v>1410</v>
      </c>
      <c r="F565" s="67" t="s">
        <v>1460</v>
      </c>
      <c r="G565" s="69">
        <v>12</v>
      </c>
    </row>
    <row r="566" spans="1:7">
      <c r="A566" s="67" t="s">
        <v>2048</v>
      </c>
      <c r="B566" s="70">
        <v>46141</v>
      </c>
      <c r="C566" s="67" t="s">
        <v>1446</v>
      </c>
      <c r="D566" s="67" t="s">
        <v>369</v>
      </c>
      <c r="E566" s="67" t="s">
        <v>1368</v>
      </c>
      <c r="F566" s="67" t="s">
        <v>1460</v>
      </c>
      <c r="G566" s="69">
        <v>17</v>
      </c>
    </row>
    <row r="567" spans="1:7">
      <c r="A567" s="67" t="s">
        <v>2049</v>
      </c>
      <c r="B567" s="70">
        <v>46141</v>
      </c>
      <c r="C567" s="67" t="s">
        <v>1446</v>
      </c>
      <c r="D567" s="67" t="s">
        <v>1466</v>
      </c>
      <c r="E567" s="67" t="s">
        <v>1386</v>
      </c>
      <c r="F567" s="67" t="s">
        <v>1462</v>
      </c>
      <c r="G567" s="69">
        <v>550</v>
      </c>
    </row>
    <row r="568" spans="1:7">
      <c r="A568" s="67" t="s">
        <v>2050</v>
      </c>
      <c r="B568" s="70">
        <v>46142</v>
      </c>
      <c r="C568" s="67" t="s">
        <v>1359</v>
      </c>
      <c r="D568" s="67" t="s">
        <v>1476</v>
      </c>
      <c r="E568" s="67" t="s">
        <v>1362</v>
      </c>
      <c r="F568" s="67" t="s">
        <v>1462</v>
      </c>
      <c r="G568" s="69">
        <v>176</v>
      </c>
    </row>
    <row r="569" spans="1:7">
      <c r="A569" s="67" t="s">
        <v>2051</v>
      </c>
      <c r="B569" s="70">
        <v>46142</v>
      </c>
      <c r="C569" s="67" t="s">
        <v>1359</v>
      </c>
      <c r="D569" s="67" t="s">
        <v>1551</v>
      </c>
      <c r="E569" s="67" t="s">
        <v>1362</v>
      </c>
      <c r="F569" s="67" t="s">
        <v>1460</v>
      </c>
      <c r="G569" s="69">
        <v>17</v>
      </c>
    </row>
    <row r="570" spans="1:7">
      <c r="A570" s="67" t="s">
        <v>2052</v>
      </c>
      <c r="B570" s="70">
        <v>46142</v>
      </c>
      <c r="C570" s="67" t="s">
        <v>1366</v>
      </c>
      <c r="D570" s="67" t="s">
        <v>1476</v>
      </c>
      <c r="E570" s="67" t="s">
        <v>1362</v>
      </c>
      <c r="F570" s="67" t="s">
        <v>1460</v>
      </c>
      <c r="G570" s="69">
        <v>7</v>
      </c>
    </row>
    <row r="571" spans="1:7">
      <c r="A571" s="67" t="s">
        <v>2053</v>
      </c>
      <c r="B571" s="70">
        <v>46142</v>
      </c>
      <c r="C571" s="67" t="s">
        <v>1366</v>
      </c>
      <c r="D571" s="67" t="s">
        <v>369</v>
      </c>
      <c r="E571" s="67" t="s">
        <v>1368</v>
      </c>
      <c r="F571" s="67" t="s">
        <v>1462</v>
      </c>
      <c r="G571" s="69">
        <v>31</v>
      </c>
    </row>
    <row r="572" spans="1:7">
      <c r="A572" s="67" t="s">
        <v>2054</v>
      </c>
      <c r="B572" s="70">
        <v>46142</v>
      </c>
      <c r="C572" s="67" t="s">
        <v>1366</v>
      </c>
      <c r="D572" s="67" t="s">
        <v>1551</v>
      </c>
      <c r="E572" s="67" t="s">
        <v>1362</v>
      </c>
      <c r="F572" s="67" t="s">
        <v>1460</v>
      </c>
      <c r="G572" s="69">
        <v>26</v>
      </c>
    </row>
    <row r="573" spans="1:7">
      <c r="A573" s="67" t="s">
        <v>2055</v>
      </c>
      <c r="B573" s="70">
        <v>46142</v>
      </c>
      <c r="C573" s="67" t="s">
        <v>1371</v>
      </c>
      <c r="D573" s="67" t="s">
        <v>1476</v>
      </c>
      <c r="E573" s="67" t="s">
        <v>1362</v>
      </c>
      <c r="F573" s="67" t="s">
        <v>1460</v>
      </c>
      <c r="G573" s="69">
        <v>23</v>
      </c>
    </row>
    <row r="574" spans="1:7">
      <c r="A574" s="67" t="s">
        <v>2056</v>
      </c>
      <c r="B574" s="70">
        <v>46142</v>
      </c>
      <c r="C574" s="67" t="s">
        <v>1381</v>
      </c>
      <c r="D574" s="67" t="s">
        <v>369</v>
      </c>
      <c r="E574" s="67" t="s">
        <v>1368</v>
      </c>
      <c r="F574" s="67" t="s">
        <v>1460</v>
      </c>
      <c r="G574" s="69">
        <v>27</v>
      </c>
    </row>
    <row r="575" spans="1:7">
      <c r="A575" s="67" t="s">
        <v>2057</v>
      </c>
      <c r="B575" s="70">
        <v>46142</v>
      </c>
      <c r="C575" s="67" t="s">
        <v>1384</v>
      </c>
      <c r="D575" s="67" t="s">
        <v>1466</v>
      </c>
      <c r="E575" s="67" t="s">
        <v>1386</v>
      </c>
      <c r="F575" s="67" t="s">
        <v>1460</v>
      </c>
      <c r="G575" s="69">
        <v>24</v>
      </c>
    </row>
    <row r="576" spans="1:7">
      <c r="A576" s="67" t="s">
        <v>2058</v>
      </c>
      <c r="B576" s="70">
        <v>46142</v>
      </c>
      <c r="C576" s="67" t="s">
        <v>1389</v>
      </c>
      <c r="D576" s="67" t="s">
        <v>356</v>
      </c>
      <c r="E576" s="67" t="s">
        <v>1368</v>
      </c>
      <c r="F576" s="67" t="s">
        <v>1488</v>
      </c>
      <c r="G576" s="69">
        <v>7</v>
      </c>
    </row>
    <row r="577" spans="1:7">
      <c r="A577" s="67" t="s">
        <v>2059</v>
      </c>
      <c r="B577" s="70">
        <v>46142</v>
      </c>
      <c r="C577" s="67" t="s">
        <v>1393</v>
      </c>
      <c r="D577" s="67" t="s">
        <v>365</v>
      </c>
      <c r="E577" s="67" t="s">
        <v>1368</v>
      </c>
      <c r="F577" s="67" t="s">
        <v>1460</v>
      </c>
      <c r="G577" s="69">
        <v>5</v>
      </c>
    </row>
    <row r="578" spans="1:7">
      <c r="A578" s="67" t="s">
        <v>2060</v>
      </c>
      <c r="B578" s="70">
        <v>46142</v>
      </c>
      <c r="C578" s="67" t="s">
        <v>1404</v>
      </c>
      <c r="D578" s="67" t="s">
        <v>360</v>
      </c>
      <c r="E578" s="67" t="s">
        <v>1368</v>
      </c>
      <c r="F578" s="67" t="s">
        <v>1462</v>
      </c>
      <c r="G578" s="69">
        <v>90</v>
      </c>
    </row>
    <row r="579" spans="1:7">
      <c r="A579" s="67" t="s">
        <v>2061</v>
      </c>
      <c r="B579" s="70">
        <v>46142</v>
      </c>
      <c r="C579" s="67" t="s">
        <v>1404</v>
      </c>
      <c r="D579" s="67" t="s">
        <v>365</v>
      </c>
      <c r="E579" s="67" t="s">
        <v>1368</v>
      </c>
      <c r="F579" s="67" t="s">
        <v>1488</v>
      </c>
      <c r="G579" s="69">
        <v>8</v>
      </c>
    </row>
    <row r="580" spans="1:7">
      <c r="A580" s="67" t="s">
        <v>2062</v>
      </c>
      <c r="B580" s="70">
        <v>46142</v>
      </c>
      <c r="C580" s="67" t="s">
        <v>1404</v>
      </c>
      <c r="D580" s="67" t="s">
        <v>367</v>
      </c>
      <c r="E580" s="67" t="s">
        <v>1368</v>
      </c>
      <c r="F580" s="67" t="s">
        <v>1462</v>
      </c>
      <c r="G580" s="69">
        <v>533</v>
      </c>
    </row>
    <row r="581" spans="1:7">
      <c r="A581" s="67" t="s">
        <v>2063</v>
      </c>
      <c r="B581" s="70">
        <v>46142</v>
      </c>
      <c r="C581" s="67" t="s">
        <v>1406</v>
      </c>
      <c r="D581" s="67" t="s">
        <v>369</v>
      </c>
      <c r="E581" s="67" t="s">
        <v>1368</v>
      </c>
      <c r="F581" s="67" t="s">
        <v>1462</v>
      </c>
      <c r="G581" s="69">
        <v>571</v>
      </c>
    </row>
    <row r="582" spans="1:7">
      <c r="A582" s="67" t="s">
        <v>2064</v>
      </c>
      <c r="B582" s="70">
        <v>46142</v>
      </c>
      <c r="C582" s="67" t="s">
        <v>1411</v>
      </c>
      <c r="D582" s="67" t="s">
        <v>353</v>
      </c>
      <c r="E582" s="67" t="s">
        <v>1368</v>
      </c>
      <c r="F582" s="67" t="s">
        <v>1462</v>
      </c>
      <c r="G582" s="69">
        <v>531</v>
      </c>
    </row>
    <row r="583" spans="1:7">
      <c r="A583" s="67" t="s">
        <v>2065</v>
      </c>
      <c r="B583" s="70">
        <v>46142</v>
      </c>
      <c r="C583" s="67" t="s">
        <v>1414</v>
      </c>
      <c r="D583" s="67" t="s">
        <v>1607</v>
      </c>
      <c r="E583" s="67" t="s">
        <v>1470</v>
      </c>
      <c r="F583" s="67" t="s">
        <v>1462</v>
      </c>
      <c r="G583" s="69">
        <v>42</v>
      </c>
    </row>
    <row r="584" spans="1:7">
      <c r="A584" s="67" t="s">
        <v>2066</v>
      </c>
      <c r="B584" s="70">
        <v>46142</v>
      </c>
      <c r="C584" s="67" t="s">
        <v>1414</v>
      </c>
      <c r="D584" s="67" t="s">
        <v>1491</v>
      </c>
      <c r="E584" s="67" t="s">
        <v>1470</v>
      </c>
      <c r="F584" s="67" t="s">
        <v>1460</v>
      </c>
      <c r="G584" s="69">
        <v>20</v>
      </c>
    </row>
    <row r="585" spans="1:7">
      <c r="A585" s="67" t="s">
        <v>2067</v>
      </c>
      <c r="B585" s="70">
        <v>46142</v>
      </c>
      <c r="C585" s="67" t="s">
        <v>1423</v>
      </c>
      <c r="D585" s="67" t="s">
        <v>356</v>
      </c>
      <c r="E585" s="67" t="s">
        <v>1368</v>
      </c>
      <c r="F585" s="67" t="s">
        <v>1460</v>
      </c>
      <c r="G585" s="69">
        <v>7</v>
      </c>
    </row>
    <row r="586" spans="1:7">
      <c r="A586" s="67" t="s">
        <v>2068</v>
      </c>
      <c r="B586" s="70">
        <v>46142</v>
      </c>
      <c r="C586" s="67" t="s">
        <v>1423</v>
      </c>
      <c r="D586" s="67" t="s">
        <v>1479</v>
      </c>
      <c r="E586" s="67" t="s">
        <v>1410</v>
      </c>
      <c r="F586" s="67" t="s">
        <v>1462</v>
      </c>
      <c r="G586" s="69">
        <v>105</v>
      </c>
    </row>
    <row r="587" spans="1:7">
      <c r="A587" s="67" t="s">
        <v>2069</v>
      </c>
      <c r="B587" s="70">
        <v>46142</v>
      </c>
      <c r="C587" s="67" t="s">
        <v>1425</v>
      </c>
      <c r="D587" s="67" t="s">
        <v>1511</v>
      </c>
      <c r="E587" s="67" t="s">
        <v>1470</v>
      </c>
      <c r="F587" s="67" t="s">
        <v>1462</v>
      </c>
      <c r="G587" s="69">
        <v>53</v>
      </c>
    </row>
    <row r="588" spans="1:7">
      <c r="A588" s="67" t="s">
        <v>2070</v>
      </c>
      <c r="B588" s="70">
        <v>46142</v>
      </c>
      <c r="C588" s="67" t="s">
        <v>1425</v>
      </c>
      <c r="D588" s="67" t="s">
        <v>1491</v>
      </c>
      <c r="E588" s="67" t="s">
        <v>1470</v>
      </c>
      <c r="F588" s="67" t="s">
        <v>1460</v>
      </c>
      <c r="G588" s="69">
        <v>16</v>
      </c>
    </row>
    <row r="589" spans="1:7">
      <c r="A589" s="67" t="s">
        <v>2071</v>
      </c>
      <c r="B589" s="70">
        <v>46142</v>
      </c>
      <c r="C589" s="67" t="s">
        <v>1429</v>
      </c>
      <c r="D589" s="67" t="s">
        <v>365</v>
      </c>
      <c r="E589" s="67" t="s">
        <v>1368</v>
      </c>
      <c r="F589" s="67" t="s">
        <v>1460</v>
      </c>
      <c r="G589" s="69">
        <v>20</v>
      </c>
    </row>
    <row r="590" spans="1:7">
      <c r="A590" s="67" t="s">
        <v>2072</v>
      </c>
      <c r="B590" s="70">
        <v>46142</v>
      </c>
      <c r="C590" s="67" t="s">
        <v>1429</v>
      </c>
      <c r="D590" s="67" t="s">
        <v>369</v>
      </c>
      <c r="E590" s="67" t="s">
        <v>1368</v>
      </c>
      <c r="F590" s="67" t="s">
        <v>1462</v>
      </c>
      <c r="G590" s="69">
        <v>179</v>
      </c>
    </row>
    <row r="591" spans="1:7">
      <c r="A591" s="67" t="s">
        <v>2073</v>
      </c>
      <c r="B591" s="70">
        <v>46142</v>
      </c>
      <c r="C591" s="67" t="s">
        <v>1446</v>
      </c>
      <c r="D591" s="67" t="s">
        <v>353</v>
      </c>
      <c r="E591" s="67" t="s">
        <v>1368</v>
      </c>
      <c r="F591" s="67" t="s">
        <v>1462</v>
      </c>
      <c r="G591" s="69">
        <v>351</v>
      </c>
    </row>
    <row r="592" spans="1:7">
      <c r="A592" s="67" t="s">
        <v>2074</v>
      </c>
      <c r="B592" s="70">
        <v>46142</v>
      </c>
      <c r="C592" s="67" t="s">
        <v>1446</v>
      </c>
      <c r="D592" s="67" t="s">
        <v>1476</v>
      </c>
      <c r="E592" s="67" t="s">
        <v>1362</v>
      </c>
      <c r="F592" s="67" t="s">
        <v>1462</v>
      </c>
      <c r="G592" s="69">
        <v>582</v>
      </c>
    </row>
    <row r="593" spans="1:7">
      <c r="A593" s="67" t="s">
        <v>2075</v>
      </c>
      <c r="B593" s="70">
        <v>46142</v>
      </c>
      <c r="C593" s="67" t="s">
        <v>1446</v>
      </c>
      <c r="D593" s="67" t="s">
        <v>1551</v>
      </c>
      <c r="E593" s="67" t="s">
        <v>1362</v>
      </c>
      <c r="F593" s="67" t="s">
        <v>1460</v>
      </c>
      <c r="G593" s="69">
        <v>21</v>
      </c>
    </row>
    <row r="594" spans="1:7">
      <c r="A594" s="67" t="s">
        <v>2076</v>
      </c>
      <c r="B594" s="70">
        <v>46142</v>
      </c>
      <c r="C594" s="67" t="s">
        <v>1446</v>
      </c>
      <c r="D594" s="67" t="s">
        <v>1551</v>
      </c>
      <c r="E594" s="67" t="s">
        <v>1362</v>
      </c>
      <c r="F594" s="67" t="s">
        <v>1462</v>
      </c>
      <c r="G594" s="69">
        <v>154</v>
      </c>
    </row>
    <row r="595" spans="1:7">
      <c r="A595" s="67" t="s">
        <v>2077</v>
      </c>
      <c r="B595" s="70">
        <v>46142</v>
      </c>
      <c r="C595" s="67" t="s">
        <v>1450</v>
      </c>
      <c r="D595" s="67" t="s">
        <v>1506</v>
      </c>
      <c r="E595" s="67" t="s">
        <v>1482</v>
      </c>
      <c r="F595" s="67" t="s">
        <v>1462</v>
      </c>
      <c r="G595" s="69">
        <v>305</v>
      </c>
    </row>
    <row r="596" spans="1:7">
      <c r="A596" s="67" t="s">
        <v>2078</v>
      </c>
      <c r="B596" s="70">
        <v>46143</v>
      </c>
      <c r="C596" s="67" t="s">
        <v>1359</v>
      </c>
      <c r="D596" s="67" t="s">
        <v>1466</v>
      </c>
      <c r="E596" s="67" t="s">
        <v>1386</v>
      </c>
      <c r="F596" s="67" t="s">
        <v>1462</v>
      </c>
      <c r="G596" s="69">
        <v>187</v>
      </c>
    </row>
    <row r="597" spans="1:7">
      <c r="A597" s="67" t="s">
        <v>2079</v>
      </c>
      <c r="B597" s="70">
        <v>46143</v>
      </c>
      <c r="C597" s="67" t="s">
        <v>1366</v>
      </c>
      <c r="D597" s="67" t="s">
        <v>365</v>
      </c>
      <c r="E597" s="67" t="s">
        <v>1368</v>
      </c>
      <c r="F597" s="67" t="s">
        <v>1462</v>
      </c>
      <c r="G597" s="69">
        <v>119</v>
      </c>
    </row>
    <row r="598" spans="1:7">
      <c r="A598" s="67" t="s">
        <v>2080</v>
      </c>
      <c r="B598" s="70">
        <v>46143</v>
      </c>
      <c r="C598" s="67" t="s">
        <v>1366</v>
      </c>
      <c r="D598" s="67" t="s">
        <v>367</v>
      </c>
      <c r="E598" s="67" t="s">
        <v>1368</v>
      </c>
      <c r="F598" s="67" t="s">
        <v>1462</v>
      </c>
      <c r="G598" s="69">
        <v>195</v>
      </c>
    </row>
    <row r="599" spans="1:7">
      <c r="A599" s="67" t="s">
        <v>2081</v>
      </c>
      <c r="B599" s="70">
        <v>46143</v>
      </c>
      <c r="C599" s="67" t="s">
        <v>1371</v>
      </c>
      <c r="D599" s="67" t="s">
        <v>356</v>
      </c>
      <c r="E599" s="67" t="s">
        <v>1368</v>
      </c>
      <c r="F599" s="67" t="s">
        <v>1462</v>
      </c>
      <c r="G599" s="69">
        <v>378</v>
      </c>
    </row>
    <row r="600" spans="1:7">
      <c r="A600" s="67" t="s">
        <v>2082</v>
      </c>
      <c r="B600" s="70">
        <v>46143</v>
      </c>
      <c r="C600" s="67" t="s">
        <v>1371</v>
      </c>
      <c r="D600" s="67" t="s">
        <v>1476</v>
      </c>
      <c r="E600" s="67" t="s">
        <v>1362</v>
      </c>
      <c r="F600" s="67" t="s">
        <v>1462</v>
      </c>
      <c r="G600" s="69">
        <v>35</v>
      </c>
    </row>
    <row r="601" spans="1:7">
      <c r="A601" s="67" t="s">
        <v>2083</v>
      </c>
      <c r="B601" s="70">
        <v>46143</v>
      </c>
      <c r="C601" s="67" t="s">
        <v>1371</v>
      </c>
      <c r="D601" s="67" t="s">
        <v>1476</v>
      </c>
      <c r="E601" s="67" t="s">
        <v>1362</v>
      </c>
      <c r="F601" s="67" t="s">
        <v>1460</v>
      </c>
      <c r="G601" s="69">
        <v>20</v>
      </c>
    </row>
    <row r="602" spans="1:7">
      <c r="A602" s="67" t="s">
        <v>2084</v>
      </c>
      <c r="B602" s="70">
        <v>46143</v>
      </c>
      <c r="C602" s="67" t="s">
        <v>1371</v>
      </c>
      <c r="D602" s="67" t="s">
        <v>1551</v>
      </c>
      <c r="E602" s="67" t="s">
        <v>1362</v>
      </c>
      <c r="F602" s="67" t="s">
        <v>1488</v>
      </c>
      <c r="G602" s="69">
        <v>8</v>
      </c>
    </row>
    <row r="603" spans="1:7">
      <c r="A603" s="67" t="s">
        <v>2085</v>
      </c>
      <c r="B603" s="70">
        <v>46143</v>
      </c>
      <c r="C603" s="67" t="s">
        <v>1381</v>
      </c>
      <c r="D603" s="67" t="s">
        <v>356</v>
      </c>
      <c r="E603" s="67" t="s">
        <v>1368</v>
      </c>
      <c r="F603" s="67" t="s">
        <v>1462</v>
      </c>
      <c r="G603" s="69">
        <v>111</v>
      </c>
    </row>
    <row r="604" spans="1:7">
      <c r="A604" s="67" t="s">
        <v>2086</v>
      </c>
      <c r="B604" s="70">
        <v>46143</v>
      </c>
      <c r="C604" s="67" t="s">
        <v>1381</v>
      </c>
      <c r="D604" s="67" t="s">
        <v>365</v>
      </c>
      <c r="E604" s="67" t="s">
        <v>1368</v>
      </c>
      <c r="F604" s="67" t="s">
        <v>1460</v>
      </c>
      <c r="G604" s="69">
        <v>8</v>
      </c>
    </row>
    <row r="605" spans="1:7">
      <c r="A605" s="67" t="s">
        <v>2087</v>
      </c>
      <c r="B605" s="70">
        <v>46143</v>
      </c>
      <c r="C605" s="67" t="s">
        <v>1384</v>
      </c>
      <c r="D605" s="67" t="s">
        <v>1602</v>
      </c>
      <c r="E605" s="67" t="s">
        <v>1386</v>
      </c>
      <c r="F605" s="67" t="s">
        <v>1462</v>
      </c>
      <c r="G605" s="69">
        <v>317</v>
      </c>
    </row>
    <row r="606" spans="1:7">
      <c r="A606" s="67" t="s">
        <v>2088</v>
      </c>
      <c r="B606" s="70">
        <v>46143</v>
      </c>
      <c r="C606" s="67" t="s">
        <v>1389</v>
      </c>
      <c r="D606" s="67" t="s">
        <v>1491</v>
      </c>
      <c r="E606" s="67" t="s">
        <v>1470</v>
      </c>
      <c r="F606" s="67" t="s">
        <v>1462</v>
      </c>
      <c r="G606" s="69">
        <v>168</v>
      </c>
    </row>
    <row r="607" spans="1:7">
      <c r="A607" s="67" t="s">
        <v>2089</v>
      </c>
      <c r="B607" s="70">
        <v>46143</v>
      </c>
      <c r="C607" s="67" t="s">
        <v>1404</v>
      </c>
      <c r="D607" s="67" t="s">
        <v>369</v>
      </c>
      <c r="E607" s="67" t="s">
        <v>1368</v>
      </c>
      <c r="F607" s="67" t="s">
        <v>1462</v>
      </c>
      <c r="G607" s="69">
        <v>537</v>
      </c>
    </row>
    <row r="608" spans="1:7">
      <c r="A608" s="67" t="s">
        <v>2090</v>
      </c>
      <c r="B608" s="70">
        <v>46143</v>
      </c>
      <c r="C608" s="67" t="s">
        <v>1406</v>
      </c>
      <c r="D608" s="67" t="s">
        <v>358</v>
      </c>
      <c r="E608" s="67" t="s">
        <v>1368</v>
      </c>
      <c r="F608" s="67" t="s">
        <v>1462</v>
      </c>
      <c r="G608" s="69">
        <v>59</v>
      </c>
    </row>
    <row r="609" spans="1:7">
      <c r="A609" s="67" t="s">
        <v>2091</v>
      </c>
      <c r="B609" s="70">
        <v>46143</v>
      </c>
      <c r="C609" s="67" t="s">
        <v>1406</v>
      </c>
      <c r="D609" s="67" t="s">
        <v>1491</v>
      </c>
      <c r="E609" s="67" t="s">
        <v>1470</v>
      </c>
      <c r="F609" s="67" t="s">
        <v>1462</v>
      </c>
      <c r="G609" s="69">
        <v>80</v>
      </c>
    </row>
    <row r="610" spans="1:7">
      <c r="A610" s="67" t="s">
        <v>2092</v>
      </c>
      <c r="B610" s="70">
        <v>46143</v>
      </c>
      <c r="C610" s="67" t="s">
        <v>1411</v>
      </c>
      <c r="D610" s="67" t="s">
        <v>369</v>
      </c>
      <c r="E610" s="67" t="s">
        <v>1368</v>
      </c>
      <c r="F610" s="67" t="s">
        <v>1462</v>
      </c>
      <c r="G610" s="69">
        <v>57</v>
      </c>
    </row>
    <row r="611" spans="1:7">
      <c r="A611" s="67" t="s">
        <v>2093</v>
      </c>
      <c r="B611" s="70">
        <v>46143</v>
      </c>
      <c r="C611" s="67" t="s">
        <v>1411</v>
      </c>
      <c r="D611" s="67" t="s">
        <v>1506</v>
      </c>
      <c r="E611" s="67" t="s">
        <v>1482</v>
      </c>
      <c r="F611" s="67" t="s">
        <v>1462</v>
      </c>
      <c r="G611" s="69">
        <v>69</v>
      </c>
    </row>
    <row r="612" spans="1:7">
      <c r="A612" s="67" t="s">
        <v>2094</v>
      </c>
      <c r="B612" s="70">
        <v>46143</v>
      </c>
      <c r="C612" s="67" t="s">
        <v>1411</v>
      </c>
      <c r="D612" s="67" t="s">
        <v>1481</v>
      </c>
      <c r="E612" s="67" t="s">
        <v>1482</v>
      </c>
      <c r="F612" s="67" t="s">
        <v>1460</v>
      </c>
      <c r="G612" s="69">
        <v>30</v>
      </c>
    </row>
    <row r="613" spans="1:7">
      <c r="A613" s="67" t="s">
        <v>2095</v>
      </c>
      <c r="B613" s="70">
        <v>46143</v>
      </c>
      <c r="C613" s="67" t="s">
        <v>1411</v>
      </c>
      <c r="D613" s="67" t="s">
        <v>1481</v>
      </c>
      <c r="E613" s="67" t="s">
        <v>1482</v>
      </c>
      <c r="F613" s="67" t="s">
        <v>1462</v>
      </c>
      <c r="G613" s="69">
        <v>84</v>
      </c>
    </row>
    <row r="614" spans="1:7">
      <c r="A614" s="67" t="s">
        <v>2096</v>
      </c>
      <c r="B614" s="70">
        <v>46143</v>
      </c>
      <c r="C614" s="67" t="s">
        <v>1411</v>
      </c>
      <c r="D614" s="67" t="s">
        <v>1481</v>
      </c>
      <c r="E614" s="67" t="s">
        <v>1482</v>
      </c>
      <c r="F614" s="67" t="s">
        <v>1462</v>
      </c>
      <c r="G614" s="69">
        <v>323</v>
      </c>
    </row>
    <row r="615" spans="1:7">
      <c r="A615" s="67" t="s">
        <v>2097</v>
      </c>
      <c r="B615" s="70">
        <v>46143</v>
      </c>
      <c r="C615" s="67" t="s">
        <v>1411</v>
      </c>
      <c r="D615" s="67" t="s">
        <v>1481</v>
      </c>
      <c r="E615" s="67" t="s">
        <v>1482</v>
      </c>
      <c r="F615" s="67" t="s">
        <v>1460</v>
      </c>
      <c r="G615" s="69">
        <v>8</v>
      </c>
    </row>
    <row r="616" spans="1:7">
      <c r="A616" s="67" t="s">
        <v>2098</v>
      </c>
      <c r="B616" s="70">
        <v>46143</v>
      </c>
      <c r="C616" s="67" t="s">
        <v>1414</v>
      </c>
      <c r="D616" s="67" t="s">
        <v>1469</v>
      </c>
      <c r="E616" s="67" t="s">
        <v>1470</v>
      </c>
      <c r="F616" s="67" t="s">
        <v>1462</v>
      </c>
      <c r="G616" s="69">
        <v>197</v>
      </c>
    </row>
    <row r="617" spans="1:7">
      <c r="A617" s="67" t="s">
        <v>2099</v>
      </c>
      <c r="B617" s="70">
        <v>46143</v>
      </c>
      <c r="C617" s="67" t="s">
        <v>1414</v>
      </c>
      <c r="D617" s="67" t="s">
        <v>1469</v>
      </c>
      <c r="E617" s="67" t="s">
        <v>1470</v>
      </c>
      <c r="F617" s="67" t="s">
        <v>1488</v>
      </c>
      <c r="G617" s="69">
        <v>5</v>
      </c>
    </row>
    <row r="618" spans="1:7">
      <c r="A618" s="67" t="s">
        <v>2100</v>
      </c>
      <c r="B618" s="70">
        <v>46143</v>
      </c>
      <c r="C618" s="67" t="s">
        <v>1419</v>
      </c>
      <c r="D618" s="67" t="s">
        <v>353</v>
      </c>
      <c r="E618" s="67" t="s">
        <v>1368</v>
      </c>
      <c r="F618" s="67" t="s">
        <v>1462</v>
      </c>
      <c r="G618" s="69">
        <v>81</v>
      </c>
    </row>
    <row r="619" spans="1:7">
      <c r="A619" s="67" t="s">
        <v>2101</v>
      </c>
      <c r="B619" s="70">
        <v>46143</v>
      </c>
      <c r="C619" s="67" t="s">
        <v>1419</v>
      </c>
      <c r="D619" s="67" t="s">
        <v>365</v>
      </c>
      <c r="E619" s="67" t="s">
        <v>1368</v>
      </c>
      <c r="F619" s="67" t="s">
        <v>1462</v>
      </c>
      <c r="G619" s="69">
        <v>573</v>
      </c>
    </row>
    <row r="620" spans="1:7">
      <c r="A620" s="67" t="s">
        <v>2102</v>
      </c>
      <c r="B620" s="70">
        <v>46143</v>
      </c>
      <c r="C620" s="67" t="s">
        <v>1425</v>
      </c>
      <c r="D620" s="67" t="s">
        <v>1511</v>
      </c>
      <c r="E620" s="67" t="s">
        <v>1470</v>
      </c>
      <c r="F620" s="67" t="s">
        <v>1460</v>
      </c>
      <c r="G620" s="69">
        <v>26</v>
      </c>
    </row>
    <row r="621" spans="1:7">
      <c r="A621" s="67" t="s">
        <v>2103</v>
      </c>
      <c r="B621" s="70">
        <v>46143</v>
      </c>
      <c r="C621" s="67" t="s">
        <v>1425</v>
      </c>
      <c r="D621" s="67" t="s">
        <v>1511</v>
      </c>
      <c r="E621" s="67" t="s">
        <v>1470</v>
      </c>
      <c r="F621" s="67" t="s">
        <v>1462</v>
      </c>
      <c r="G621" s="69">
        <v>190</v>
      </c>
    </row>
    <row r="622" spans="1:7">
      <c r="A622" s="67" t="s">
        <v>2104</v>
      </c>
      <c r="B622" s="70">
        <v>46143</v>
      </c>
      <c r="C622" s="67" t="s">
        <v>1425</v>
      </c>
      <c r="D622" s="67" t="s">
        <v>1484</v>
      </c>
      <c r="E622" s="67" t="s">
        <v>1470</v>
      </c>
      <c r="F622" s="67" t="s">
        <v>1462</v>
      </c>
      <c r="G622" s="69">
        <v>386</v>
      </c>
    </row>
    <row r="623" spans="1:7">
      <c r="A623" s="67" t="s">
        <v>2105</v>
      </c>
      <c r="B623" s="70">
        <v>46143</v>
      </c>
      <c r="C623" s="67" t="s">
        <v>1442</v>
      </c>
      <c r="D623" s="67" t="s">
        <v>1459</v>
      </c>
      <c r="E623" s="67" t="s">
        <v>1362</v>
      </c>
      <c r="F623" s="67" t="s">
        <v>1462</v>
      </c>
      <c r="G623" s="69">
        <v>89</v>
      </c>
    </row>
    <row r="624" spans="1:7">
      <c r="A624" s="67" t="s">
        <v>2106</v>
      </c>
      <c r="B624" s="70">
        <v>46143</v>
      </c>
      <c r="C624" s="67" t="s">
        <v>1442</v>
      </c>
      <c r="D624" s="67" t="s">
        <v>1602</v>
      </c>
      <c r="E624" s="67" t="s">
        <v>1386</v>
      </c>
      <c r="F624" s="67" t="s">
        <v>1462</v>
      </c>
      <c r="G624" s="69">
        <v>359</v>
      </c>
    </row>
    <row r="625" spans="1:7">
      <c r="A625" s="67" t="s">
        <v>2107</v>
      </c>
      <c r="B625" s="70">
        <v>46144</v>
      </c>
      <c r="C625" s="67" t="s">
        <v>1359</v>
      </c>
      <c r="D625" s="67" t="s">
        <v>369</v>
      </c>
      <c r="E625" s="67" t="s">
        <v>1368</v>
      </c>
      <c r="F625" s="67" t="s">
        <v>1462</v>
      </c>
      <c r="G625" s="69">
        <v>455</v>
      </c>
    </row>
    <row r="626" spans="1:7">
      <c r="A626" s="67" t="s">
        <v>2108</v>
      </c>
      <c r="B626" s="70">
        <v>46144</v>
      </c>
      <c r="C626" s="67" t="s">
        <v>1359</v>
      </c>
      <c r="D626" s="67" t="s">
        <v>1602</v>
      </c>
      <c r="E626" s="67" t="s">
        <v>1386</v>
      </c>
      <c r="F626" s="67" t="s">
        <v>1462</v>
      </c>
      <c r="G626" s="69">
        <v>103</v>
      </c>
    </row>
    <row r="627" spans="1:7">
      <c r="A627" s="67" t="s">
        <v>2109</v>
      </c>
      <c r="B627" s="70">
        <v>46144</v>
      </c>
      <c r="C627" s="67" t="s">
        <v>1366</v>
      </c>
      <c r="D627" s="67" t="s">
        <v>353</v>
      </c>
      <c r="E627" s="67" t="s">
        <v>1368</v>
      </c>
      <c r="F627" s="67" t="s">
        <v>1462</v>
      </c>
      <c r="G627" s="69">
        <v>316</v>
      </c>
    </row>
    <row r="628" spans="1:7">
      <c r="A628" s="67" t="s">
        <v>2110</v>
      </c>
      <c r="B628" s="70">
        <v>46144</v>
      </c>
      <c r="C628" s="67" t="s">
        <v>1366</v>
      </c>
      <c r="D628" s="67" t="s">
        <v>1511</v>
      </c>
      <c r="E628" s="67" t="s">
        <v>1470</v>
      </c>
      <c r="F628" s="67" t="s">
        <v>1462</v>
      </c>
      <c r="G628" s="69">
        <v>49</v>
      </c>
    </row>
    <row r="629" spans="1:7">
      <c r="A629" s="67" t="s">
        <v>2111</v>
      </c>
      <c r="B629" s="70">
        <v>46144</v>
      </c>
      <c r="C629" s="67" t="s">
        <v>1366</v>
      </c>
      <c r="D629" s="67" t="s">
        <v>367</v>
      </c>
      <c r="E629" s="67" t="s">
        <v>1368</v>
      </c>
      <c r="F629" s="67" t="s">
        <v>1462</v>
      </c>
      <c r="G629" s="69">
        <v>561</v>
      </c>
    </row>
    <row r="630" spans="1:7">
      <c r="A630" s="67" t="s">
        <v>2112</v>
      </c>
      <c r="B630" s="70">
        <v>46144</v>
      </c>
      <c r="C630" s="67" t="s">
        <v>1366</v>
      </c>
      <c r="D630" s="67" t="s">
        <v>369</v>
      </c>
      <c r="E630" s="67" t="s">
        <v>1368</v>
      </c>
      <c r="F630" s="67" t="s">
        <v>1460</v>
      </c>
      <c r="G630" s="69">
        <v>23</v>
      </c>
    </row>
    <row r="631" spans="1:7">
      <c r="A631" s="67" t="s">
        <v>2113</v>
      </c>
      <c r="B631" s="70">
        <v>46144</v>
      </c>
      <c r="C631" s="67" t="s">
        <v>1381</v>
      </c>
      <c r="D631" s="67" t="s">
        <v>356</v>
      </c>
      <c r="E631" s="67" t="s">
        <v>1368</v>
      </c>
      <c r="F631" s="67" t="s">
        <v>1460</v>
      </c>
      <c r="G631" s="69">
        <v>30</v>
      </c>
    </row>
    <row r="632" spans="1:7">
      <c r="A632" s="67" t="s">
        <v>2114</v>
      </c>
      <c r="B632" s="70">
        <v>46144</v>
      </c>
      <c r="C632" s="67" t="s">
        <v>1381</v>
      </c>
      <c r="D632" s="67" t="s">
        <v>1459</v>
      </c>
      <c r="E632" s="67" t="s">
        <v>1362</v>
      </c>
      <c r="F632" s="67" t="s">
        <v>1462</v>
      </c>
      <c r="G632" s="69">
        <v>104</v>
      </c>
    </row>
    <row r="633" spans="1:7">
      <c r="A633" s="67" t="s">
        <v>2115</v>
      </c>
      <c r="B633" s="70">
        <v>46144</v>
      </c>
      <c r="C633" s="67" t="s">
        <v>1384</v>
      </c>
      <c r="D633" s="67" t="s">
        <v>1466</v>
      </c>
      <c r="E633" s="67" t="s">
        <v>1386</v>
      </c>
      <c r="F633" s="67" t="s">
        <v>1462</v>
      </c>
      <c r="G633" s="69">
        <v>497</v>
      </c>
    </row>
    <row r="634" spans="1:7">
      <c r="A634" s="67" t="s">
        <v>2116</v>
      </c>
      <c r="B634" s="70">
        <v>46144</v>
      </c>
      <c r="C634" s="67" t="s">
        <v>1399</v>
      </c>
      <c r="D634" s="67" t="s">
        <v>356</v>
      </c>
      <c r="E634" s="67" t="s">
        <v>1368</v>
      </c>
      <c r="F634" s="67" t="s">
        <v>1462</v>
      </c>
      <c r="G634" s="69">
        <v>293</v>
      </c>
    </row>
    <row r="635" spans="1:7">
      <c r="A635" s="67" t="s">
        <v>2117</v>
      </c>
      <c r="B635" s="70">
        <v>46144</v>
      </c>
      <c r="C635" s="67" t="s">
        <v>1404</v>
      </c>
      <c r="D635" s="67" t="s">
        <v>353</v>
      </c>
      <c r="E635" s="67" t="s">
        <v>1368</v>
      </c>
      <c r="F635" s="67" t="s">
        <v>1462</v>
      </c>
      <c r="G635" s="69">
        <v>91</v>
      </c>
    </row>
    <row r="636" spans="1:7">
      <c r="A636" s="67" t="s">
        <v>2118</v>
      </c>
      <c r="B636" s="70">
        <v>46144</v>
      </c>
      <c r="C636" s="67" t="s">
        <v>1404</v>
      </c>
      <c r="D636" s="67" t="s">
        <v>356</v>
      </c>
      <c r="E636" s="67" t="s">
        <v>1368</v>
      </c>
      <c r="F636" s="67" t="s">
        <v>1488</v>
      </c>
      <c r="G636" s="69">
        <v>10</v>
      </c>
    </row>
    <row r="637" spans="1:7">
      <c r="A637" s="67" t="s">
        <v>2119</v>
      </c>
      <c r="B637" s="70">
        <v>46144</v>
      </c>
      <c r="C637" s="67" t="s">
        <v>1404</v>
      </c>
      <c r="D637" s="67" t="s">
        <v>356</v>
      </c>
      <c r="E637" s="67" t="s">
        <v>1368</v>
      </c>
      <c r="F637" s="67" t="s">
        <v>1488</v>
      </c>
      <c r="G637" s="69">
        <v>4</v>
      </c>
    </row>
    <row r="638" spans="1:7">
      <c r="A638" s="67" t="s">
        <v>2120</v>
      </c>
      <c r="B638" s="70">
        <v>46144</v>
      </c>
      <c r="C638" s="67" t="s">
        <v>1414</v>
      </c>
      <c r="D638" s="67" t="s">
        <v>1511</v>
      </c>
      <c r="E638" s="67" t="s">
        <v>1470</v>
      </c>
      <c r="F638" s="67" t="s">
        <v>1462</v>
      </c>
      <c r="G638" s="69">
        <v>233</v>
      </c>
    </row>
    <row r="639" spans="1:7">
      <c r="A639" s="67" t="s">
        <v>2121</v>
      </c>
      <c r="B639" s="70">
        <v>46144</v>
      </c>
      <c r="C639" s="67" t="s">
        <v>1414</v>
      </c>
      <c r="D639" s="67" t="s">
        <v>1511</v>
      </c>
      <c r="E639" s="67" t="s">
        <v>1470</v>
      </c>
      <c r="F639" s="67" t="s">
        <v>1462</v>
      </c>
      <c r="G639" s="69">
        <v>385</v>
      </c>
    </row>
    <row r="640" spans="1:7">
      <c r="A640" s="67" t="s">
        <v>2122</v>
      </c>
      <c r="B640" s="70">
        <v>46144</v>
      </c>
      <c r="C640" s="67" t="s">
        <v>1414</v>
      </c>
      <c r="D640" s="67" t="s">
        <v>1469</v>
      </c>
      <c r="E640" s="67" t="s">
        <v>1470</v>
      </c>
      <c r="F640" s="67" t="s">
        <v>1488</v>
      </c>
      <c r="G640" s="69">
        <v>6</v>
      </c>
    </row>
    <row r="641" spans="1:7">
      <c r="A641" s="67" t="s">
        <v>2123</v>
      </c>
      <c r="B641" s="70">
        <v>46144</v>
      </c>
      <c r="C641" s="67" t="s">
        <v>1423</v>
      </c>
      <c r="D641" s="67" t="s">
        <v>1515</v>
      </c>
      <c r="E641" s="67" t="s">
        <v>1410</v>
      </c>
      <c r="F641" s="67" t="s">
        <v>1460</v>
      </c>
      <c r="G641" s="69">
        <v>7</v>
      </c>
    </row>
    <row r="642" spans="1:7">
      <c r="A642" s="67" t="s">
        <v>2124</v>
      </c>
      <c r="B642" s="70">
        <v>46144</v>
      </c>
      <c r="C642" s="67" t="s">
        <v>1431</v>
      </c>
      <c r="D642" s="67" t="s">
        <v>1618</v>
      </c>
      <c r="E642" s="67" t="s">
        <v>1433</v>
      </c>
      <c r="F642" s="67" t="s">
        <v>1462</v>
      </c>
      <c r="G642" s="69">
        <v>524</v>
      </c>
    </row>
    <row r="643" spans="1:7">
      <c r="A643" s="67" t="s">
        <v>2125</v>
      </c>
      <c r="B643" s="70">
        <v>46144</v>
      </c>
      <c r="C643" s="67" t="s">
        <v>1444</v>
      </c>
      <c r="D643" s="67" t="s">
        <v>369</v>
      </c>
      <c r="E643" s="67" t="s">
        <v>1368</v>
      </c>
      <c r="F643" s="67" t="s">
        <v>1462</v>
      </c>
      <c r="G643" s="69">
        <v>30</v>
      </c>
    </row>
    <row r="644" spans="1:7">
      <c r="A644" s="67" t="s">
        <v>2126</v>
      </c>
      <c r="B644" s="70">
        <v>46144</v>
      </c>
      <c r="C644" s="67" t="s">
        <v>1450</v>
      </c>
      <c r="D644" s="67" t="s">
        <v>1481</v>
      </c>
      <c r="E644" s="67" t="s">
        <v>1482</v>
      </c>
      <c r="F644" s="67" t="s">
        <v>1462</v>
      </c>
      <c r="G644" s="69">
        <v>264</v>
      </c>
    </row>
    <row r="645" spans="1:7">
      <c r="A645" s="67" t="s">
        <v>2127</v>
      </c>
      <c r="B645" s="70">
        <v>46145</v>
      </c>
      <c r="C645" s="67" t="s">
        <v>1366</v>
      </c>
      <c r="D645" s="67" t="s">
        <v>353</v>
      </c>
      <c r="E645" s="67" t="s">
        <v>1368</v>
      </c>
      <c r="F645" s="67" t="s">
        <v>1462</v>
      </c>
      <c r="G645" s="69">
        <v>384</v>
      </c>
    </row>
    <row r="646" spans="1:7">
      <c r="A646" s="67" t="s">
        <v>2128</v>
      </c>
      <c r="B646" s="70">
        <v>46145</v>
      </c>
      <c r="C646" s="67" t="s">
        <v>1366</v>
      </c>
      <c r="D646" s="67" t="s">
        <v>356</v>
      </c>
      <c r="E646" s="67" t="s">
        <v>1368</v>
      </c>
      <c r="F646" s="67" t="s">
        <v>1462</v>
      </c>
      <c r="G646" s="69">
        <v>340</v>
      </c>
    </row>
    <row r="647" spans="1:7">
      <c r="A647" s="67" t="s">
        <v>2129</v>
      </c>
      <c r="B647" s="70">
        <v>46145</v>
      </c>
      <c r="C647" s="67" t="s">
        <v>1371</v>
      </c>
      <c r="D647" s="67" t="s">
        <v>1476</v>
      </c>
      <c r="E647" s="67" t="s">
        <v>1362</v>
      </c>
      <c r="F647" s="67" t="s">
        <v>1460</v>
      </c>
      <c r="G647" s="69">
        <v>24</v>
      </c>
    </row>
    <row r="648" spans="1:7">
      <c r="A648" s="67" t="s">
        <v>2130</v>
      </c>
      <c r="B648" s="70">
        <v>46145</v>
      </c>
      <c r="C648" s="67" t="s">
        <v>1371</v>
      </c>
      <c r="D648" s="67" t="s">
        <v>1551</v>
      </c>
      <c r="E648" s="67" t="s">
        <v>1362</v>
      </c>
      <c r="F648" s="67" t="s">
        <v>1460</v>
      </c>
      <c r="G648" s="69">
        <v>16</v>
      </c>
    </row>
    <row r="649" spans="1:7">
      <c r="A649" s="67" t="s">
        <v>2131</v>
      </c>
      <c r="B649" s="70">
        <v>46145</v>
      </c>
      <c r="C649" s="67" t="s">
        <v>1371</v>
      </c>
      <c r="D649" s="67" t="s">
        <v>1459</v>
      </c>
      <c r="E649" s="67" t="s">
        <v>1362</v>
      </c>
      <c r="F649" s="67" t="s">
        <v>1460</v>
      </c>
      <c r="G649" s="69">
        <v>14</v>
      </c>
    </row>
    <row r="650" spans="1:7">
      <c r="A650" s="67" t="s">
        <v>2132</v>
      </c>
      <c r="B650" s="70">
        <v>46145</v>
      </c>
      <c r="C650" s="67" t="s">
        <v>1381</v>
      </c>
      <c r="D650" s="67" t="s">
        <v>1484</v>
      </c>
      <c r="E650" s="67" t="s">
        <v>1470</v>
      </c>
      <c r="F650" s="67" t="s">
        <v>1462</v>
      </c>
      <c r="G650" s="69">
        <v>494</v>
      </c>
    </row>
    <row r="651" spans="1:7">
      <c r="A651" s="67" t="s">
        <v>2133</v>
      </c>
      <c r="B651" s="70">
        <v>46145</v>
      </c>
      <c r="C651" s="67" t="s">
        <v>1384</v>
      </c>
      <c r="D651" s="67" t="s">
        <v>1466</v>
      </c>
      <c r="E651" s="67" t="s">
        <v>1386</v>
      </c>
      <c r="F651" s="67" t="s">
        <v>1462</v>
      </c>
      <c r="G651" s="69">
        <v>372</v>
      </c>
    </row>
    <row r="652" spans="1:7">
      <c r="A652" s="67" t="s">
        <v>2134</v>
      </c>
      <c r="B652" s="70">
        <v>46145</v>
      </c>
      <c r="C652" s="67" t="s">
        <v>1399</v>
      </c>
      <c r="D652" s="67" t="s">
        <v>1476</v>
      </c>
      <c r="E652" s="67" t="s">
        <v>1362</v>
      </c>
      <c r="F652" s="67" t="s">
        <v>1460</v>
      </c>
      <c r="G652" s="69">
        <v>14</v>
      </c>
    </row>
    <row r="653" spans="1:7">
      <c r="A653" s="67" t="s">
        <v>2135</v>
      </c>
      <c r="B653" s="70">
        <v>46145</v>
      </c>
      <c r="C653" s="67" t="s">
        <v>1399</v>
      </c>
      <c r="D653" s="67" t="s">
        <v>1466</v>
      </c>
      <c r="E653" s="67" t="s">
        <v>1386</v>
      </c>
      <c r="F653" s="67" t="s">
        <v>1462</v>
      </c>
      <c r="G653" s="69">
        <v>469</v>
      </c>
    </row>
    <row r="654" spans="1:7">
      <c r="A654" s="67" t="s">
        <v>2136</v>
      </c>
      <c r="B654" s="70">
        <v>46145</v>
      </c>
      <c r="C654" s="67" t="s">
        <v>1404</v>
      </c>
      <c r="D654" s="67" t="s">
        <v>1551</v>
      </c>
      <c r="E654" s="67" t="s">
        <v>1362</v>
      </c>
      <c r="F654" s="67" t="s">
        <v>1462</v>
      </c>
      <c r="G654" s="69">
        <v>575</v>
      </c>
    </row>
    <row r="655" spans="1:7">
      <c r="A655" s="67" t="s">
        <v>2137</v>
      </c>
      <c r="B655" s="70">
        <v>46145</v>
      </c>
      <c r="C655" s="67" t="s">
        <v>1406</v>
      </c>
      <c r="D655" s="67" t="s">
        <v>358</v>
      </c>
      <c r="E655" s="67" t="s">
        <v>1368</v>
      </c>
      <c r="F655" s="67" t="s">
        <v>1462</v>
      </c>
      <c r="G655" s="69">
        <v>264</v>
      </c>
    </row>
    <row r="656" spans="1:7">
      <c r="A656" s="67" t="s">
        <v>2138</v>
      </c>
      <c r="B656" s="70">
        <v>46145</v>
      </c>
      <c r="C656" s="67" t="s">
        <v>1411</v>
      </c>
      <c r="D656" s="67" t="s">
        <v>1506</v>
      </c>
      <c r="E656" s="67" t="s">
        <v>1482</v>
      </c>
      <c r="F656" s="67" t="s">
        <v>1488</v>
      </c>
      <c r="G656" s="69">
        <v>4</v>
      </c>
    </row>
    <row r="657" spans="1:7">
      <c r="A657" s="67" t="s">
        <v>2139</v>
      </c>
      <c r="B657" s="70">
        <v>46145</v>
      </c>
      <c r="C657" s="67" t="s">
        <v>1423</v>
      </c>
      <c r="D657" s="67" t="s">
        <v>1479</v>
      </c>
      <c r="E657" s="67" t="s">
        <v>1410</v>
      </c>
      <c r="F657" s="67" t="s">
        <v>1460</v>
      </c>
      <c r="G657" s="69">
        <v>29</v>
      </c>
    </row>
    <row r="658" spans="1:7">
      <c r="A658" s="67" t="s">
        <v>2140</v>
      </c>
      <c r="B658" s="70">
        <v>46145</v>
      </c>
      <c r="C658" s="67" t="s">
        <v>1444</v>
      </c>
      <c r="D658" s="67" t="s">
        <v>1551</v>
      </c>
      <c r="E658" s="67" t="s">
        <v>1362</v>
      </c>
      <c r="F658" s="67" t="s">
        <v>1462</v>
      </c>
      <c r="G658" s="69">
        <v>330</v>
      </c>
    </row>
    <row r="659" spans="1:7">
      <c r="A659" s="67" t="s">
        <v>2141</v>
      </c>
      <c r="B659" s="70">
        <v>46145</v>
      </c>
      <c r="C659" s="67" t="s">
        <v>1446</v>
      </c>
      <c r="D659" s="67" t="s">
        <v>1602</v>
      </c>
      <c r="E659" s="67" t="s">
        <v>1386</v>
      </c>
      <c r="F659" s="67" t="s">
        <v>1462</v>
      </c>
      <c r="G659" s="69">
        <v>420</v>
      </c>
    </row>
    <row r="660" spans="1:7">
      <c r="A660" s="67" t="s">
        <v>2142</v>
      </c>
      <c r="B660" s="70">
        <v>46146</v>
      </c>
      <c r="C660" s="67" t="s">
        <v>1359</v>
      </c>
      <c r="D660" s="67" t="s">
        <v>363</v>
      </c>
      <c r="E660" s="67" t="s">
        <v>1368</v>
      </c>
      <c r="F660" s="67" t="s">
        <v>1460</v>
      </c>
      <c r="G660" s="69">
        <v>12</v>
      </c>
    </row>
    <row r="661" spans="1:7">
      <c r="A661" s="67" t="s">
        <v>2143</v>
      </c>
      <c r="B661" s="70">
        <v>46146</v>
      </c>
      <c r="C661" s="67" t="s">
        <v>1359</v>
      </c>
      <c r="D661" s="67" t="s">
        <v>1466</v>
      </c>
      <c r="E661" s="67" t="s">
        <v>1386</v>
      </c>
      <c r="F661" s="67" t="s">
        <v>1462</v>
      </c>
      <c r="G661" s="69">
        <v>133</v>
      </c>
    </row>
    <row r="662" spans="1:7">
      <c r="A662" s="67" t="s">
        <v>2144</v>
      </c>
      <c r="B662" s="70">
        <v>46146</v>
      </c>
      <c r="C662" s="67" t="s">
        <v>1359</v>
      </c>
      <c r="D662" s="67" t="s">
        <v>1551</v>
      </c>
      <c r="E662" s="67" t="s">
        <v>1362</v>
      </c>
      <c r="F662" s="67" t="s">
        <v>1462</v>
      </c>
      <c r="G662" s="69">
        <v>182</v>
      </c>
    </row>
    <row r="663" spans="1:7">
      <c r="A663" s="67" t="s">
        <v>2145</v>
      </c>
      <c r="B663" s="70">
        <v>46146</v>
      </c>
      <c r="C663" s="67" t="s">
        <v>1366</v>
      </c>
      <c r="D663" s="67" t="s">
        <v>356</v>
      </c>
      <c r="E663" s="67" t="s">
        <v>1368</v>
      </c>
      <c r="F663" s="67" t="s">
        <v>1462</v>
      </c>
      <c r="G663" s="69">
        <v>479</v>
      </c>
    </row>
    <row r="664" spans="1:7">
      <c r="A664" s="67" t="s">
        <v>2146</v>
      </c>
      <c r="B664" s="70">
        <v>46146</v>
      </c>
      <c r="C664" s="67" t="s">
        <v>1371</v>
      </c>
      <c r="D664" s="67" t="s">
        <v>1476</v>
      </c>
      <c r="E664" s="67" t="s">
        <v>1362</v>
      </c>
      <c r="F664" s="67" t="s">
        <v>1462</v>
      </c>
      <c r="G664" s="69">
        <v>112</v>
      </c>
    </row>
    <row r="665" spans="1:7">
      <c r="A665" s="67" t="s">
        <v>2147</v>
      </c>
      <c r="B665" s="70">
        <v>46146</v>
      </c>
      <c r="C665" s="67" t="s">
        <v>1371</v>
      </c>
      <c r="D665" s="67" t="s">
        <v>1466</v>
      </c>
      <c r="E665" s="67" t="s">
        <v>1386</v>
      </c>
      <c r="F665" s="67" t="s">
        <v>1462</v>
      </c>
      <c r="G665" s="69">
        <v>244</v>
      </c>
    </row>
    <row r="666" spans="1:7">
      <c r="A666" s="67" t="s">
        <v>2148</v>
      </c>
      <c r="B666" s="70">
        <v>46146</v>
      </c>
      <c r="C666" s="67" t="s">
        <v>1371</v>
      </c>
      <c r="D666" s="67" t="s">
        <v>1466</v>
      </c>
      <c r="E666" s="67" t="s">
        <v>1386</v>
      </c>
      <c r="F666" s="67" t="s">
        <v>1462</v>
      </c>
      <c r="G666" s="69">
        <v>542</v>
      </c>
    </row>
    <row r="667" spans="1:7">
      <c r="A667" s="67" t="s">
        <v>2149</v>
      </c>
      <c r="B667" s="70">
        <v>46146</v>
      </c>
      <c r="C667" s="67" t="s">
        <v>1371</v>
      </c>
      <c r="D667" s="67" t="s">
        <v>1602</v>
      </c>
      <c r="E667" s="67" t="s">
        <v>1386</v>
      </c>
      <c r="F667" s="67" t="s">
        <v>1488</v>
      </c>
      <c r="G667" s="69">
        <v>10</v>
      </c>
    </row>
    <row r="668" spans="1:7">
      <c r="A668" s="67" t="s">
        <v>2150</v>
      </c>
      <c r="B668" s="70">
        <v>46146</v>
      </c>
      <c r="C668" s="67" t="s">
        <v>1375</v>
      </c>
      <c r="D668" s="67" t="s">
        <v>367</v>
      </c>
      <c r="E668" s="67" t="s">
        <v>1368</v>
      </c>
      <c r="F668" s="67" t="s">
        <v>1462</v>
      </c>
      <c r="G668" s="69">
        <v>338</v>
      </c>
    </row>
    <row r="669" spans="1:7">
      <c r="A669" s="67" t="s">
        <v>2151</v>
      </c>
      <c r="B669" s="70">
        <v>46146</v>
      </c>
      <c r="C669" s="67" t="s">
        <v>1381</v>
      </c>
      <c r="D669" s="67" t="s">
        <v>356</v>
      </c>
      <c r="E669" s="67" t="s">
        <v>1368</v>
      </c>
      <c r="F669" s="67" t="s">
        <v>1462</v>
      </c>
      <c r="G669" s="69">
        <v>270</v>
      </c>
    </row>
    <row r="670" spans="1:7">
      <c r="A670" s="67" t="s">
        <v>2152</v>
      </c>
      <c r="B670" s="70">
        <v>46146</v>
      </c>
      <c r="C670" s="67" t="s">
        <v>1381</v>
      </c>
      <c r="D670" s="67" t="s">
        <v>1607</v>
      </c>
      <c r="E670" s="67" t="s">
        <v>1470</v>
      </c>
      <c r="F670" s="67" t="s">
        <v>1462</v>
      </c>
      <c r="G670" s="69">
        <v>530</v>
      </c>
    </row>
    <row r="671" spans="1:7">
      <c r="A671" s="67" t="s">
        <v>2153</v>
      </c>
      <c r="B671" s="70">
        <v>46146</v>
      </c>
      <c r="C671" s="67" t="s">
        <v>1381</v>
      </c>
      <c r="D671" s="67" t="s">
        <v>358</v>
      </c>
      <c r="E671" s="67" t="s">
        <v>1368</v>
      </c>
      <c r="F671" s="67" t="s">
        <v>1462</v>
      </c>
      <c r="G671" s="69">
        <v>314</v>
      </c>
    </row>
    <row r="672" spans="1:7">
      <c r="A672" s="67" t="s">
        <v>2154</v>
      </c>
      <c r="B672" s="70">
        <v>46146</v>
      </c>
      <c r="C672" s="67" t="s">
        <v>1393</v>
      </c>
      <c r="D672" s="67" t="s">
        <v>369</v>
      </c>
      <c r="E672" s="67" t="s">
        <v>1368</v>
      </c>
      <c r="F672" s="67" t="s">
        <v>1460</v>
      </c>
      <c r="G672" s="69">
        <v>19</v>
      </c>
    </row>
    <row r="673" spans="1:7">
      <c r="A673" s="67" t="s">
        <v>2155</v>
      </c>
      <c r="B673" s="70">
        <v>46146</v>
      </c>
      <c r="C673" s="67" t="s">
        <v>1404</v>
      </c>
      <c r="D673" s="67" t="s">
        <v>1511</v>
      </c>
      <c r="E673" s="67" t="s">
        <v>1470</v>
      </c>
      <c r="F673" s="67" t="s">
        <v>1460</v>
      </c>
      <c r="G673" s="69">
        <v>5</v>
      </c>
    </row>
    <row r="674" spans="1:7">
      <c r="A674" s="67" t="s">
        <v>2156</v>
      </c>
      <c r="B674" s="70">
        <v>46146</v>
      </c>
      <c r="C674" s="67" t="s">
        <v>1406</v>
      </c>
      <c r="D674" s="67" t="s">
        <v>365</v>
      </c>
      <c r="E674" s="67" t="s">
        <v>1368</v>
      </c>
      <c r="F674" s="67" t="s">
        <v>1462</v>
      </c>
      <c r="G674" s="69">
        <v>97</v>
      </c>
    </row>
    <row r="675" spans="1:7">
      <c r="A675" s="67" t="s">
        <v>2157</v>
      </c>
      <c r="B675" s="70">
        <v>46146</v>
      </c>
      <c r="C675" s="67" t="s">
        <v>1411</v>
      </c>
      <c r="D675" s="67" t="s">
        <v>1506</v>
      </c>
      <c r="E675" s="67" t="s">
        <v>1482</v>
      </c>
      <c r="F675" s="67" t="s">
        <v>1462</v>
      </c>
      <c r="G675" s="69">
        <v>66</v>
      </c>
    </row>
    <row r="676" spans="1:7">
      <c r="A676" s="67" t="s">
        <v>2158</v>
      </c>
      <c r="B676" s="70">
        <v>46146</v>
      </c>
      <c r="C676" s="67" t="s">
        <v>1411</v>
      </c>
      <c r="D676" s="67" t="s">
        <v>1506</v>
      </c>
      <c r="E676" s="67" t="s">
        <v>1482</v>
      </c>
      <c r="F676" s="67" t="s">
        <v>1488</v>
      </c>
      <c r="G676" s="69">
        <v>5</v>
      </c>
    </row>
    <row r="677" spans="1:7">
      <c r="A677" s="67" t="s">
        <v>2159</v>
      </c>
      <c r="B677" s="70">
        <v>46146</v>
      </c>
      <c r="C677" s="67" t="s">
        <v>1411</v>
      </c>
      <c r="D677" s="67" t="s">
        <v>1481</v>
      </c>
      <c r="E677" s="67" t="s">
        <v>1482</v>
      </c>
      <c r="F677" s="67" t="s">
        <v>1462</v>
      </c>
      <c r="G677" s="69">
        <v>451</v>
      </c>
    </row>
    <row r="678" spans="1:7">
      <c r="A678" s="67" t="s">
        <v>2160</v>
      </c>
      <c r="B678" s="70">
        <v>46146</v>
      </c>
      <c r="C678" s="67" t="s">
        <v>1414</v>
      </c>
      <c r="D678" s="67" t="s">
        <v>1511</v>
      </c>
      <c r="E678" s="67" t="s">
        <v>1470</v>
      </c>
      <c r="F678" s="67" t="s">
        <v>1462</v>
      </c>
      <c r="G678" s="69">
        <v>343</v>
      </c>
    </row>
    <row r="679" spans="1:7">
      <c r="A679" s="67" t="s">
        <v>2161</v>
      </c>
      <c r="B679" s="70">
        <v>46146</v>
      </c>
      <c r="C679" s="67" t="s">
        <v>1414</v>
      </c>
      <c r="D679" s="67" t="s">
        <v>1484</v>
      </c>
      <c r="E679" s="67" t="s">
        <v>1470</v>
      </c>
      <c r="F679" s="67" t="s">
        <v>1462</v>
      </c>
      <c r="G679" s="69">
        <v>233</v>
      </c>
    </row>
    <row r="680" spans="1:7">
      <c r="A680" s="67" t="s">
        <v>2162</v>
      </c>
      <c r="B680" s="70">
        <v>46146</v>
      </c>
      <c r="C680" s="67" t="s">
        <v>1414</v>
      </c>
      <c r="D680" s="67" t="s">
        <v>1491</v>
      </c>
      <c r="E680" s="67" t="s">
        <v>1470</v>
      </c>
      <c r="F680" s="67" t="s">
        <v>1462</v>
      </c>
      <c r="G680" s="69">
        <v>211</v>
      </c>
    </row>
    <row r="681" spans="1:7">
      <c r="A681" s="67" t="s">
        <v>2163</v>
      </c>
      <c r="B681" s="70">
        <v>46146</v>
      </c>
      <c r="C681" s="67" t="s">
        <v>1429</v>
      </c>
      <c r="D681" s="67" t="s">
        <v>369</v>
      </c>
      <c r="E681" s="67" t="s">
        <v>1368</v>
      </c>
      <c r="F681" s="67" t="s">
        <v>1462</v>
      </c>
      <c r="G681" s="69">
        <v>80</v>
      </c>
    </row>
    <row r="682" spans="1:7">
      <c r="A682" s="67" t="s">
        <v>2164</v>
      </c>
      <c r="B682" s="70">
        <v>46146</v>
      </c>
      <c r="C682" s="67" t="s">
        <v>1444</v>
      </c>
      <c r="D682" s="67" t="s">
        <v>1459</v>
      </c>
      <c r="E682" s="67" t="s">
        <v>1362</v>
      </c>
      <c r="F682" s="67" t="s">
        <v>1462</v>
      </c>
      <c r="G682" s="69">
        <v>379</v>
      </c>
    </row>
    <row r="683" spans="1:7">
      <c r="A683" s="67" t="s">
        <v>2165</v>
      </c>
      <c r="B683" s="70">
        <v>46146</v>
      </c>
      <c r="C683" s="67" t="s">
        <v>1446</v>
      </c>
      <c r="D683" s="67" t="s">
        <v>1476</v>
      </c>
      <c r="E683" s="67" t="s">
        <v>1362</v>
      </c>
      <c r="F683" s="67" t="s">
        <v>1462</v>
      </c>
      <c r="G683" s="69">
        <v>597</v>
      </c>
    </row>
    <row r="684" spans="1:7">
      <c r="A684" s="67" t="s">
        <v>2166</v>
      </c>
      <c r="B684" s="70">
        <v>46147</v>
      </c>
      <c r="C684" s="67" t="s">
        <v>1366</v>
      </c>
      <c r="D684" s="67" t="s">
        <v>356</v>
      </c>
      <c r="E684" s="67" t="s">
        <v>1368</v>
      </c>
      <c r="F684" s="67" t="s">
        <v>1462</v>
      </c>
      <c r="G684" s="69">
        <v>342</v>
      </c>
    </row>
    <row r="685" spans="1:7">
      <c r="A685" s="67" t="s">
        <v>2167</v>
      </c>
      <c r="B685" s="70">
        <v>46147</v>
      </c>
      <c r="C685" s="67" t="s">
        <v>1366</v>
      </c>
      <c r="D685" s="67" t="s">
        <v>1484</v>
      </c>
      <c r="E685" s="67" t="s">
        <v>1470</v>
      </c>
      <c r="F685" s="67" t="s">
        <v>1460</v>
      </c>
      <c r="G685" s="69">
        <v>10</v>
      </c>
    </row>
    <row r="686" spans="1:7">
      <c r="A686" s="67" t="s">
        <v>2168</v>
      </c>
      <c r="B686" s="70">
        <v>46147</v>
      </c>
      <c r="C686" s="67" t="s">
        <v>1366</v>
      </c>
      <c r="D686" s="67" t="s">
        <v>365</v>
      </c>
      <c r="E686" s="67" t="s">
        <v>1368</v>
      </c>
      <c r="F686" s="67" t="s">
        <v>1462</v>
      </c>
      <c r="G686" s="69">
        <v>188</v>
      </c>
    </row>
    <row r="687" spans="1:7">
      <c r="A687" s="67" t="s">
        <v>2169</v>
      </c>
      <c r="B687" s="70">
        <v>46147</v>
      </c>
      <c r="C687" s="67" t="s">
        <v>1371</v>
      </c>
      <c r="D687" s="67" t="s">
        <v>1476</v>
      </c>
      <c r="E687" s="67" t="s">
        <v>1362</v>
      </c>
      <c r="F687" s="67" t="s">
        <v>1460</v>
      </c>
      <c r="G687" s="69">
        <v>5</v>
      </c>
    </row>
    <row r="688" spans="1:7">
      <c r="A688" s="67" t="s">
        <v>2170</v>
      </c>
      <c r="B688" s="70">
        <v>46147</v>
      </c>
      <c r="C688" s="67" t="s">
        <v>1371</v>
      </c>
      <c r="D688" s="67" t="s">
        <v>1466</v>
      </c>
      <c r="E688" s="67" t="s">
        <v>1386</v>
      </c>
      <c r="F688" s="67" t="s">
        <v>1462</v>
      </c>
      <c r="G688" s="69">
        <v>309</v>
      </c>
    </row>
    <row r="689" spans="1:7">
      <c r="A689" s="67" t="s">
        <v>2171</v>
      </c>
      <c r="B689" s="70">
        <v>46147</v>
      </c>
      <c r="C689" s="67" t="s">
        <v>1371</v>
      </c>
      <c r="D689" s="67" t="s">
        <v>1551</v>
      </c>
      <c r="E689" s="67" t="s">
        <v>1362</v>
      </c>
      <c r="F689" s="67" t="s">
        <v>1462</v>
      </c>
      <c r="G689" s="69">
        <v>537</v>
      </c>
    </row>
    <row r="690" spans="1:7">
      <c r="A690" s="67" t="s">
        <v>2172</v>
      </c>
      <c r="B690" s="70">
        <v>46147</v>
      </c>
      <c r="C690" s="67" t="s">
        <v>1389</v>
      </c>
      <c r="D690" s="67" t="s">
        <v>367</v>
      </c>
      <c r="E690" s="67" t="s">
        <v>1368</v>
      </c>
      <c r="F690" s="67" t="s">
        <v>1462</v>
      </c>
      <c r="G690" s="69">
        <v>359</v>
      </c>
    </row>
    <row r="691" spans="1:7">
      <c r="A691" s="67" t="s">
        <v>2173</v>
      </c>
      <c r="B691" s="70">
        <v>46147</v>
      </c>
      <c r="C691" s="67" t="s">
        <v>1389</v>
      </c>
      <c r="D691" s="67" t="s">
        <v>358</v>
      </c>
      <c r="E691" s="67" t="s">
        <v>1368</v>
      </c>
      <c r="F691" s="67" t="s">
        <v>1462</v>
      </c>
      <c r="G691" s="69">
        <v>68</v>
      </c>
    </row>
    <row r="692" spans="1:7">
      <c r="A692" s="67" t="s">
        <v>2174</v>
      </c>
      <c r="B692" s="70">
        <v>46147</v>
      </c>
      <c r="C692" s="67" t="s">
        <v>1404</v>
      </c>
      <c r="D692" s="67" t="s">
        <v>353</v>
      </c>
      <c r="E692" s="67" t="s">
        <v>1368</v>
      </c>
      <c r="F692" s="67" t="s">
        <v>1462</v>
      </c>
      <c r="G692" s="69">
        <v>267</v>
      </c>
    </row>
    <row r="693" spans="1:7">
      <c r="A693" s="67" t="s">
        <v>2175</v>
      </c>
      <c r="B693" s="70">
        <v>46147</v>
      </c>
      <c r="C693" s="67" t="s">
        <v>1406</v>
      </c>
      <c r="D693" s="67" t="s">
        <v>353</v>
      </c>
      <c r="E693" s="67" t="s">
        <v>1368</v>
      </c>
      <c r="F693" s="67" t="s">
        <v>1462</v>
      </c>
      <c r="G693" s="69">
        <v>358</v>
      </c>
    </row>
    <row r="694" spans="1:7">
      <c r="A694" s="67" t="s">
        <v>2176</v>
      </c>
      <c r="B694" s="70">
        <v>46147</v>
      </c>
      <c r="C694" s="67" t="s">
        <v>1411</v>
      </c>
      <c r="D694" s="67" t="s">
        <v>369</v>
      </c>
      <c r="E694" s="67" t="s">
        <v>1368</v>
      </c>
      <c r="F694" s="67" t="s">
        <v>1462</v>
      </c>
      <c r="G694" s="69">
        <v>465</v>
      </c>
    </row>
    <row r="695" spans="1:7">
      <c r="A695" s="67" t="s">
        <v>2177</v>
      </c>
      <c r="B695" s="70">
        <v>46147</v>
      </c>
      <c r="C695" s="67" t="s">
        <v>1411</v>
      </c>
      <c r="D695" s="67" t="s">
        <v>1506</v>
      </c>
      <c r="E695" s="67" t="s">
        <v>1482</v>
      </c>
      <c r="F695" s="67" t="s">
        <v>1462</v>
      </c>
      <c r="G695" s="69">
        <v>65</v>
      </c>
    </row>
    <row r="696" spans="1:7">
      <c r="A696" s="67" t="s">
        <v>2178</v>
      </c>
      <c r="B696" s="70">
        <v>46147</v>
      </c>
      <c r="C696" s="67" t="s">
        <v>1411</v>
      </c>
      <c r="D696" s="67" t="s">
        <v>1481</v>
      </c>
      <c r="E696" s="67" t="s">
        <v>1482</v>
      </c>
      <c r="F696" s="67" t="s">
        <v>1460</v>
      </c>
      <c r="G696" s="69">
        <v>30</v>
      </c>
    </row>
    <row r="697" spans="1:7">
      <c r="A697" s="67" t="s">
        <v>2179</v>
      </c>
      <c r="B697" s="70">
        <v>46147</v>
      </c>
      <c r="C697" s="67" t="s">
        <v>1411</v>
      </c>
      <c r="D697" s="67" t="s">
        <v>1481</v>
      </c>
      <c r="E697" s="67" t="s">
        <v>1482</v>
      </c>
      <c r="F697" s="67" t="s">
        <v>1462</v>
      </c>
      <c r="G697" s="69">
        <v>221</v>
      </c>
    </row>
    <row r="698" spans="1:7">
      <c r="A698" s="67" t="s">
        <v>2180</v>
      </c>
      <c r="B698" s="70">
        <v>46147</v>
      </c>
      <c r="C698" s="67" t="s">
        <v>1425</v>
      </c>
      <c r="D698" s="67" t="s">
        <v>1484</v>
      </c>
      <c r="E698" s="67" t="s">
        <v>1470</v>
      </c>
      <c r="F698" s="67" t="s">
        <v>1462</v>
      </c>
      <c r="G698" s="69">
        <v>190</v>
      </c>
    </row>
    <row r="699" spans="1:7">
      <c r="A699" s="67" t="s">
        <v>2181</v>
      </c>
      <c r="B699" s="70">
        <v>46147</v>
      </c>
      <c r="C699" s="67" t="s">
        <v>1429</v>
      </c>
      <c r="D699" s="67" t="s">
        <v>353</v>
      </c>
      <c r="E699" s="67" t="s">
        <v>1368</v>
      </c>
      <c r="F699" s="67" t="s">
        <v>1462</v>
      </c>
      <c r="G699" s="69">
        <v>259</v>
      </c>
    </row>
    <row r="700" spans="1:7">
      <c r="A700" s="67" t="s">
        <v>2182</v>
      </c>
      <c r="B700" s="70">
        <v>46147</v>
      </c>
      <c r="C700" s="67" t="s">
        <v>1446</v>
      </c>
      <c r="D700" s="67" t="s">
        <v>356</v>
      </c>
      <c r="E700" s="67" t="s">
        <v>1368</v>
      </c>
      <c r="F700" s="67" t="s">
        <v>1462</v>
      </c>
      <c r="G700" s="69">
        <v>215</v>
      </c>
    </row>
    <row r="701" spans="1:7">
      <c r="A701" s="67" t="s">
        <v>2183</v>
      </c>
      <c r="B701" s="70">
        <v>46147</v>
      </c>
      <c r="C701" s="67" t="s">
        <v>1446</v>
      </c>
      <c r="D701" s="67" t="s">
        <v>1551</v>
      </c>
      <c r="E701" s="67" t="s">
        <v>1362</v>
      </c>
      <c r="F701" s="67" t="s">
        <v>1462</v>
      </c>
      <c r="G701" s="69">
        <v>196</v>
      </c>
    </row>
    <row r="702" spans="1:7">
      <c r="A702" s="67" t="s">
        <v>2184</v>
      </c>
      <c r="B702" s="70">
        <v>46147</v>
      </c>
      <c r="C702" s="67" t="s">
        <v>1448</v>
      </c>
      <c r="D702" s="67" t="s">
        <v>1520</v>
      </c>
      <c r="E702" s="67" t="s">
        <v>1433</v>
      </c>
      <c r="F702" s="67" t="s">
        <v>1460</v>
      </c>
      <c r="G702" s="69">
        <v>16</v>
      </c>
    </row>
    <row r="703" spans="1:7">
      <c r="A703" s="67" t="s">
        <v>2185</v>
      </c>
      <c r="B703" s="70">
        <v>46148</v>
      </c>
      <c r="C703" s="67" t="s">
        <v>1359</v>
      </c>
      <c r="D703" s="67" t="s">
        <v>356</v>
      </c>
      <c r="E703" s="67" t="s">
        <v>1368</v>
      </c>
      <c r="F703" s="67" t="s">
        <v>1462</v>
      </c>
      <c r="G703" s="69">
        <v>149</v>
      </c>
    </row>
    <row r="704" spans="1:7">
      <c r="A704" s="67" t="s">
        <v>2186</v>
      </c>
      <c r="B704" s="70">
        <v>46148</v>
      </c>
      <c r="C704" s="67" t="s">
        <v>1359</v>
      </c>
      <c r="D704" s="67" t="s">
        <v>1466</v>
      </c>
      <c r="E704" s="67" t="s">
        <v>1386</v>
      </c>
      <c r="F704" s="67" t="s">
        <v>1462</v>
      </c>
      <c r="G704" s="69">
        <v>239</v>
      </c>
    </row>
    <row r="705" spans="1:7">
      <c r="A705" s="67" t="s">
        <v>2187</v>
      </c>
      <c r="B705" s="70">
        <v>46148</v>
      </c>
      <c r="C705" s="67" t="s">
        <v>1359</v>
      </c>
      <c r="D705" s="67" t="s">
        <v>1466</v>
      </c>
      <c r="E705" s="67" t="s">
        <v>1386</v>
      </c>
      <c r="F705" s="67" t="s">
        <v>1460</v>
      </c>
      <c r="G705" s="69">
        <v>27</v>
      </c>
    </row>
    <row r="706" spans="1:7">
      <c r="A706" s="67" t="s">
        <v>2188</v>
      </c>
      <c r="B706" s="70">
        <v>46148</v>
      </c>
      <c r="C706" s="67" t="s">
        <v>1366</v>
      </c>
      <c r="D706" s="67" t="s">
        <v>358</v>
      </c>
      <c r="E706" s="67" t="s">
        <v>1368</v>
      </c>
      <c r="F706" s="67" t="s">
        <v>1460</v>
      </c>
      <c r="G706" s="69">
        <v>26</v>
      </c>
    </row>
    <row r="707" spans="1:7">
      <c r="A707" s="67" t="s">
        <v>2189</v>
      </c>
      <c r="B707" s="70">
        <v>46148</v>
      </c>
      <c r="C707" s="67" t="s">
        <v>1378</v>
      </c>
      <c r="D707" s="67" t="s">
        <v>353</v>
      </c>
      <c r="E707" s="67" t="s">
        <v>1368</v>
      </c>
      <c r="F707" s="67" t="s">
        <v>1460</v>
      </c>
      <c r="G707" s="69">
        <v>25</v>
      </c>
    </row>
    <row r="708" spans="1:7">
      <c r="A708" s="67" t="s">
        <v>2190</v>
      </c>
      <c r="B708" s="70">
        <v>46148</v>
      </c>
      <c r="C708" s="67" t="s">
        <v>1378</v>
      </c>
      <c r="D708" s="67" t="s">
        <v>367</v>
      </c>
      <c r="E708" s="67" t="s">
        <v>1368</v>
      </c>
      <c r="F708" s="67" t="s">
        <v>1460</v>
      </c>
      <c r="G708" s="69">
        <v>13</v>
      </c>
    </row>
    <row r="709" spans="1:7">
      <c r="A709" s="67" t="s">
        <v>2191</v>
      </c>
      <c r="B709" s="70">
        <v>46148</v>
      </c>
      <c r="C709" s="67" t="s">
        <v>1381</v>
      </c>
      <c r="D709" s="67" t="s">
        <v>363</v>
      </c>
      <c r="E709" s="67" t="s">
        <v>1368</v>
      </c>
      <c r="F709" s="67" t="s">
        <v>1460</v>
      </c>
      <c r="G709" s="69">
        <v>22</v>
      </c>
    </row>
    <row r="710" spans="1:7">
      <c r="A710" s="67" t="s">
        <v>2192</v>
      </c>
      <c r="B710" s="70">
        <v>46148</v>
      </c>
      <c r="C710" s="67" t="s">
        <v>1393</v>
      </c>
      <c r="D710" s="67" t="s">
        <v>1618</v>
      </c>
      <c r="E710" s="67" t="s">
        <v>1433</v>
      </c>
      <c r="F710" s="67" t="s">
        <v>1462</v>
      </c>
      <c r="G710" s="69">
        <v>414</v>
      </c>
    </row>
    <row r="711" spans="1:7">
      <c r="A711" s="67" t="s">
        <v>2193</v>
      </c>
      <c r="B711" s="70">
        <v>46148</v>
      </c>
      <c r="C711" s="67" t="s">
        <v>1399</v>
      </c>
      <c r="D711" s="67" t="s">
        <v>1459</v>
      </c>
      <c r="E711" s="67" t="s">
        <v>1362</v>
      </c>
      <c r="F711" s="67" t="s">
        <v>1462</v>
      </c>
      <c r="G711" s="69">
        <v>411</v>
      </c>
    </row>
    <row r="712" spans="1:7">
      <c r="A712" s="67" t="s">
        <v>2194</v>
      </c>
      <c r="B712" s="70">
        <v>46148</v>
      </c>
      <c r="C712" s="67" t="s">
        <v>1404</v>
      </c>
      <c r="D712" s="67" t="s">
        <v>353</v>
      </c>
      <c r="E712" s="67" t="s">
        <v>1368</v>
      </c>
      <c r="F712" s="67" t="s">
        <v>1462</v>
      </c>
      <c r="G712" s="69">
        <v>74</v>
      </c>
    </row>
    <row r="713" spans="1:7">
      <c r="A713" s="67" t="s">
        <v>2195</v>
      </c>
      <c r="B713" s="70">
        <v>46148</v>
      </c>
      <c r="C713" s="67" t="s">
        <v>1408</v>
      </c>
      <c r="D713" s="67" t="s">
        <v>1487</v>
      </c>
      <c r="E713" s="67" t="s">
        <v>1410</v>
      </c>
      <c r="F713" s="67" t="s">
        <v>1462</v>
      </c>
      <c r="G713" s="69">
        <v>251</v>
      </c>
    </row>
    <row r="714" spans="1:7">
      <c r="A714" s="67" t="s">
        <v>2196</v>
      </c>
      <c r="B714" s="70">
        <v>46148</v>
      </c>
      <c r="C714" s="67" t="s">
        <v>1411</v>
      </c>
      <c r="D714" s="67" t="s">
        <v>1506</v>
      </c>
      <c r="E714" s="67" t="s">
        <v>1482</v>
      </c>
      <c r="F714" s="67" t="s">
        <v>1462</v>
      </c>
      <c r="G714" s="69">
        <v>309</v>
      </c>
    </row>
    <row r="715" spans="1:7">
      <c r="A715" s="67" t="s">
        <v>2197</v>
      </c>
      <c r="B715" s="70">
        <v>46148</v>
      </c>
      <c r="C715" s="67" t="s">
        <v>1411</v>
      </c>
      <c r="D715" s="67" t="s">
        <v>1481</v>
      </c>
      <c r="E715" s="67" t="s">
        <v>1482</v>
      </c>
      <c r="F715" s="67" t="s">
        <v>1462</v>
      </c>
      <c r="G715" s="69">
        <v>117</v>
      </c>
    </row>
    <row r="716" spans="1:7">
      <c r="A716" s="67" t="s">
        <v>2198</v>
      </c>
      <c r="B716" s="70">
        <v>46148</v>
      </c>
      <c r="C716" s="67" t="s">
        <v>1414</v>
      </c>
      <c r="D716" s="67" t="s">
        <v>1484</v>
      </c>
      <c r="E716" s="67" t="s">
        <v>1470</v>
      </c>
      <c r="F716" s="67" t="s">
        <v>1462</v>
      </c>
      <c r="G716" s="69">
        <v>435</v>
      </c>
    </row>
    <row r="717" spans="1:7">
      <c r="A717" s="67" t="s">
        <v>2199</v>
      </c>
      <c r="B717" s="70">
        <v>46148</v>
      </c>
      <c r="C717" s="67" t="s">
        <v>1425</v>
      </c>
      <c r="D717" s="67" t="s">
        <v>1511</v>
      </c>
      <c r="E717" s="67" t="s">
        <v>1470</v>
      </c>
      <c r="F717" s="67" t="s">
        <v>1462</v>
      </c>
      <c r="G717" s="69">
        <v>487</v>
      </c>
    </row>
    <row r="718" spans="1:7">
      <c r="A718" s="67" t="s">
        <v>2200</v>
      </c>
      <c r="B718" s="70">
        <v>46148</v>
      </c>
      <c r="C718" s="67" t="s">
        <v>1431</v>
      </c>
      <c r="D718" s="67" t="s">
        <v>1520</v>
      </c>
      <c r="E718" s="67" t="s">
        <v>1433</v>
      </c>
      <c r="F718" s="67" t="s">
        <v>1460</v>
      </c>
      <c r="G718" s="69">
        <v>14</v>
      </c>
    </row>
    <row r="719" spans="1:7">
      <c r="A719" s="67" t="s">
        <v>2201</v>
      </c>
      <c r="B719" s="70">
        <v>46148</v>
      </c>
      <c r="C719" s="67" t="s">
        <v>1434</v>
      </c>
      <c r="D719" s="67" t="s">
        <v>1466</v>
      </c>
      <c r="E719" s="67" t="s">
        <v>1386</v>
      </c>
      <c r="F719" s="67" t="s">
        <v>1460</v>
      </c>
      <c r="G719" s="69">
        <v>20</v>
      </c>
    </row>
    <row r="720" spans="1:7">
      <c r="A720" s="67" t="s">
        <v>2202</v>
      </c>
      <c r="B720" s="70">
        <v>46148</v>
      </c>
      <c r="C720" s="67" t="s">
        <v>1442</v>
      </c>
      <c r="D720" s="67" t="s">
        <v>1466</v>
      </c>
      <c r="E720" s="67" t="s">
        <v>1386</v>
      </c>
      <c r="F720" s="67" t="s">
        <v>1462</v>
      </c>
      <c r="G720" s="69">
        <v>529</v>
      </c>
    </row>
    <row r="721" spans="1:7">
      <c r="A721" s="67" t="s">
        <v>2203</v>
      </c>
      <c r="B721" s="70">
        <v>46148</v>
      </c>
      <c r="C721" s="67" t="s">
        <v>1442</v>
      </c>
      <c r="D721" s="67" t="s">
        <v>1466</v>
      </c>
      <c r="E721" s="67" t="s">
        <v>1386</v>
      </c>
      <c r="F721" s="67" t="s">
        <v>1462</v>
      </c>
      <c r="G721" s="69">
        <v>468</v>
      </c>
    </row>
    <row r="722" spans="1:7">
      <c r="A722" s="67" t="s">
        <v>2204</v>
      </c>
      <c r="B722" s="70">
        <v>46148</v>
      </c>
      <c r="C722" s="67" t="s">
        <v>1444</v>
      </c>
      <c r="D722" s="67" t="s">
        <v>367</v>
      </c>
      <c r="E722" s="67" t="s">
        <v>1368</v>
      </c>
      <c r="F722" s="67" t="s">
        <v>1462</v>
      </c>
      <c r="G722" s="69">
        <v>402</v>
      </c>
    </row>
    <row r="723" spans="1:7">
      <c r="A723" s="67" t="s">
        <v>2205</v>
      </c>
      <c r="B723" s="70">
        <v>46148</v>
      </c>
      <c r="C723" s="67" t="s">
        <v>1450</v>
      </c>
      <c r="D723" s="67" t="s">
        <v>1506</v>
      </c>
      <c r="E723" s="67" t="s">
        <v>1482</v>
      </c>
      <c r="F723" s="67" t="s">
        <v>1462</v>
      </c>
      <c r="G723" s="69">
        <v>452</v>
      </c>
    </row>
    <row r="724" spans="1:7">
      <c r="A724" s="67" t="s">
        <v>2206</v>
      </c>
      <c r="B724" s="70">
        <v>46149</v>
      </c>
      <c r="C724" s="67" t="s">
        <v>1359</v>
      </c>
      <c r="D724" s="67" t="s">
        <v>1476</v>
      </c>
      <c r="E724" s="67" t="s">
        <v>1362</v>
      </c>
      <c r="F724" s="67" t="s">
        <v>1462</v>
      </c>
      <c r="G724" s="69">
        <v>257</v>
      </c>
    </row>
    <row r="725" spans="1:7">
      <c r="A725" s="67" t="s">
        <v>2207</v>
      </c>
      <c r="B725" s="70">
        <v>46149</v>
      </c>
      <c r="C725" s="67" t="s">
        <v>1359</v>
      </c>
      <c r="D725" s="67" t="s">
        <v>1476</v>
      </c>
      <c r="E725" s="67" t="s">
        <v>1362</v>
      </c>
      <c r="F725" s="67" t="s">
        <v>1462</v>
      </c>
      <c r="G725" s="69">
        <v>172</v>
      </c>
    </row>
    <row r="726" spans="1:7">
      <c r="A726" s="67" t="s">
        <v>2208</v>
      </c>
      <c r="B726" s="70">
        <v>46149</v>
      </c>
      <c r="C726" s="67" t="s">
        <v>1359</v>
      </c>
      <c r="D726" s="67" t="s">
        <v>369</v>
      </c>
      <c r="E726" s="67" t="s">
        <v>1368</v>
      </c>
      <c r="F726" s="67" t="s">
        <v>1462</v>
      </c>
      <c r="G726" s="69">
        <v>42</v>
      </c>
    </row>
    <row r="727" spans="1:7">
      <c r="A727" s="67" t="s">
        <v>2209</v>
      </c>
      <c r="B727" s="70">
        <v>46149</v>
      </c>
      <c r="C727" s="67" t="s">
        <v>1359</v>
      </c>
      <c r="D727" s="67" t="s">
        <v>1466</v>
      </c>
      <c r="E727" s="67" t="s">
        <v>1386</v>
      </c>
      <c r="F727" s="67" t="s">
        <v>1462</v>
      </c>
      <c r="G727" s="69">
        <v>354</v>
      </c>
    </row>
    <row r="728" spans="1:7">
      <c r="A728" s="67" t="s">
        <v>2210</v>
      </c>
      <c r="B728" s="70">
        <v>46149</v>
      </c>
      <c r="C728" s="67" t="s">
        <v>1359</v>
      </c>
      <c r="D728" s="67" t="s">
        <v>1459</v>
      </c>
      <c r="E728" s="67" t="s">
        <v>1362</v>
      </c>
      <c r="F728" s="67" t="s">
        <v>1462</v>
      </c>
      <c r="G728" s="69">
        <v>305</v>
      </c>
    </row>
    <row r="729" spans="1:7">
      <c r="A729" s="67" t="s">
        <v>2211</v>
      </c>
      <c r="B729" s="70">
        <v>46149</v>
      </c>
      <c r="C729" s="67" t="s">
        <v>1366</v>
      </c>
      <c r="D729" s="67" t="s">
        <v>1511</v>
      </c>
      <c r="E729" s="67" t="s">
        <v>1470</v>
      </c>
      <c r="F729" s="67" t="s">
        <v>1462</v>
      </c>
      <c r="G729" s="69">
        <v>141</v>
      </c>
    </row>
    <row r="730" spans="1:7">
      <c r="A730" s="67" t="s">
        <v>2212</v>
      </c>
      <c r="B730" s="70">
        <v>46149</v>
      </c>
      <c r="C730" s="67" t="s">
        <v>1366</v>
      </c>
      <c r="D730" s="67" t="s">
        <v>1551</v>
      </c>
      <c r="E730" s="67" t="s">
        <v>1362</v>
      </c>
      <c r="F730" s="67" t="s">
        <v>1462</v>
      </c>
      <c r="G730" s="69">
        <v>475</v>
      </c>
    </row>
    <row r="731" spans="1:7">
      <c r="A731" s="67" t="s">
        <v>2213</v>
      </c>
      <c r="B731" s="70">
        <v>46149</v>
      </c>
      <c r="C731" s="67" t="s">
        <v>1366</v>
      </c>
      <c r="D731" s="67" t="s">
        <v>1551</v>
      </c>
      <c r="E731" s="67" t="s">
        <v>1362</v>
      </c>
      <c r="F731" s="67" t="s">
        <v>1462</v>
      </c>
      <c r="G731" s="69">
        <v>352</v>
      </c>
    </row>
    <row r="732" spans="1:7">
      <c r="A732" s="67" t="s">
        <v>2214</v>
      </c>
      <c r="B732" s="70">
        <v>46149</v>
      </c>
      <c r="C732" s="67" t="s">
        <v>1366</v>
      </c>
      <c r="D732" s="67" t="s">
        <v>358</v>
      </c>
      <c r="E732" s="67" t="s">
        <v>1368</v>
      </c>
      <c r="F732" s="67" t="s">
        <v>1460</v>
      </c>
      <c r="G732" s="69">
        <v>7</v>
      </c>
    </row>
    <row r="733" spans="1:7">
      <c r="A733" s="67" t="s">
        <v>2215</v>
      </c>
      <c r="B733" s="70">
        <v>46149</v>
      </c>
      <c r="C733" s="67" t="s">
        <v>1366</v>
      </c>
      <c r="D733" s="67" t="s">
        <v>358</v>
      </c>
      <c r="E733" s="67" t="s">
        <v>1368</v>
      </c>
      <c r="F733" s="67" t="s">
        <v>1462</v>
      </c>
      <c r="G733" s="69">
        <v>343</v>
      </c>
    </row>
    <row r="734" spans="1:7">
      <c r="A734" s="67" t="s">
        <v>2216</v>
      </c>
      <c r="B734" s="70">
        <v>46149</v>
      </c>
      <c r="C734" s="67" t="s">
        <v>1371</v>
      </c>
      <c r="D734" s="67" t="s">
        <v>1466</v>
      </c>
      <c r="E734" s="67" t="s">
        <v>1386</v>
      </c>
      <c r="F734" s="67" t="s">
        <v>1462</v>
      </c>
      <c r="G734" s="69">
        <v>503</v>
      </c>
    </row>
    <row r="735" spans="1:7">
      <c r="A735" s="67" t="s">
        <v>2217</v>
      </c>
      <c r="B735" s="70">
        <v>46149</v>
      </c>
      <c r="C735" s="67" t="s">
        <v>1371</v>
      </c>
      <c r="D735" s="67" t="s">
        <v>1459</v>
      </c>
      <c r="E735" s="67" t="s">
        <v>1362</v>
      </c>
      <c r="F735" s="67" t="s">
        <v>1488</v>
      </c>
      <c r="G735" s="69">
        <v>7</v>
      </c>
    </row>
    <row r="736" spans="1:7">
      <c r="A736" s="67" t="s">
        <v>2218</v>
      </c>
      <c r="B736" s="70">
        <v>46149</v>
      </c>
      <c r="C736" s="67" t="s">
        <v>1375</v>
      </c>
      <c r="D736" s="67" t="s">
        <v>365</v>
      </c>
      <c r="E736" s="67" t="s">
        <v>1368</v>
      </c>
      <c r="F736" s="67" t="s">
        <v>1460</v>
      </c>
      <c r="G736" s="69">
        <v>15</v>
      </c>
    </row>
    <row r="737" spans="1:7">
      <c r="A737" s="67" t="s">
        <v>2219</v>
      </c>
      <c r="B737" s="70">
        <v>46149</v>
      </c>
      <c r="C737" s="67" t="s">
        <v>1375</v>
      </c>
      <c r="D737" s="67" t="s">
        <v>367</v>
      </c>
      <c r="E737" s="67" t="s">
        <v>1368</v>
      </c>
      <c r="F737" s="67" t="s">
        <v>1462</v>
      </c>
      <c r="G737" s="69">
        <v>175</v>
      </c>
    </row>
    <row r="738" spans="1:7">
      <c r="A738" s="67" t="s">
        <v>2220</v>
      </c>
      <c r="B738" s="70">
        <v>46149</v>
      </c>
      <c r="C738" s="67" t="s">
        <v>1375</v>
      </c>
      <c r="D738" s="67" t="s">
        <v>358</v>
      </c>
      <c r="E738" s="67" t="s">
        <v>1368</v>
      </c>
      <c r="F738" s="67" t="s">
        <v>1462</v>
      </c>
      <c r="G738" s="69">
        <v>451</v>
      </c>
    </row>
    <row r="739" spans="1:7">
      <c r="A739" s="67" t="s">
        <v>2221</v>
      </c>
      <c r="B739" s="70">
        <v>46149</v>
      </c>
      <c r="C739" s="67" t="s">
        <v>1384</v>
      </c>
      <c r="D739" s="67" t="s">
        <v>1602</v>
      </c>
      <c r="E739" s="67" t="s">
        <v>1386</v>
      </c>
      <c r="F739" s="67" t="s">
        <v>1462</v>
      </c>
      <c r="G739" s="69">
        <v>129</v>
      </c>
    </row>
    <row r="740" spans="1:7">
      <c r="A740" s="67" t="s">
        <v>2222</v>
      </c>
      <c r="B740" s="70">
        <v>46149</v>
      </c>
      <c r="C740" s="67" t="s">
        <v>1393</v>
      </c>
      <c r="D740" s="67" t="s">
        <v>356</v>
      </c>
      <c r="E740" s="67" t="s">
        <v>1368</v>
      </c>
      <c r="F740" s="67" t="s">
        <v>1462</v>
      </c>
      <c r="G740" s="69">
        <v>380</v>
      </c>
    </row>
    <row r="741" spans="1:7">
      <c r="A741" s="67" t="s">
        <v>2223</v>
      </c>
      <c r="B741" s="70">
        <v>46149</v>
      </c>
      <c r="C741" s="67" t="s">
        <v>1404</v>
      </c>
      <c r="D741" s="67" t="s">
        <v>363</v>
      </c>
      <c r="E741" s="67" t="s">
        <v>1368</v>
      </c>
      <c r="F741" s="67" t="s">
        <v>1462</v>
      </c>
      <c r="G741" s="69">
        <v>462</v>
      </c>
    </row>
    <row r="742" spans="1:7">
      <c r="A742" s="67" t="s">
        <v>2224</v>
      </c>
      <c r="B742" s="70">
        <v>46149</v>
      </c>
      <c r="C742" s="67" t="s">
        <v>1406</v>
      </c>
      <c r="D742" s="67" t="s">
        <v>1551</v>
      </c>
      <c r="E742" s="67" t="s">
        <v>1362</v>
      </c>
      <c r="F742" s="67" t="s">
        <v>1462</v>
      </c>
      <c r="G742" s="69">
        <v>184</v>
      </c>
    </row>
    <row r="743" spans="1:7">
      <c r="A743" s="67" t="s">
        <v>2225</v>
      </c>
      <c r="B743" s="70">
        <v>46149</v>
      </c>
      <c r="C743" s="67" t="s">
        <v>1411</v>
      </c>
      <c r="D743" s="67" t="s">
        <v>1506</v>
      </c>
      <c r="E743" s="67" t="s">
        <v>1482</v>
      </c>
      <c r="F743" s="67" t="s">
        <v>1462</v>
      </c>
      <c r="G743" s="69">
        <v>533</v>
      </c>
    </row>
    <row r="744" spans="1:7">
      <c r="A744" s="67" t="s">
        <v>2226</v>
      </c>
      <c r="B744" s="70">
        <v>46149</v>
      </c>
      <c r="C744" s="67" t="s">
        <v>1411</v>
      </c>
      <c r="D744" s="67" t="s">
        <v>1506</v>
      </c>
      <c r="E744" s="67" t="s">
        <v>1482</v>
      </c>
      <c r="F744" s="67" t="s">
        <v>1462</v>
      </c>
      <c r="G744" s="69">
        <v>34</v>
      </c>
    </row>
    <row r="745" spans="1:7">
      <c r="A745" s="67" t="s">
        <v>2227</v>
      </c>
      <c r="B745" s="70">
        <v>46149</v>
      </c>
      <c r="C745" s="67" t="s">
        <v>1414</v>
      </c>
      <c r="D745" s="67" t="s">
        <v>1607</v>
      </c>
      <c r="E745" s="67" t="s">
        <v>1470</v>
      </c>
      <c r="F745" s="67" t="s">
        <v>1462</v>
      </c>
      <c r="G745" s="69">
        <v>443</v>
      </c>
    </row>
    <row r="746" spans="1:7">
      <c r="A746" s="67" t="s">
        <v>2228</v>
      </c>
      <c r="B746" s="70">
        <v>46149</v>
      </c>
      <c r="C746" s="67" t="s">
        <v>1414</v>
      </c>
      <c r="D746" s="67" t="s">
        <v>1607</v>
      </c>
      <c r="E746" s="67" t="s">
        <v>1470</v>
      </c>
      <c r="F746" s="67" t="s">
        <v>1462</v>
      </c>
      <c r="G746" s="69">
        <v>133</v>
      </c>
    </row>
    <row r="747" spans="1:7">
      <c r="A747" s="67" t="s">
        <v>2229</v>
      </c>
      <c r="B747" s="70">
        <v>46149</v>
      </c>
      <c r="C747" s="67" t="s">
        <v>1414</v>
      </c>
      <c r="D747" s="67" t="s">
        <v>1484</v>
      </c>
      <c r="E747" s="67" t="s">
        <v>1470</v>
      </c>
      <c r="F747" s="67" t="s">
        <v>1460</v>
      </c>
      <c r="G747" s="69">
        <v>7</v>
      </c>
    </row>
    <row r="748" spans="1:7">
      <c r="A748" s="67" t="s">
        <v>2230</v>
      </c>
      <c r="B748" s="70">
        <v>46149</v>
      </c>
      <c r="C748" s="67" t="s">
        <v>1414</v>
      </c>
      <c r="D748" s="67" t="s">
        <v>1484</v>
      </c>
      <c r="E748" s="67" t="s">
        <v>1470</v>
      </c>
      <c r="F748" s="67" t="s">
        <v>1462</v>
      </c>
      <c r="G748" s="69">
        <v>179</v>
      </c>
    </row>
    <row r="749" spans="1:7">
      <c r="A749" s="67" t="s">
        <v>2231</v>
      </c>
      <c r="B749" s="70">
        <v>46149</v>
      </c>
      <c r="C749" s="67" t="s">
        <v>1423</v>
      </c>
      <c r="D749" s="67" t="s">
        <v>353</v>
      </c>
      <c r="E749" s="67" t="s">
        <v>1368</v>
      </c>
      <c r="F749" s="67" t="s">
        <v>1462</v>
      </c>
      <c r="G749" s="69">
        <v>46</v>
      </c>
    </row>
    <row r="750" spans="1:7">
      <c r="A750" s="67" t="s">
        <v>2232</v>
      </c>
      <c r="B750" s="70">
        <v>46149</v>
      </c>
      <c r="C750" s="67" t="s">
        <v>1423</v>
      </c>
      <c r="D750" s="67" t="s">
        <v>1479</v>
      </c>
      <c r="E750" s="67" t="s">
        <v>1410</v>
      </c>
      <c r="F750" s="67" t="s">
        <v>1462</v>
      </c>
      <c r="G750" s="69">
        <v>497</v>
      </c>
    </row>
    <row r="751" spans="1:7">
      <c r="A751" s="67" t="s">
        <v>2233</v>
      </c>
      <c r="B751" s="70">
        <v>46149</v>
      </c>
      <c r="C751" s="67" t="s">
        <v>1425</v>
      </c>
      <c r="D751" s="67" t="s">
        <v>1607</v>
      </c>
      <c r="E751" s="67" t="s">
        <v>1470</v>
      </c>
      <c r="F751" s="67" t="s">
        <v>1462</v>
      </c>
      <c r="G751" s="69">
        <v>597</v>
      </c>
    </row>
    <row r="752" spans="1:7">
      <c r="A752" s="67" t="s">
        <v>2234</v>
      </c>
      <c r="B752" s="70">
        <v>46149</v>
      </c>
      <c r="C752" s="67" t="s">
        <v>1425</v>
      </c>
      <c r="D752" s="67" t="s">
        <v>1484</v>
      </c>
      <c r="E752" s="67" t="s">
        <v>1470</v>
      </c>
      <c r="F752" s="67" t="s">
        <v>1462</v>
      </c>
      <c r="G752" s="69">
        <v>110</v>
      </c>
    </row>
    <row r="753" spans="1:7">
      <c r="A753" s="67" t="s">
        <v>2235</v>
      </c>
      <c r="B753" s="70">
        <v>46149</v>
      </c>
      <c r="C753" s="67" t="s">
        <v>1425</v>
      </c>
      <c r="D753" s="67" t="s">
        <v>1484</v>
      </c>
      <c r="E753" s="67" t="s">
        <v>1470</v>
      </c>
      <c r="F753" s="67" t="s">
        <v>1462</v>
      </c>
      <c r="G753" s="69">
        <v>312</v>
      </c>
    </row>
    <row r="754" spans="1:7">
      <c r="A754" s="67" t="s">
        <v>2236</v>
      </c>
      <c r="B754" s="70">
        <v>46149</v>
      </c>
      <c r="C754" s="67" t="s">
        <v>1444</v>
      </c>
      <c r="D754" s="67" t="s">
        <v>1466</v>
      </c>
      <c r="E754" s="67" t="s">
        <v>1386</v>
      </c>
      <c r="F754" s="67" t="s">
        <v>1462</v>
      </c>
      <c r="G754" s="69">
        <v>54</v>
      </c>
    </row>
    <row r="755" spans="1:7">
      <c r="A755" s="67" t="s">
        <v>2237</v>
      </c>
      <c r="B755" s="70">
        <v>46149</v>
      </c>
      <c r="C755" s="67" t="s">
        <v>1444</v>
      </c>
      <c r="D755" s="67" t="s">
        <v>1459</v>
      </c>
      <c r="E755" s="67" t="s">
        <v>1362</v>
      </c>
      <c r="F755" s="67" t="s">
        <v>1462</v>
      </c>
      <c r="G755" s="69">
        <v>23</v>
      </c>
    </row>
    <row r="756" spans="1:7">
      <c r="A756" s="67" t="s">
        <v>2238</v>
      </c>
      <c r="B756" s="70">
        <v>46150</v>
      </c>
      <c r="C756" s="67" t="s">
        <v>1359</v>
      </c>
      <c r="D756" s="67" t="s">
        <v>1476</v>
      </c>
      <c r="E756" s="67" t="s">
        <v>1362</v>
      </c>
      <c r="F756" s="67" t="s">
        <v>1462</v>
      </c>
      <c r="G756" s="69">
        <v>70</v>
      </c>
    </row>
    <row r="757" spans="1:7">
      <c r="A757" s="67" t="s">
        <v>2239</v>
      </c>
      <c r="B757" s="70">
        <v>46150</v>
      </c>
      <c r="C757" s="67" t="s">
        <v>1359</v>
      </c>
      <c r="D757" s="67" t="s">
        <v>1551</v>
      </c>
      <c r="E757" s="67" t="s">
        <v>1362</v>
      </c>
      <c r="F757" s="67" t="s">
        <v>1462</v>
      </c>
      <c r="G757" s="69">
        <v>422</v>
      </c>
    </row>
    <row r="758" spans="1:7">
      <c r="A758" s="67" t="s">
        <v>2240</v>
      </c>
      <c r="B758" s="70">
        <v>46150</v>
      </c>
      <c r="C758" s="67" t="s">
        <v>1366</v>
      </c>
      <c r="D758" s="67" t="s">
        <v>353</v>
      </c>
      <c r="E758" s="67" t="s">
        <v>1368</v>
      </c>
      <c r="F758" s="67" t="s">
        <v>1460</v>
      </c>
      <c r="G758" s="69">
        <v>11</v>
      </c>
    </row>
    <row r="759" spans="1:7">
      <c r="A759" s="67" t="s">
        <v>2241</v>
      </c>
      <c r="B759" s="70">
        <v>46150</v>
      </c>
      <c r="C759" s="67" t="s">
        <v>1366</v>
      </c>
      <c r="D759" s="67" t="s">
        <v>353</v>
      </c>
      <c r="E759" s="67" t="s">
        <v>1368</v>
      </c>
      <c r="F759" s="67" t="s">
        <v>1460</v>
      </c>
      <c r="G759" s="69">
        <v>9</v>
      </c>
    </row>
    <row r="760" spans="1:7">
      <c r="A760" s="67" t="s">
        <v>2242</v>
      </c>
      <c r="B760" s="70">
        <v>46150</v>
      </c>
      <c r="C760" s="67" t="s">
        <v>1366</v>
      </c>
      <c r="D760" s="67" t="s">
        <v>1469</v>
      </c>
      <c r="E760" s="67" t="s">
        <v>1470</v>
      </c>
      <c r="F760" s="67" t="s">
        <v>1462</v>
      </c>
      <c r="G760" s="69">
        <v>449</v>
      </c>
    </row>
    <row r="761" spans="1:7">
      <c r="A761" s="67" t="s">
        <v>2243</v>
      </c>
      <c r="B761" s="70">
        <v>46150</v>
      </c>
      <c r="C761" s="67" t="s">
        <v>1371</v>
      </c>
      <c r="D761" s="67" t="s">
        <v>1459</v>
      </c>
      <c r="E761" s="67" t="s">
        <v>1362</v>
      </c>
      <c r="F761" s="67" t="s">
        <v>1462</v>
      </c>
      <c r="G761" s="69">
        <v>516</v>
      </c>
    </row>
    <row r="762" spans="1:7">
      <c r="A762" s="67" t="s">
        <v>2244</v>
      </c>
      <c r="B762" s="70">
        <v>46150</v>
      </c>
      <c r="C762" s="67" t="s">
        <v>1378</v>
      </c>
      <c r="D762" s="67" t="s">
        <v>365</v>
      </c>
      <c r="E762" s="67" t="s">
        <v>1368</v>
      </c>
      <c r="F762" s="67" t="s">
        <v>1462</v>
      </c>
      <c r="G762" s="69">
        <v>450</v>
      </c>
    </row>
    <row r="763" spans="1:7">
      <c r="A763" s="67" t="s">
        <v>2245</v>
      </c>
      <c r="B763" s="70">
        <v>46150</v>
      </c>
      <c r="C763" s="67" t="s">
        <v>1381</v>
      </c>
      <c r="D763" s="67" t="s">
        <v>356</v>
      </c>
      <c r="E763" s="67" t="s">
        <v>1368</v>
      </c>
      <c r="F763" s="67" t="s">
        <v>1460</v>
      </c>
      <c r="G763" s="69">
        <v>9</v>
      </c>
    </row>
    <row r="764" spans="1:7">
      <c r="A764" s="67" t="s">
        <v>2246</v>
      </c>
      <c r="B764" s="70">
        <v>46150</v>
      </c>
      <c r="C764" s="67" t="s">
        <v>1381</v>
      </c>
      <c r="D764" s="67" t="s">
        <v>369</v>
      </c>
      <c r="E764" s="67" t="s">
        <v>1368</v>
      </c>
      <c r="F764" s="67" t="s">
        <v>1462</v>
      </c>
      <c r="G764" s="69">
        <v>51</v>
      </c>
    </row>
    <row r="765" spans="1:7">
      <c r="A765" s="67" t="s">
        <v>2247</v>
      </c>
      <c r="B765" s="70">
        <v>46150</v>
      </c>
      <c r="C765" s="67" t="s">
        <v>1384</v>
      </c>
      <c r="D765" s="67" t="s">
        <v>1476</v>
      </c>
      <c r="E765" s="67" t="s">
        <v>1362</v>
      </c>
      <c r="F765" s="67" t="s">
        <v>1462</v>
      </c>
      <c r="G765" s="69">
        <v>52</v>
      </c>
    </row>
    <row r="766" spans="1:7">
      <c r="A766" s="67" t="s">
        <v>2248</v>
      </c>
      <c r="B766" s="70">
        <v>46150</v>
      </c>
      <c r="C766" s="67" t="s">
        <v>1384</v>
      </c>
      <c r="D766" s="67" t="s">
        <v>1466</v>
      </c>
      <c r="E766" s="67" t="s">
        <v>1386</v>
      </c>
      <c r="F766" s="67" t="s">
        <v>1460</v>
      </c>
      <c r="G766" s="69">
        <v>22</v>
      </c>
    </row>
    <row r="767" spans="1:7">
      <c r="A767" s="67" t="s">
        <v>2249</v>
      </c>
      <c r="B767" s="70">
        <v>46150</v>
      </c>
      <c r="C767" s="67" t="s">
        <v>1389</v>
      </c>
      <c r="D767" s="67" t="s">
        <v>356</v>
      </c>
      <c r="E767" s="67" t="s">
        <v>1368</v>
      </c>
      <c r="F767" s="67" t="s">
        <v>1462</v>
      </c>
      <c r="G767" s="69">
        <v>78</v>
      </c>
    </row>
    <row r="768" spans="1:7">
      <c r="A768" s="67" t="s">
        <v>2250</v>
      </c>
      <c r="B768" s="70">
        <v>46150</v>
      </c>
      <c r="C768" s="67" t="s">
        <v>1401</v>
      </c>
      <c r="D768" s="67" t="s">
        <v>1551</v>
      </c>
      <c r="E768" s="67" t="s">
        <v>1362</v>
      </c>
      <c r="F768" s="67" t="s">
        <v>1462</v>
      </c>
      <c r="G768" s="69">
        <v>463</v>
      </c>
    </row>
    <row r="769" spans="1:7">
      <c r="A769" s="67" t="s">
        <v>2251</v>
      </c>
      <c r="B769" s="70">
        <v>46150</v>
      </c>
      <c r="C769" s="67" t="s">
        <v>1404</v>
      </c>
      <c r="D769" s="67" t="s">
        <v>365</v>
      </c>
      <c r="E769" s="67" t="s">
        <v>1368</v>
      </c>
      <c r="F769" s="67" t="s">
        <v>1462</v>
      </c>
      <c r="G769" s="69">
        <v>170</v>
      </c>
    </row>
    <row r="770" spans="1:7">
      <c r="A770" s="67" t="s">
        <v>2252</v>
      </c>
      <c r="B770" s="70">
        <v>46150</v>
      </c>
      <c r="C770" s="67" t="s">
        <v>1404</v>
      </c>
      <c r="D770" s="67" t="s">
        <v>358</v>
      </c>
      <c r="E770" s="67" t="s">
        <v>1368</v>
      </c>
      <c r="F770" s="67" t="s">
        <v>1462</v>
      </c>
      <c r="G770" s="69">
        <v>146</v>
      </c>
    </row>
    <row r="771" spans="1:7">
      <c r="A771" s="67" t="s">
        <v>2253</v>
      </c>
      <c r="B771" s="70">
        <v>46150</v>
      </c>
      <c r="C771" s="67" t="s">
        <v>1406</v>
      </c>
      <c r="D771" s="67" t="s">
        <v>356</v>
      </c>
      <c r="E771" s="67" t="s">
        <v>1368</v>
      </c>
      <c r="F771" s="67" t="s">
        <v>1460</v>
      </c>
      <c r="G771" s="69">
        <v>27</v>
      </c>
    </row>
    <row r="772" spans="1:7">
      <c r="A772" s="67" t="s">
        <v>2254</v>
      </c>
      <c r="B772" s="70">
        <v>46150</v>
      </c>
      <c r="C772" s="67" t="s">
        <v>1414</v>
      </c>
      <c r="D772" s="67" t="s">
        <v>1484</v>
      </c>
      <c r="E772" s="67" t="s">
        <v>1470</v>
      </c>
      <c r="F772" s="67" t="s">
        <v>1462</v>
      </c>
      <c r="G772" s="69">
        <v>420</v>
      </c>
    </row>
    <row r="773" spans="1:7">
      <c r="A773" s="67" t="s">
        <v>2255</v>
      </c>
      <c r="B773" s="70">
        <v>46150</v>
      </c>
      <c r="C773" s="67" t="s">
        <v>1414</v>
      </c>
      <c r="D773" s="67" t="s">
        <v>1484</v>
      </c>
      <c r="E773" s="67" t="s">
        <v>1470</v>
      </c>
      <c r="F773" s="67" t="s">
        <v>1460</v>
      </c>
      <c r="G773" s="69">
        <v>12</v>
      </c>
    </row>
    <row r="774" spans="1:7">
      <c r="A774" s="67" t="s">
        <v>2256</v>
      </c>
      <c r="B774" s="70">
        <v>46150</v>
      </c>
      <c r="C774" s="67" t="s">
        <v>1423</v>
      </c>
      <c r="D774" s="67" t="s">
        <v>1487</v>
      </c>
      <c r="E774" s="67" t="s">
        <v>1410</v>
      </c>
      <c r="F774" s="67" t="s">
        <v>1462</v>
      </c>
      <c r="G774" s="69">
        <v>332</v>
      </c>
    </row>
    <row r="775" spans="1:7">
      <c r="A775" s="67" t="s">
        <v>2257</v>
      </c>
      <c r="B775" s="70">
        <v>46150</v>
      </c>
      <c r="C775" s="67" t="s">
        <v>1423</v>
      </c>
      <c r="D775" s="67" t="s">
        <v>1487</v>
      </c>
      <c r="E775" s="67" t="s">
        <v>1410</v>
      </c>
      <c r="F775" s="67" t="s">
        <v>1462</v>
      </c>
      <c r="G775" s="69">
        <v>585</v>
      </c>
    </row>
    <row r="776" spans="1:7">
      <c r="A776" s="67" t="s">
        <v>2258</v>
      </c>
      <c r="B776" s="70">
        <v>46150</v>
      </c>
      <c r="C776" s="67" t="s">
        <v>1423</v>
      </c>
      <c r="D776" s="67" t="s">
        <v>1479</v>
      </c>
      <c r="E776" s="67" t="s">
        <v>1410</v>
      </c>
      <c r="F776" s="67" t="s">
        <v>1488</v>
      </c>
      <c r="G776" s="69">
        <v>9</v>
      </c>
    </row>
    <row r="777" spans="1:7">
      <c r="A777" s="67" t="s">
        <v>2259</v>
      </c>
      <c r="B777" s="70">
        <v>46150</v>
      </c>
      <c r="C777" s="67" t="s">
        <v>1423</v>
      </c>
      <c r="D777" s="67" t="s">
        <v>1515</v>
      </c>
      <c r="E777" s="67" t="s">
        <v>1410</v>
      </c>
      <c r="F777" s="67" t="s">
        <v>1462</v>
      </c>
      <c r="G777" s="69">
        <v>106</v>
      </c>
    </row>
    <row r="778" spans="1:7">
      <c r="A778" s="67" t="s">
        <v>2260</v>
      </c>
      <c r="B778" s="70">
        <v>46150</v>
      </c>
      <c r="C778" s="67" t="s">
        <v>1429</v>
      </c>
      <c r="D778" s="67" t="s">
        <v>353</v>
      </c>
      <c r="E778" s="67" t="s">
        <v>1368</v>
      </c>
      <c r="F778" s="67" t="s">
        <v>1462</v>
      </c>
      <c r="G778" s="69">
        <v>78</v>
      </c>
    </row>
    <row r="779" spans="1:7">
      <c r="A779" s="67" t="s">
        <v>2261</v>
      </c>
      <c r="B779" s="70">
        <v>46150</v>
      </c>
      <c r="C779" s="67" t="s">
        <v>1429</v>
      </c>
      <c r="D779" s="67" t="s">
        <v>365</v>
      </c>
      <c r="E779" s="67" t="s">
        <v>1368</v>
      </c>
      <c r="F779" s="67" t="s">
        <v>1462</v>
      </c>
      <c r="G779" s="69">
        <v>128</v>
      </c>
    </row>
    <row r="780" spans="1:7">
      <c r="A780" s="67" t="s">
        <v>2262</v>
      </c>
      <c r="B780" s="70">
        <v>46150</v>
      </c>
      <c r="C780" s="67" t="s">
        <v>1429</v>
      </c>
      <c r="D780" s="67" t="s">
        <v>365</v>
      </c>
      <c r="E780" s="67" t="s">
        <v>1368</v>
      </c>
      <c r="F780" s="67" t="s">
        <v>1488</v>
      </c>
      <c r="G780" s="69">
        <v>8</v>
      </c>
    </row>
    <row r="781" spans="1:7">
      <c r="A781" s="67" t="s">
        <v>2263</v>
      </c>
      <c r="B781" s="70">
        <v>46150</v>
      </c>
      <c r="C781" s="67" t="s">
        <v>1429</v>
      </c>
      <c r="D781" s="67" t="s">
        <v>365</v>
      </c>
      <c r="E781" s="67" t="s">
        <v>1368</v>
      </c>
      <c r="F781" s="67" t="s">
        <v>1462</v>
      </c>
      <c r="G781" s="69">
        <v>436</v>
      </c>
    </row>
    <row r="782" spans="1:7">
      <c r="A782" s="67" t="s">
        <v>2264</v>
      </c>
      <c r="B782" s="70">
        <v>46150</v>
      </c>
      <c r="C782" s="67" t="s">
        <v>1446</v>
      </c>
      <c r="D782" s="67" t="s">
        <v>1459</v>
      </c>
      <c r="E782" s="67" t="s">
        <v>1362</v>
      </c>
      <c r="F782" s="67" t="s">
        <v>1460</v>
      </c>
      <c r="G782" s="69">
        <v>12</v>
      </c>
    </row>
    <row r="783" spans="1:7">
      <c r="A783" s="67" t="s">
        <v>2265</v>
      </c>
      <c r="B783" s="70">
        <v>46151</v>
      </c>
      <c r="C783" s="67" t="s">
        <v>1359</v>
      </c>
      <c r="D783" s="67" t="s">
        <v>1551</v>
      </c>
      <c r="E783" s="67" t="s">
        <v>1362</v>
      </c>
      <c r="F783" s="67" t="s">
        <v>1462</v>
      </c>
      <c r="G783" s="69">
        <v>376</v>
      </c>
    </row>
    <row r="784" spans="1:7">
      <c r="A784" s="67" t="s">
        <v>2266</v>
      </c>
      <c r="B784" s="70">
        <v>46151</v>
      </c>
      <c r="C784" s="67" t="s">
        <v>1359</v>
      </c>
      <c r="D784" s="67" t="s">
        <v>1551</v>
      </c>
      <c r="E784" s="67" t="s">
        <v>1362</v>
      </c>
      <c r="F784" s="67" t="s">
        <v>1460</v>
      </c>
      <c r="G784" s="69">
        <v>20</v>
      </c>
    </row>
    <row r="785" spans="1:7">
      <c r="A785" s="67" t="s">
        <v>2267</v>
      </c>
      <c r="B785" s="70">
        <v>46151</v>
      </c>
      <c r="C785" s="67" t="s">
        <v>1359</v>
      </c>
      <c r="D785" s="67" t="s">
        <v>1551</v>
      </c>
      <c r="E785" s="67" t="s">
        <v>1362</v>
      </c>
      <c r="F785" s="67" t="s">
        <v>1462</v>
      </c>
      <c r="G785" s="69">
        <v>25</v>
      </c>
    </row>
    <row r="786" spans="1:7">
      <c r="A786" s="67" t="s">
        <v>2268</v>
      </c>
      <c r="B786" s="70">
        <v>46151</v>
      </c>
      <c r="C786" s="67" t="s">
        <v>1366</v>
      </c>
      <c r="D786" s="67" t="s">
        <v>353</v>
      </c>
      <c r="E786" s="67" t="s">
        <v>1368</v>
      </c>
      <c r="F786" s="67" t="s">
        <v>1460</v>
      </c>
      <c r="G786" s="69">
        <v>10</v>
      </c>
    </row>
    <row r="787" spans="1:7">
      <c r="A787" s="67" t="s">
        <v>2269</v>
      </c>
      <c r="B787" s="70">
        <v>46151</v>
      </c>
      <c r="C787" s="67" t="s">
        <v>1366</v>
      </c>
      <c r="D787" s="67" t="s">
        <v>353</v>
      </c>
      <c r="E787" s="67" t="s">
        <v>1368</v>
      </c>
      <c r="F787" s="67" t="s">
        <v>1462</v>
      </c>
      <c r="G787" s="69">
        <v>493</v>
      </c>
    </row>
    <row r="788" spans="1:7">
      <c r="A788" s="67" t="s">
        <v>2270</v>
      </c>
      <c r="B788" s="70">
        <v>46151</v>
      </c>
      <c r="C788" s="67" t="s">
        <v>1371</v>
      </c>
      <c r="D788" s="67" t="s">
        <v>1476</v>
      </c>
      <c r="E788" s="67" t="s">
        <v>1362</v>
      </c>
      <c r="F788" s="67" t="s">
        <v>1462</v>
      </c>
      <c r="G788" s="69">
        <v>161</v>
      </c>
    </row>
    <row r="789" spans="1:7">
      <c r="A789" s="67" t="s">
        <v>2271</v>
      </c>
      <c r="B789" s="70">
        <v>46151</v>
      </c>
      <c r="C789" s="67" t="s">
        <v>1378</v>
      </c>
      <c r="D789" s="67" t="s">
        <v>369</v>
      </c>
      <c r="E789" s="67" t="s">
        <v>1368</v>
      </c>
      <c r="F789" s="67" t="s">
        <v>1462</v>
      </c>
      <c r="G789" s="69">
        <v>39</v>
      </c>
    </row>
    <row r="790" spans="1:7">
      <c r="A790" s="67" t="s">
        <v>2272</v>
      </c>
      <c r="B790" s="70">
        <v>46151</v>
      </c>
      <c r="C790" s="67" t="s">
        <v>1381</v>
      </c>
      <c r="D790" s="67" t="s">
        <v>365</v>
      </c>
      <c r="E790" s="67" t="s">
        <v>1368</v>
      </c>
      <c r="F790" s="67" t="s">
        <v>1462</v>
      </c>
      <c r="G790" s="69">
        <v>240</v>
      </c>
    </row>
    <row r="791" spans="1:7">
      <c r="A791" s="67" t="s">
        <v>2273</v>
      </c>
      <c r="B791" s="70">
        <v>46151</v>
      </c>
      <c r="C791" s="67" t="s">
        <v>1381</v>
      </c>
      <c r="D791" s="67" t="s">
        <v>358</v>
      </c>
      <c r="E791" s="67" t="s">
        <v>1368</v>
      </c>
      <c r="F791" s="67" t="s">
        <v>1460</v>
      </c>
      <c r="G791" s="69">
        <v>8</v>
      </c>
    </row>
    <row r="792" spans="1:7">
      <c r="A792" s="67" t="s">
        <v>2274</v>
      </c>
      <c r="B792" s="70">
        <v>46151</v>
      </c>
      <c r="C792" s="67" t="s">
        <v>1381</v>
      </c>
      <c r="D792" s="67" t="s">
        <v>358</v>
      </c>
      <c r="E792" s="67" t="s">
        <v>1368</v>
      </c>
      <c r="F792" s="67" t="s">
        <v>1462</v>
      </c>
      <c r="G792" s="69">
        <v>45</v>
      </c>
    </row>
    <row r="793" spans="1:7">
      <c r="A793" s="67" t="s">
        <v>2275</v>
      </c>
      <c r="B793" s="70">
        <v>46151</v>
      </c>
      <c r="C793" s="67" t="s">
        <v>1384</v>
      </c>
      <c r="D793" s="67" t="s">
        <v>1466</v>
      </c>
      <c r="E793" s="67" t="s">
        <v>1386</v>
      </c>
      <c r="F793" s="67" t="s">
        <v>1462</v>
      </c>
      <c r="G793" s="69">
        <v>49</v>
      </c>
    </row>
    <row r="794" spans="1:7">
      <c r="A794" s="67" t="s">
        <v>2276</v>
      </c>
      <c r="B794" s="70">
        <v>46151</v>
      </c>
      <c r="C794" s="67" t="s">
        <v>1384</v>
      </c>
      <c r="D794" s="67" t="s">
        <v>1466</v>
      </c>
      <c r="E794" s="67" t="s">
        <v>1386</v>
      </c>
      <c r="F794" s="67" t="s">
        <v>1462</v>
      </c>
      <c r="G794" s="69">
        <v>313</v>
      </c>
    </row>
    <row r="795" spans="1:7">
      <c r="A795" s="67" t="s">
        <v>2277</v>
      </c>
      <c r="B795" s="70">
        <v>46151</v>
      </c>
      <c r="C795" s="67" t="s">
        <v>1384</v>
      </c>
      <c r="D795" s="67" t="s">
        <v>1551</v>
      </c>
      <c r="E795" s="67" t="s">
        <v>1362</v>
      </c>
      <c r="F795" s="67" t="s">
        <v>1460</v>
      </c>
      <c r="G795" s="69">
        <v>25</v>
      </c>
    </row>
    <row r="796" spans="1:7">
      <c r="A796" s="67" t="s">
        <v>2278</v>
      </c>
      <c r="B796" s="70">
        <v>46151</v>
      </c>
      <c r="C796" s="67" t="s">
        <v>1404</v>
      </c>
      <c r="D796" s="67" t="s">
        <v>353</v>
      </c>
      <c r="E796" s="67" t="s">
        <v>1368</v>
      </c>
      <c r="F796" s="67" t="s">
        <v>1462</v>
      </c>
      <c r="G796" s="69">
        <v>563</v>
      </c>
    </row>
    <row r="797" spans="1:7">
      <c r="A797" s="67" t="s">
        <v>2279</v>
      </c>
      <c r="B797" s="70">
        <v>46151</v>
      </c>
      <c r="C797" s="67" t="s">
        <v>1404</v>
      </c>
      <c r="D797" s="67" t="s">
        <v>358</v>
      </c>
      <c r="E797" s="67" t="s">
        <v>1368</v>
      </c>
      <c r="F797" s="67" t="s">
        <v>1462</v>
      </c>
      <c r="G797" s="69">
        <v>479</v>
      </c>
    </row>
    <row r="798" spans="1:7">
      <c r="A798" s="67" t="s">
        <v>2280</v>
      </c>
      <c r="B798" s="70">
        <v>46151</v>
      </c>
      <c r="C798" s="67" t="s">
        <v>1406</v>
      </c>
      <c r="D798" s="67" t="s">
        <v>1484</v>
      </c>
      <c r="E798" s="67" t="s">
        <v>1470</v>
      </c>
      <c r="F798" s="67" t="s">
        <v>1488</v>
      </c>
      <c r="G798" s="69">
        <v>6</v>
      </c>
    </row>
    <row r="799" spans="1:7">
      <c r="A799" s="67" t="s">
        <v>2281</v>
      </c>
      <c r="B799" s="70">
        <v>46151</v>
      </c>
      <c r="C799" s="67" t="s">
        <v>1411</v>
      </c>
      <c r="D799" s="67" t="s">
        <v>1506</v>
      </c>
      <c r="E799" s="67" t="s">
        <v>1482</v>
      </c>
      <c r="F799" s="67" t="s">
        <v>1462</v>
      </c>
      <c r="G799" s="69">
        <v>144</v>
      </c>
    </row>
    <row r="800" spans="1:7">
      <c r="A800" s="67" t="s">
        <v>2282</v>
      </c>
      <c r="B800" s="70">
        <v>46151</v>
      </c>
      <c r="C800" s="67" t="s">
        <v>1414</v>
      </c>
      <c r="D800" s="67" t="s">
        <v>1484</v>
      </c>
      <c r="E800" s="67" t="s">
        <v>1470</v>
      </c>
      <c r="F800" s="67" t="s">
        <v>1462</v>
      </c>
      <c r="G800" s="69">
        <v>83</v>
      </c>
    </row>
    <row r="801" spans="1:7">
      <c r="A801" s="67" t="s">
        <v>2283</v>
      </c>
      <c r="B801" s="70">
        <v>46151</v>
      </c>
      <c r="C801" s="67" t="s">
        <v>1414</v>
      </c>
      <c r="D801" s="67" t="s">
        <v>1491</v>
      </c>
      <c r="E801" s="67" t="s">
        <v>1470</v>
      </c>
      <c r="F801" s="67" t="s">
        <v>1462</v>
      </c>
      <c r="G801" s="69">
        <v>421</v>
      </c>
    </row>
    <row r="802" spans="1:7">
      <c r="A802" s="67" t="s">
        <v>2284</v>
      </c>
      <c r="B802" s="70">
        <v>46151</v>
      </c>
      <c r="C802" s="67" t="s">
        <v>1419</v>
      </c>
      <c r="D802" s="67" t="s">
        <v>356</v>
      </c>
      <c r="E802" s="67" t="s">
        <v>1368</v>
      </c>
      <c r="F802" s="67" t="s">
        <v>1462</v>
      </c>
      <c r="G802" s="69">
        <v>48</v>
      </c>
    </row>
    <row r="803" spans="1:7">
      <c r="A803" s="67" t="s">
        <v>2285</v>
      </c>
      <c r="B803" s="70">
        <v>46151</v>
      </c>
      <c r="C803" s="67" t="s">
        <v>1425</v>
      </c>
      <c r="D803" s="67" t="s">
        <v>1511</v>
      </c>
      <c r="E803" s="67" t="s">
        <v>1470</v>
      </c>
      <c r="F803" s="67" t="s">
        <v>1462</v>
      </c>
      <c r="G803" s="69">
        <v>57</v>
      </c>
    </row>
    <row r="804" spans="1:7">
      <c r="A804" s="67" t="s">
        <v>2286</v>
      </c>
      <c r="B804" s="70">
        <v>46151</v>
      </c>
      <c r="C804" s="67" t="s">
        <v>1425</v>
      </c>
      <c r="D804" s="67" t="s">
        <v>1484</v>
      </c>
      <c r="E804" s="67" t="s">
        <v>1470</v>
      </c>
      <c r="F804" s="67" t="s">
        <v>1460</v>
      </c>
      <c r="G804" s="69">
        <v>21</v>
      </c>
    </row>
    <row r="805" spans="1:7">
      <c r="A805" s="67" t="s">
        <v>2287</v>
      </c>
      <c r="B805" s="70">
        <v>46151</v>
      </c>
      <c r="C805" s="67" t="s">
        <v>1429</v>
      </c>
      <c r="D805" s="67" t="s">
        <v>363</v>
      </c>
      <c r="E805" s="67" t="s">
        <v>1368</v>
      </c>
      <c r="F805" s="67" t="s">
        <v>1460</v>
      </c>
      <c r="G805" s="69">
        <v>17</v>
      </c>
    </row>
    <row r="806" spans="1:7">
      <c r="A806" s="67" t="s">
        <v>2288</v>
      </c>
      <c r="B806" s="70">
        <v>46151</v>
      </c>
      <c r="C806" s="67" t="s">
        <v>1438</v>
      </c>
      <c r="D806" s="67" t="s">
        <v>1511</v>
      </c>
      <c r="E806" s="67" t="s">
        <v>1470</v>
      </c>
      <c r="F806" s="67" t="s">
        <v>1462</v>
      </c>
      <c r="G806" s="69">
        <v>489</v>
      </c>
    </row>
    <row r="807" spans="1:7">
      <c r="A807" s="67" t="s">
        <v>2289</v>
      </c>
      <c r="B807" s="70">
        <v>46151</v>
      </c>
      <c r="C807" s="67" t="s">
        <v>1450</v>
      </c>
      <c r="D807" s="67" t="s">
        <v>1481</v>
      </c>
      <c r="E807" s="67" t="s">
        <v>1482</v>
      </c>
      <c r="F807" s="67" t="s">
        <v>1460</v>
      </c>
      <c r="G807" s="69">
        <v>18</v>
      </c>
    </row>
    <row r="808" spans="1:7">
      <c r="A808" s="67" t="s">
        <v>2290</v>
      </c>
      <c r="B808" s="70">
        <v>46152</v>
      </c>
      <c r="C808" s="67" t="s">
        <v>1366</v>
      </c>
      <c r="D808" s="67" t="s">
        <v>356</v>
      </c>
      <c r="E808" s="67" t="s">
        <v>1368</v>
      </c>
      <c r="F808" s="67" t="s">
        <v>1460</v>
      </c>
      <c r="G808" s="69">
        <v>10</v>
      </c>
    </row>
    <row r="809" spans="1:7">
      <c r="A809" s="67" t="s">
        <v>2291</v>
      </c>
      <c r="B809" s="70">
        <v>46152</v>
      </c>
      <c r="C809" s="67" t="s">
        <v>1366</v>
      </c>
      <c r="D809" s="67" t="s">
        <v>1484</v>
      </c>
      <c r="E809" s="67" t="s">
        <v>1470</v>
      </c>
      <c r="F809" s="67" t="s">
        <v>1462</v>
      </c>
      <c r="G809" s="69">
        <v>30</v>
      </c>
    </row>
    <row r="810" spans="1:7">
      <c r="A810" s="67" t="s">
        <v>2292</v>
      </c>
      <c r="B810" s="70">
        <v>46152</v>
      </c>
      <c r="C810" s="67" t="s">
        <v>1366</v>
      </c>
      <c r="D810" s="67" t="s">
        <v>1551</v>
      </c>
      <c r="E810" s="67" t="s">
        <v>1362</v>
      </c>
      <c r="F810" s="67" t="s">
        <v>1462</v>
      </c>
      <c r="G810" s="69">
        <v>475</v>
      </c>
    </row>
    <row r="811" spans="1:7">
      <c r="A811" s="67" t="s">
        <v>2293</v>
      </c>
      <c r="B811" s="70">
        <v>46152</v>
      </c>
      <c r="C811" s="67" t="s">
        <v>1371</v>
      </c>
      <c r="D811" s="67" t="s">
        <v>1551</v>
      </c>
      <c r="E811" s="67" t="s">
        <v>1362</v>
      </c>
      <c r="F811" s="67" t="s">
        <v>1462</v>
      </c>
      <c r="G811" s="69">
        <v>24</v>
      </c>
    </row>
    <row r="812" spans="1:7">
      <c r="A812" s="67" t="s">
        <v>2294</v>
      </c>
      <c r="B812" s="70">
        <v>46152</v>
      </c>
      <c r="C812" s="67" t="s">
        <v>1378</v>
      </c>
      <c r="D812" s="67" t="s">
        <v>369</v>
      </c>
      <c r="E812" s="67" t="s">
        <v>1368</v>
      </c>
      <c r="F812" s="67" t="s">
        <v>1460</v>
      </c>
      <c r="G812" s="69">
        <v>14</v>
      </c>
    </row>
    <row r="813" spans="1:7">
      <c r="A813" s="67" t="s">
        <v>2295</v>
      </c>
      <c r="B813" s="70">
        <v>46152</v>
      </c>
      <c r="C813" s="67" t="s">
        <v>1381</v>
      </c>
      <c r="D813" s="67" t="s">
        <v>353</v>
      </c>
      <c r="E813" s="67" t="s">
        <v>1368</v>
      </c>
      <c r="F813" s="67" t="s">
        <v>1460</v>
      </c>
      <c r="G813" s="69">
        <v>9</v>
      </c>
    </row>
    <row r="814" spans="1:7">
      <c r="A814" s="67" t="s">
        <v>2296</v>
      </c>
      <c r="B814" s="70">
        <v>46152</v>
      </c>
      <c r="C814" s="67" t="s">
        <v>1381</v>
      </c>
      <c r="D814" s="67" t="s">
        <v>356</v>
      </c>
      <c r="E814" s="67" t="s">
        <v>1368</v>
      </c>
      <c r="F814" s="67" t="s">
        <v>1460</v>
      </c>
      <c r="G814" s="69">
        <v>17</v>
      </c>
    </row>
    <row r="815" spans="1:7">
      <c r="A815" s="67" t="s">
        <v>2297</v>
      </c>
      <c r="B815" s="70">
        <v>46152</v>
      </c>
      <c r="C815" s="67" t="s">
        <v>1381</v>
      </c>
      <c r="D815" s="67" t="s">
        <v>367</v>
      </c>
      <c r="E815" s="67" t="s">
        <v>1368</v>
      </c>
      <c r="F815" s="67" t="s">
        <v>1460</v>
      </c>
      <c r="G815" s="69">
        <v>25</v>
      </c>
    </row>
    <row r="816" spans="1:7">
      <c r="A816" s="67" t="s">
        <v>2298</v>
      </c>
      <c r="B816" s="70">
        <v>46152</v>
      </c>
      <c r="C816" s="67" t="s">
        <v>1381</v>
      </c>
      <c r="D816" s="67" t="s">
        <v>367</v>
      </c>
      <c r="E816" s="67" t="s">
        <v>1368</v>
      </c>
      <c r="F816" s="67" t="s">
        <v>1462</v>
      </c>
      <c r="G816" s="69">
        <v>208</v>
      </c>
    </row>
    <row r="817" spans="1:7">
      <c r="A817" s="67" t="s">
        <v>2299</v>
      </c>
      <c r="B817" s="70">
        <v>46152</v>
      </c>
      <c r="C817" s="67" t="s">
        <v>1381</v>
      </c>
      <c r="D817" s="67" t="s">
        <v>358</v>
      </c>
      <c r="E817" s="67" t="s">
        <v>1368</v>
      </c>
      <c r="F817" s="67" t="s">
        <v>1460</v>
      </c>
      <c r="G817" s="69">
        <v>22</v>
      </c>
    </row>
    <row r="818" spans="1:7">
      <c r="A818" s="67" t="s">
        <v>2300</v>
      </c>
      <c r="B818" s="70">
        <v>46152</v>
      </c>
      <c r="C818" s="67" t="s">
        <v>1389</v>
      </c>
      <c r="D818" s="67" t="s">
        <v>356</v>
      </c>
      <c r="E818" s="67" t="s">
        <v>1368</v>
      </c>
      <c r="F818" s="67" t="s">
        <v>1462</v>
      </c>
      <c r="G818" s="69">
        <v>106</v>
      </c>
    </row>
    <row r="819" spans="1:7">
      <c r="A819" s="67" t="s">
        <v>2301</v>
      </c>
      <c r="B819" s="70">
        <v>46152</v>
      </c>
      <c r="C819" s="67" t="s">
        <v>1393</v>
      </c>
      <c r="D819" s="67" t="s">
        <v>1618</v>
      </c>
      <c r="E819" s="67" t="s">
        <v>1433</v>
      </c>
      <c r="F819" s="67" t="s">
        <v>1460</v>
      </c>
      <c r="G819" s="69">
        <v>24</v>
      </c>
    </row>
    <row r="820" spans="1:7">
      <c r="A820" s="67" t="s">
        <v>2302</v>
      </c>
      <c r="B820" s="70">
        <v>46152</v>
      </c>
      <c r="C820" s="67" t="s">
        <v>1393</v>
      </c>
      <c r="D820" s="67" t="s">
        <v>358</v>
      </c>
      <c r="E820" s="67" t="s">
        <v>1368</v>
      </c>
      <c r="F820" s="67" t="s">
        <v>1462</v>
      </c>
      <c r="G820" s="69">
        <v>440</v>
      </c>
    </row>
    <row r="821" spans="1:7">
      <c r="A821" s="67" t="s">
        <v>2303</v>
      </c>
      <c r="B821" s="70">
        <v>46152</v>
      </c>
      <c r="C821" s="67" t="s">
        <v>1399</v>
      </c>
      <c r="D821" s="67" t="s">
        <v>1466</v>
      </c>
      <c r="E821" s="67" t="s">
        <v>1386</v>
      </c>
      <c r="F821" s="67" t="s">
        <v>1462</v>
      </c>
      <c r="G821" s="69">
        <v>290</v>
      </c>
    </row>
    <row r="822" spans="1:7">
      <c r="A822" s="67" t="s">
        <v>2304</v>
      </c>
      <c r="B822" s="70">
        <v>46152</v>
      </c>
      <c r="C822" s="67" t="s">
        <v>1399</v>
      </c>
      <c r="D822" s="67" t="s">
        <v>1551</v>
      </c>
      <c r="E822" s="67" t="s">
        <v>1362</v>
      </c>
      <c r="F822" s="67" t="s">
        <v>1462</v>
      </c>
      <c r="G822" s="69">
        <v>38</v>
      </c>
    </row>
    <row r="823" spans="1:7">
      <c r="A823" s="67" t="s">
        <v>2305</v>
      </c>
      <c r="B823" s="70">
        <v>46152</v>
      </c>
      <c r="C823" s="67" t="s">
        <v>1404</v>
      </c>
      <c r="D823" s="67" t="s">
        <v>367</v>
      </c>
      <c r="E823" s="67" t="s">
        <v>1368</v>
      </c>
      <c r="F823" s="67" t="s">
        <v>1462</v>
      </c>
      <c r="G823" s="69">
        <v>113</v>
      </c>
    </row>
    <row r="824" spans="1:7">
      <c r="A824" s="67" t="s">
        <v>2306</v>
      </c>
      <c r="B824" s="70">
        <v>46152</v>
      </c>
      <c r="C824" s="67" t="s">
        <v>1408</v>
      </c>
      <c r="D824" s="67" t="s">
        <v>367</v>
      </c>
      <c r="E824" s="67" t="s">
        <v>1368</v>
      </c>
      <c r="F824" s="67" t="s">
        <v>1460</v>
      </c>
      <c r="G824" s="69">
        <v>5</v>
      </c>
    </row>
    <row r="825" spans="1:7">
      <c r="A825" s="67" t="s">
        <v>2307</v>
      </c>
      <c r="B825" s="70">
        <v>46152</v>
      </c>
      <c r="C825" s="67" t="s">
        <v>1411</v>
      </c>
      <c r="D825" s="67" t="s">
        <v>1506</v>
      </c>
      <c r="E825" s="67" t="s">
        <v>1482</v>
      </c>
      <c r="F825" s="67" t="s">
        <v>1460</v>
      </c>
      <c r="G825" s="69">
        <v>20</v>
      </c>
    </row>
    <row r="826" spans="1:7">
      <c r="A826" s="67" t="s">
        <v>2308</v>
      </c>
      <c r="B826" s="70">
        <v>46152</v>
      </c>
      <c r="C826" s="67" t="s">
        <v>1414</v>
      </c>
      <c r="D826" s="67" t="s">
        <v>1511</v>
      </c>
      <c r="E826" s="67" t="s">
        <v>1470</v>
      </c>
      <c r="F826" s="67" t="s">
        <v>1462</v>
      </c>
      <c r="G826" s="69">
        <v>389</v>
      </c>
    </row>
    <row r="827" spans="1:7">
      <c r="A827" s="67" t="s">
        <v>2309</v>
      </c>
      <c r="B827" s="70">
        <v>46152</v>
      </c>
      <c r="C827" s="67" t="s">
        <v>1419</v>
      </c>
      <c r="D827" s="67" t="s">
        <v>365</v>
      </c>
      <c r="E827" s="67" t="s">
        <v>1368</v>
      </c>
      <c r="F827" s="67" t="s">
        <v>1462</v>
      </c>
      <c r="G827" s="69">
        <v>358</v>
      </c>
    </row>
    <row r="828" spans="1:7">
      <c r="A828" s="67" t="s">
        <v>2310</v>
      </c>
      <c r="B828" s="70">
        <v>46152</v>
      </c>
      <c r="C828" s="67" t="s">
        <v>1425</v>
      </c>
      <c r="D828" s="67" t="s">
        <v>1511</v>
      </c>
      <c r="E828" s="67" t="s">
        <v>1470</v>
      </c>
      <c r="F828" s="67" t="s">
        <v>1462</v>
      </c>
      <c r="G828" s="69">
        <v>104</v>
      </c>
    </row>
    <row r="829" spans="1:7">
      <c r="A829" s="67" t="s">
        <v>2311</v>
      </c>
      <c r="B829" s="70">
        <v>46152</v>
      </c>
      <c r="C829" s="67" t="s">
        <v>1425</v>
      </c>
      <c r="D829" s="67" t="s">
        <v>1484</v>
      </c>
      <c r="E829" s="67" t="s">
        <v>1470</v>
      </c>
      <c r="F829" s="67" t="s">
        <v>1488</v>
      </c>
      <c r="G829" s="69">
        <v>3</v>
      </c>
    </row>
    <row r="830" spans="1:7">
      <c r="A830" s="67" t="s">
        <v>2312</v>
      </c>
      <c r="B830" s="70">
        <v>46152</v>
      </c>
      <c r="C830" s="67" t="s">
        <v>1434</v>
      </c>
      <c r="D830" s="67" t="s">
        <v>1551</v>
      </c>
      <c r="E830" s="67" t="s">
        <v>1362</v>
      </c>
      <c r="F830" s="67" t="s">
        <v>1460</v>
      </c>
      <c r="G830" s="69">
        <v>11</v>
      </c>
    </row>
    <row r="831" spans="1:7">
      <c r="A831" s="67" t="s">
        <v>2313</v>
      </c>
      <c r="B831" s="70">
        <v>46152</v>
      </c>
      <c r="C831" s="67" t="s">
        <v>1444</v>
      </c>
      <c r="D831" s="67" t="s">
        <v>1476</v>
      </c>
      <c r="E831" s="67" t="s">
        <v>1362</v>
      </c>
      <c r="F831" s="67" t="s">
        <v>1462</v>
      </c>
      <c r="G831" s="69">
        <v>421</v>
      </c>
    </row>
    <row r="832" spans="1:7">
      <c r="A832" s="67" t="s">
        <v>2314</v>
      </c>
      <c r="B832" s="70">
        <v>46152</v>
      </c>
      <c r="C832" s="67" t="s">
        <v>1446</v>
      </c>
      <c r="D832" s="67" t="s">
        <v>1459</v>
      </c>
      <c r="E832" s="67" t="s">
        <v>1362</v>
      </c>
      <c r="F832" s="67" t="s">
        <v>1462</v>
      </c>
      <c r="G832" s="69">
        <v>164</v>
      </c>
    </row>
    <row r="833" spans="1:7">
      <c r="A833" s="67" t="s">
        <v>2315</v>
      </c>
      <c r="B833" s="70">
        <v>46153</v>
      </c>
      <c r="C833" s="67" t="s">
        <v>1359</v>
      </c>
      <c r="D833" s="67" t="s">
        <v>363</v>
      </c>
      <c r="E833" s="67" t="s">
        <v>1368</v>
      </c>
      <c r="F833" s="67" t="s">
        <v>1462</v>
      </c>
      <c r="G833" s="69">
        <v>348</v>
      </c>
    </row>
    <row r="834" spans="1:7">
      <c r="A834" s="67" t="s">
        <v>2316</v>
      </c>
      <c r="B834" s="70">
        <v>46153</v>
      </c>
      <c r="C834" s="67" t="s">
        <v>1359</v>
      </c>
      <c r="D834" s="67" t="s">
        <v>365</v>
      </c>
      <c r="E834" s="67" t="s">
        <v>1368</v>
      </c>
      <c r="F834" s="67" t="s">
        <v>1462</v>
      </c>
      <c r="G834" s="69">
        <v>536</v>
      </c>
    </row>
    <row r="835" spans="1:7">
      <c r="A835" s="67" t="s">
        <v>2317</v>
      </c>
      <c r="B835" s="70">
        <v>46153</v>
      </c>
      <c r="C835" s="67" t="s">
        <v>1359</v>
      </c>
      <c r="D835" s="67" t="s">
        <v>1476</v>
      </c>
      <c r="E835" s="67" t="s">
        <v>1362</v>
      </c>
      <c r="F835" s="67" t="s">
        <v>1462</v>
      </c>
      <c r="G835" s="69">
        <v>140</v>
      </c>
    </row>
    <row r="836" spans="1:7">
      <c r="A836" s="67" t="s">
        <v>2318</v>
      </c>
      <c r="B836" s="70">
        <v>46153</v>
      </c>
      <c r="C836" s="67" t="s">
        <v>1359</v>
      </c>
      <c r="D836" s="67" t="s">
        <v>369</v>
      </c>
      <c r="E836" s="67" t="s">
        <v>1368</v>
      </c>
      <c r="F836" s="67" t="s">
        <v>1462</v>
      </c>
      <c r="G836" s="69">
        <v>120</v>
      </c>
    </row>
    <row r="837" spans="1:7">
      <c r="A837" s="67" t="s">
        <v>2319</v>
      </c>
      <c r="B837" s="70">
        <v>46153</v>
      </c>
      <c r="C837" s="67" t="s">
        <v>1359</v>
      </c>
      <c r="D837" s="67" t="s">
        <v>1459</v>
      </c>
      <c r="E837" s="67" t="s">
        <v>1362</v>
      </c>
      <c r="F837" s="67" t="s">
        <v>1462</v>
      </c>
      <c r="G837" s="69">
        <v>395</v>
      </c>
    </row>
    <row r="838" spans="1:7">
      <c r="A838" s="67" t="s">
        <v>2320</v>
      </c>
      <c r="B838" s="70">
        <v>46153</v>
      </c>
      <c r="C838" s="67" t="s">
        <v>1359</v>
      </c>
      <c r="D838" s="67" t="s">
        <v>1459</v>
      </c>
      <c r="E838" s="67" t="s">
        <v>1362</v>
      </c>
      <c r="F838" s="67" t="s">
        <v>1462</v>
      </c>
      <c r="G838" s="69">
        <v>590</v>
      </c>
    </row>
    <row r="839" spans="1:7">
      <c r="A839" s="67" t="s">
        <v>2321</v>
      </c>
      <c r="B839" s="70">
        <v>46153</v>
      </c>
      <c r="C839" s="67" t="s">
        <v>1366</v>
      </c>
      <c r="D839" s="67" t="s">
        <v>365</v>
      </c>
      <c r="E839" s="67" t="s">
        <v>1368</v>
      </c>
      <c r="F839" s="67" t="s">
        <v>1462</v>
      </c>
      <c r="G839" s="69">
        <v>164</v>
      </c>
    </row>
    <row r="840" spans="1:7">
      <c r="A840" s="67" t="s">
        <v>2322</v>
      </c>
      <c r="B840" s="70">
        <v>46153</v>
      </c>
      <c r="C840" s="67" t="s">
        <v>1366</v>
      </c>
      <c r="D840" s="67" t="s">
        <v>369</v>
      </c>
      <c r="E840" s="67" t="s">
        <v>1368</v>
      </c>
      <c r="F840" s="67" t="s">
        <v>1462</v>
      </c>
      <c r="G840" s="69">
        <v>300</v>
      </c>
    </row>
    <row r="841" spans="1:7">
      <c r="A841" s="67" t="s">
        <v>2323</v>
      </c>
      <c r="B841" s="70">
        <v>46153</v>
      </c>
      <c r="C841" s="67" t="s">
        <v>1371</v>
      </c>
      <c r="D841" s="67" t="s">
        <v>1476</v>
      </c>
      <c r="E841" s="67" t="s">
        <v>1362</v>
      </c>
      <c r="F841" s="67" t="s">
        <v>1462</v>
      </c>
      <c r="G841" s="69">
        <v>48</v>
      </c>
    </row>
    <row r="842" spans="1:7">
      <c r="A842" s="67" t="s">
        <v>2324</v>
      </c>
      <c r="B842" s="70">
        <v>46153</v>
      </c>
      <c r="C842" s="67" t="s">
        <v>1381</v>
      </c>
      <c r="D842" s="67" t="s">
        <v>356</v>
      </c>
      <c r="E842" s="67" t="s">
        <v>1368</v>
      </c>
      <c r="F842" s="67" t="s">
        <v>1462</v>
      </c>
      <c r="G842" s="69">
        <v>73</v>
      </c>
    </row>
    <row r="843" spans="1:7">
      <c r="A843" s="67" t="s">
        <v>2325</v>
      </c>
      <c r="B843" s="70">
        <v>46153</v>
      </c>
      <c r="C843" s="67" t="s">
        <v>1381</v>
      </c>
      <c r="D843" s="67" t="s">
        <v>363</v>
      </c>
      <c r="E843" s="67" t="s">
        <v>1368</v>
      </c>
      <c r="F843" s="67" t="s">
        <v>1462</v>
      </c>
      <c r="G843" s="69">
        <v>400</v>
      </c>
    </row>
    <row r="844" spans="1:7">
      <c r="A844" s="67" t="s">
        <v>2326</v>
      </c>
      <c r="B844" s="70">
        <v>46153</v>
      </c>
      <c r="C844" s="67" t="s">
        <v>1381</v>
      </c>
      <c r="D844" s="67" t="s">
        <v>1484</v>
      </c>
      <c r="E844" s="67" t="s">
        <v>1470</v>
      </c>
      <c r="F844" s="67" t="s">
        <v>1462</v>
      </c>
      <c r="G844" s="69">
        <v>392</v>
      </c>
    </row>
    <row r="845" spans="1:7">
      <c r="A845" s="67" t="s">
        <v>2327</v>
      </c>
      <c r="B845" s="70">
        <v>46153</v>
      </c>
      <c r="C845" s="67" t="s">
        <v>1393</v>
      </c>
      <c r="D845" s="67" t="s">
        <v>353</v>
      </c>
      <c r="E845" s="67" t="s">
        <v>1368</v>
      </c>
      <c r="F845" s="67" t="s">
        <v>1460</v>
      </c>
      <c r="G845" s="69">
        <v>19</v>
      </c>
    </row>
    <row r="846" spans="1:7">
      <c r="A846" s="67" t="s">
        <v>2328</v>
      </c>
      <c r="B846" s="70">
        <v>46153</v>
      </c>
      <c r="C846" s="67" t="s">
        <v>1393</v>
      </c>
      <c r="D846" s="67" t="s">
        <v>353</v>
      </c>
      <c r="E846" s="67" t="s">
        <v>1368</v>
      </c>
      <c r="F846" s="67" t="s">
        <v>1462</v>
      </c>
      <c r="G846" s="69">
        <v>65</v>
      </c>
    </row>
    <row r="847" spans="1:7">
      <c r="A847" s="67" t="s">
        <v>2329</v>
      </c>
      <c r="B847" s="70">
        <v>46153</v>
      </c>
      <c r="C847" s="67" t="s">
        <v>1393</v>
      </c>
      <c r="D847" s="67" t="s">
        <v>1618</v>
      </c>
      <c r="E847" s="67" t="s">
        <v>1433</v>
      </c>
      <c r="F847" s="67" t="s">
        <v>1462</v>
      </c>
      <c r="G847" s="69">
        <v>410</v>
      </c>
    </row>
    <row r="848" spans="1:7">
      <c r="A848" s="67" t="s">
        <v>2330</v>
      </c>
      <c r="B848" s="70">
        <v>46153</v>
      </c>
      <c r="C848" s="67" t="s">
        <v>1399</v>
      </c>
      <c r="D848" s="67" t="s">
        <v>1476</v>
      </c>
      <c r="E848" s="67" t="s">
        <v>1362</v>
      </c>
      <c r="F848" s="67" t="s">
        <v>1488</v>
      </c>
      <c r="G848" s="69">
        <v>8</v>
      </c>
    </row>
    <row r="849" spans="1:7">
      <c r="A849" s="67" t="s">
        <v>2331</v>
      </c>
      <c r="B849" s="70">
        <v>46153</v>
      </c>
      <c r="C849" s="67" t="s">
        <v>1404</v>
      </c>
      <c r="D849" s="67" t="s">
        <v>358</v>
      </c>
      <c r="E849" s="67" t="s">
        <v>1368</v>
      </c>
      <c r="F849" s="67" t="s">
        <v>1462</v>
      </c>
      <c r="G849" s="69">
        <v>551</v>
      </c>
    </row>
    <row r="850" spans="1:7">
      <c r="A850" s="67" t="s">
        <v>2332</v>
      </c>
      <c r="B850" s="70">
        <v>46153</v>
      </c>
      <c r="C850" s="67" t="s">
        <v>1411</v>
      </c>
      <c r="D850" s="67" t="s">
        <v>1506</v>
      </c>
      <c r="E850" s="67" t="s">
        <v>1482</v>
      </c>
      <c r="F850" s="67" t="s">
        <v>1462</v>
      </c>
      <c r="G850" s="69">
        <v>26</v>
      </c>
    </row>
    <row r="851" spans="1:7">
      <c r="A851" s="67" t="s">
        <v>2333</v>
      </c>
      <c r="B851" s="70">
        <v>46153</v>
      </c>
      <c r="C851" s="67" t="s">
        <v>1414</v>
      </c>
      <c r="D851" s="67" t="s">
        <v>1511</v>
      </c>
      <c r="E851" s="67" t="s">
        <v>1470</v>
      </c>
      <c r="F851" s="67" t="s">
        <v>1460</v>
      </c>
      <c r="G851" s="69">
        <v>28</v>
      </c>
    </row>
    <row r="852" spans="1:7">
      <c r="A852" s="67" t="s">
        <v>2334</v>
      </c>
      <c r="B852" s="70">
        <v>46153</v>
      </c>
      <c r="C852" s="67" t="s">
        <v>1429</v>
      </c>
      <c r="D852" s="67" t="s">
        <v>353</v>
      </c>
      <c r="E852" s="67" t="s">
        <v>1368</v>
      </c>
      <c r="F852" s="67" t="s">
        <v>1462</v>
      </c>
      <c r="G852" s="69">
        <v>526</v>
      </c>
    </row>
    <row r="853" spans="1:7">
      <c r="A853" s="67" t="s">
        <v>2335</v>
      </c>
      <c r="B853" s="70">
        <v>46153</v>
      </c>
      <c r="C853" s="67" t="s">
        <v>1429</v>
      </c>
      <c r="D853" s="67" t="s">
        <v>356</v>
      </c>
      <c r="E853" s="67" t="s">
        <v>1368</v>
      </c>
      <c r="F853" s="67" t="s">
        <v>1488</v>
      </c>
      <c r="G853" s="69">
        <v>4</v>
      </c>
    </row>
    <row r="854" spans="1:7">
      <c r="A854" s="67" t="s">
        <v>2336</v>
      </c>
      <c r="B854" s="70">
        <v>46153</v>
      </c>
      <c r="C854" s="67" t="s">
        <v>1429</v>
      </c>
      <c r="D854" s="67" t="s">
        <v>367</v>
      </c>
      <c r="E854" s="67" t="s">
        <v>1368</v>
      </c>
      <c r="F854" s="67" t="s">
        <v>1460</v>
      </c>
      <c r="G854" s="69">
        <v>13</v>
      </c>
    </row>
    <row r="855" spans="1:7">
      <c r="A855" s="67" t="s">
        <v>2337</v>
      </c>
      <c r="B855" s="70">
        <v>46153</v>
      </c>
      <c r="C855" s="67" t="s">
        <v>1434</v>
      </c>
      <c r="D855" s="67" t="s">
        <v>1466</v>
      </c>
      <c r="E855" s="67" t="s">
        <v>1386</v>
      </c>
      <c r="F855" s="67" t="s">
        <v>1460</v>
      </c>
      <c r="G855" s="69">
        <v>12</v>
      </c>
    </row>
    <row r="856" spans="1:7">
      <c r="A856" s="67" t="s">
        <v>2338</v>
      </c>
      <c r="B856" s="70">
        <v>46153</v>
      </c>
      <c r="C856" s="67" t="s">
        <v>1444</v>
      </c>
      <c r="D856" s="67" t="s">
        <v>1551</v>
      </c>
      <c r="E856" s="67" t="s">
        <v>1362</v>
      </c>
      <c r="F856" s="67" t="s">
        <v>1462</v>
      </c>
      <c r="G856" s="69">
        <v>25</v>
      </c>
    </row>
    <row r="857" spans="1:7">
      <c r="A857" s="67" t="s">
        <v>2339</v>
      </c>
      <c r="B857" s="70">
        <v>46154</v>
      </c>
      <c r="C857" s="67" t="s">
        <v>1359</v>
      </c>
      <c r="D857" s="67" t="s">
        <v>1551</v>
      </c>
      <c r="E857" s="67" t="s">
        <v>1362</v>
      </c>
      <c r="F857" s="67" t="s">
        <v>1462</v>
      </c>
      <c r="G857" s="69">
        <v>440</v>
      </c>
    </row>
    <row r="858" spans="1:7">
      <c r="A858" s="67" t="s">
        <v>2340</v>
      </c>
      <c r="B858" s="70">
        <v>46154</v>
      </c>
      <c r="C858" s="67" t="s">
        <v>1366</v>
      </c>
      <c r="D858" s="67" t="s">
        <v>353</v>
      </c>
      <c r="E858" s="67" t="s">
        <v>1368</v>
      </c>
      <c r="F858" s="67" t="s">
        <v>1462</v>
      </c>
      <c r="G858" s="69">
        <v>440</v>
      </c>
    </row>
    <row r="859" spans="1:7">
      <c r="A859" s="67" t="s">
        <v>2341</v>
      </c>
      <c r="B859" s="70">
        <v>46154</v>
      </c>
      <c r="C859" s="67" t="s">
        <v>1366</v>
      </c>
      <c r="D859" s="67" t="s">
        <v>367</v>
      </c>
      <c r="E859" s="67" t="s">
        <v>1368</v>
      </c>
      <c r="F859" s="67" t="s">
        <v>1462</v>
      </c>
      <c r="G859" s="69">
        <v>397</v>
      </c>
    </row>
    <row r="860" spans="1:7">
      <c r="A860" s="67" t="s">
        <v>2342</v>
      </c>
      <c r="B860" s="70">
        <v>46154</v>
      </c>
      <c r="C860" s="67" t="s">
        <v>1375</v>
      </c>
      <c r="D860" s="67" t="s">
        <v>1484</v>
      </c>
      <c r="E860" s="67" t="s">
        <v>1470</v>
      </c>
      <c r="F860" s="67" t="s">
        <v>1462</v>
      </c>
      <c r="G860" s="69">
        <v>566</v>
      </c>
    </row>
    <row r="861" spans="1:7">
      <c r="A861" s="67" t="s">
        <v>2343</v>
      </c>
      <c r="B861" s="70">
        <v>46154</v>
      </c>
      <c r="C861" s="67" t="s">
        <v>1378</v>
      </c>
      <c r="D861" s="67" t="s">
        <v>353</v>
      </c>
      <c r="E861" s="67" t="s">
        <v>1368</v>
      </c>
      <c r="F861" s="67" t="s">
        <v>1462</v>
      </c>
      <c r="G861" s="69">
        <v>141</v>
      </c>
    </row>
    <row r="862" spans="1:7">
      <c r="A862" s="67" t="s">
        <v>2344</v>
      </c>
      <c r="B862" s="70">
        <v>46154</v>
      </c>
      <c r="C862" s="67" t="s">
        <v>1381</v>
      </c>
      <c r="D862" s="67" t="s">
        <v>353</v>
      </c>
      <c r="E862" s="67" t="s">
        <v>1368</v>
      </c>
      <c r="F862" s="67" t="s">
        <v>1462</v>
      </c>
      <c r="G862" s="69">
        <v>386</v>
      </c>
    </row>
    <row r="863" spans="1:7">
      <c r="A863" s="67" t="s">
        <v>2345</v>
      </c>
      <c r="B863" s="70">
        <v>46154</v>
      </c>
      <c r="C863" s="67" t="s">
        <v>1404</v>
      </c>
      <c r="D863" s="67" t="s">
        <v>363</v>
      </c>
      <c r="E863" s="67" t="s">
        <v>1368</v>
      </c>
      <c r="F863" s="67" t="s">
        <v>1462</v>
      </c>
      <c r="G863" s="69">
        <v>49</v>
      </c>
    </row>
    <row r="864" spans="1:7">
      <c r="A864" s="67" t="s">
        <v>2346</v>
      </c>
      <c r="B864" s="70">
        <v>46154</v>
      </c>
      <c r="C864" s="67" t="s">
        <v>1404</v>
      </c>
      <c r="D864" s="67" t="s">
        <v>367</v>
      </c>
      <c r="E864" s="67" t="s">
        <v>1368</v>
      </c>
      <c r="F864" s="67" t="s">
        <v>1488</v>
      </c>
      <c r="G864" s="69">
        <v>8</v>
      </c>
    </row>
    <row r="865" spans="1:7">
      <c r="A865" s="67" t="s">
        <v>2347</v>
      </c>
      <c r="B865" s="70">
        <v>46154</v>
      </c>
      <c r="C865" s="67" t="s">
        <v>1404</v>
      </c>
      <c r="D865" s="67" t="s">
        <v>358</v>
      </c>
      <c r="E865" s="67" t="s">
        <v>1368</v>
      </c>
      <c r="F865" s="67" t="s">
        <v>1462</v>
      </c>
      <c r="G865" s="69">
        <v>417</v>
      </c>
    </row>
    <row r="866" spans="1:7">
      <c r="A866" s="67" t="s">
        <v>2348</v>
      </c>
      <c r="B866" s="70">
        <v>46154</v>
      </c>
      <c r="C866" s="67" t="s">
        <v>1406</v>
      </c>
      <c r="D866" s="67" t="s">
        <v>356</v>
      </c>
      <c r="E866" s="67" t="s">
        <v>1368</v>
      </c>
      <c r="F866" s="67" t="s">
        <v>1488</v>
      </c>
      <c r="G866" s="69">
        <v>10</v>
      </c>
    </row>
    <row r="867" spans="1:7">
      <c r="A867" s="67" t="s">
        <v>2349</v>
      </c>
      <c r="B867" s="70">
        <v>46154</v>
      </c>
      <c r="C867" s="67" t="s">
        <v>1408</v>
      </c>
      <c r="D867" s="67" t="s">
        <v>367</v>
      </c>
      <c r="E867" s="67" t="s">
        <v>1368</v>
      </c>
      <c r="F867" s="67" t="s">
        <v>1462</v>
      </c>
      <c r="G867" s="69">
        <v>361</v>
      </c>
    </row>
    <row r="868" spans="1:7">
      <c r="A868" s="67" t="s">
        <v>2350</v>
      </c>
      <c r="B868" s="70">
        <v>46154</v>
      </c>
      <c r="C868" s="67" t="s">
        <v>1411</v>
      </c>
      <c r="D868" s="67" t="s">
        <v>1506</v>
      </c>
      <c r="E868" s="67" t="s">
        <v>1482</v>
      </c>
      <c r="F868" s="67" t="s">
        <v>1460</v>
      </c>
      <c r="G868" s="69">
        <v>6</v>
      </c>
    </row>
    <row r="869" spans="1:7">
      <c r="A869" s="67" t="s">
        <v>2351</v>
      </c>
      <c r="B869" s="70">
        <v>46154</v>
      </c>
      <c r="C869" s="67" t="s">
        <v>1411</v>
      </c>
      <c r="D869" s="67" t="s">
        <v>1481</v>
      </c>
      <c r="E869" s="67" t="s">
        <v>1482</v>
      </c>
      <c r="F869" s="67" t="s">
        <v>1462</v>
      </c>
      <c r="G869" s="69">
        <v>203</v>
      </c>
    </row>
    <row r="870" spans="1:7">
      <c r="A870" s="67" t="s">
        <v>2352</v>
      </c>
      <c r="B870" s="70">
        <v>46154</v>
      </c>
      <c r="C870" s="67" t="s">
        <v>1414</v>
      </c>
      <c r="D870" s="67" t="s">
        <v>1511</v>
      </c>
      <c r="E870" s="67" t="s">
        <v>1470</v>
      </c>
      <c r="F870" s="67" t="s">
        <v>1462</v>
      </c>
      <c r="G870" s="69">
        <v>146</v>
      </c>
    </row>
    <row r="871" spans="1:7">
      <c r="A871" s="67" t="s">
        <v>2353</v>
      </c>
      <c r="B871" s="70">
        <v>46154</v>
      </c>
      <c r="C871" s="67" t="s">
        <v>1414</v>
      </c>
      <c r="D871" s="67" t="s">
        <v>1484</v>
      </c>
      <c r="E871" s="67" t="s">
        <v>1470</v>
      </c>
      <c r="F871" s="67" t="s">
        <v>1462</v>
      </c>
      <c r="G871" s="69">
        <v>447</v>
      </c>
    </row>
    <row r="872" spans="1:7">
      <c r="A872" s="67" t="s">
        <v>2354</v>
      </c>
      <c r="B872" s="70">
        <v>46154</v>
      </c>
      <c r="C872" s="67" t="s">
        <v>1446</v>
      </c>
      <c r="D872" s="67" t="s">
        <v>365</v>
      </c>
      <c r="E872" s="67" t="s">
        <v>1368</v>
      </c>
      <c r="F872" s="67" t="s">
        <v>1462</v>
      </c>
      <c r="G872" s="69">
        <v>562</v>
      </c>
    </row>
    <row r="873" spans="1:7">
      <c r="A873" s="67" t="s">
        <v>2355</v>
      </c>
      <c r="B873" s="70">
        <v>46155</v>
      </c>
      <c r="C873" s="67" t="s">
        <v>1359</v>
      </c>
      <c r="D873" s="67" t="s">
        <v>1466</v>
      </c>
      <c r="E873" s="67" t="s">
        <v>1386</v>
      </c>
      <c r="F873" s="67" t="s">
        <v>1462</v>
      </c>
      <c r="G873" s="69">
        <v>259</v>
      </c>
    </row>
    <row r="874" spans="1:7">
      <c r="A874" s="67" t="s">
        <v>2356</v>
      </c>
      <c r="B874" s="70">
        <v>46155</v>
      </c>
      <c r="C874" s="67" t="s">
        <v>1359</v>
      </c>
      <c r="D874" s="67" t="s">
        <v>1551</v>
      </c>
      <c r="E874" s="67" t="s">
        <v>1362</v>
      </c>
      <c r="F874" s="67" t="s">
        <v>1462</v>
      </c>
      <c r="G874" s="69">
        <v>47</v>
      </c>
    </row>
    <row r="875" spans="1:7">
      <c r="A875" s="67" t="s">
        <v>2357</v>
      </c>
      <c r="B875" s="70">
        <v>46155</v>
      </c>
      <c r="C875" s="67" t="s">
        <v>1366</v>
      </c>
      <c r="D875" s="67" t="s">
        <v>369</v>
      </c>
      <c r="E875" s="67" t="s">
        <v>1368</v>
      </c>
      <c r="F875" s="67" t="s">
        <v>1462</v>
      </c>
      <c r="G875" s="69">
        <v>67</v>
      </c>
    </row>
    <row r="876" spans="1:7">
      <c r="A876" s="67" t="s">
        <v>2358</v>
      </c>
      <c r="B876" s="70">
        <v>46155</v>
      </c>
      <c r="C876" s="67" t="s">
        <v>1378</v>
      </c>
      <c r="D876" s="67" t="s">
        <v>365</v>
      </c>
      <c r="E876" s="67" t="s">
        <v>1368</v>
      </c>
      <c r="F876" s="67" t="s">
        <v>1460</v>
      </c>
      <c r="G876" s="69">
        <v>11</v>
      </c>
    </row>
    <row r="877" spans="1:7">
      <c r="A877" s="67" t="s">
        <v>2359</v>
      </c>
      <c r="B877" s="70">
        <v>46155</v>
      </c>
      <c r="C877" s="67" t="s">
        <v>1381</v>
      </c>
      <c r="D877" s="67" t="s">
        <v>356</v>
      </c>
      <c r="E877" s="67" t="s">
        <v>1368</v>
      </c>
      <c r="F877" s="67" t="s">
        <v>1462</v>
      </c>
      <c r="G877" s="69">
        <v>440</v>
      </c>
    </row>
    <row r="878" spans="1:7">
      <c r="A878" s="67" t="s">
        <v>2360</v>
      </c>
      <c r="B878" s="70">
        <v>46155</v>
      </c>
      <c r="C878" s="67" t="s">
        <v>1381</v>
      </c>
      <c r="D878" s="67" t="s">
        <v>356</v>
      </c>
      <c r="E878" s="67" t="s">
        <v>1368</v>
      </c>
      <c r="F878" s="67" t="s">
        <v>1462</v>
      </c>
      <c r="G878" s="69">
        <v>72</v>
      </c>
    </row>
    <row r="879" spans="1:7">
      <c r="A879" s="67" t="s">
        <v>2361</v>
      </c>
      <c r="B879" s="70">
        <v>46155</v>
      </c>
      <c r="C879" s="67" t="s">
        <v>1381</v>
      </c>
      <c r="D879" s="67" t="s">
        <v>1484</v>
      </c>
      <c r="E879" s="67" t="s">
        <v>1470</v>
      </c>
      <c r="F879" s="67" t="s">
        <v>1462</v>
      </c>
      <c r="G879" s="69">
        <v>310</v>
      </c>
    </row>
    <row r="880" spans="1:7">
      <c r="A880" s="67" t="s">
        <v>2362</v>
      </c>
      <c r="B880" s="70">
        <v>46155</v>
      </c>
      <c r="C880" s="67" t="s">
        <v>1404</v>
      </c>
      <c r="D880" s="67" t="s">
        <v>365</v>
      </c>
      <c r="E880" s="67" t="s">
        <v>1368</v>
      </c>
      <c r="F880" s="67" t="s">
        <v>1462</v>
      </c>
      <c r="G880" s="69">
        <v>297</v>
      </c>
    </row>
    <row r="881" spans="1:7">
      <c r="A881" s="67" t="s">
        <v>2363</v>
      </c>
      <c r="B881" s="70">
        <v>46155</v>
      </c>
      <c r="C881" s="67" t="s">
        <v>1404</v>
      </c>
      <c r="D881" s="67" t="s">
        <v>365</v>
      </c>
      <c r="E881" s="67" t="s">
        <v>1368</v>
      </c>
      <c r="F881" s="67" t="s">
        <v>1488</v>
      </c>
      <c r="G881" s="69">
        <v>7</v>
      </c>
    </row>
    <row r="882" spans="1:7">
      <c r="A882" s="67" t="s">
        <v>2364</v>
      </c>
      <c r="B882" s="70">
        <v>46155</v>
      </c>
      <c r="C882" s="67" t="s">
        <v>1411</v>
      </c>
      <c r="D882" s="67" t="s">
        <v>1506</v>
      </c>
      <c r="E882" s="67" t="s">
        <v>1482</v>
      </c>
      <c r="F882" s="67" t="s">
        <v>1460</v>
      </c>
      <c r="G882" s="69">
        <v>14</v>
      </c>
    </row>
    <row r="883" spans="1:7">
      <c r="A883" s="67" t="s">
        <v>2365</v>
      </c>
      <c r="B883" s="70">
        <v>46155</v>
      </c>
      <c r="C883" s="67" t="s">
        <v>1411</v>
      </c>
      <c r="D883" s="67" t="s">
        <v>1481</v>
      </c>
      <c r="E883" s="67" t="s">
        <v>1482</v>
      </c>
      <c r="F883" s="67" t="s">
        <v>1462</v>
      </c>
      <c r="G883" s="69">
        <v>500</v>
      </c>
    </row>
    <row r="884" spans="1:7">
      <c r="A884" s="67" t="s">
        <v>2366</v>
      </c>
      <c r="B884" s="70">
        <v>46155</v>
      </c>
      <c r="C884" s="67" t="s">
        <v>1414</v>
      </c>
      <c r="D884" s="67" t="s">
        <v>1607</v>
      </c>
      <c r="E884" s="67" t="s">
        <v>1470</v>
      </c>
      <c r="F884" s="67" t="s">
        <v>1462</v>
      </c>
      <c r="G884" s="69">
        <v>192</v>
      </c>
    </row>
    <row r="885" spans="1:7">
      <c r="A885" s="67" t="s">
        <v>2367</v>
      </c>
      <c r="B885" s="70">
        <v>46155</v>
      </c>
      <c r="C885" s="67" t="s">
        <v>1414</v>
      </c>
      <c r="D885" s="67" t="s">
        <v>1491</v>
      </c>
      <c r="E885" s="67" t="s">
        <v>1470</v>
      </c>
      <c r="F885" s="67" t="s">
        <v>1462</v>
      </c>
      <c r="G885" s="69">
        <v>491</v>
      </c>
    </row>
    <row r="886" spans="1:7">
      <c r="A886" s="67" t="s">
        <v>2368</v>
      </c>
      <c r="B886" s="70">
        <v>46155</v>
      </c>
      <c r="C886" s="67" t="s">
        <v>1423</v>
      </c>
      <c r="D886" s="67" t="s">
        <v>1743</v>
      </c>
      <c r="E886" s="67" t="s">
        <v>1410</v>
      </c>
      <c r="F886" s="67" t="s">
        <v>1462</v>
      </c>
      <c r="G886" s="69">
        <v>484</v>
      </c>
    </row>
    <row r="887" spans="1:7">
      <c r="A887" s="67" t="s">
        <v>2369</v>
      </c>
      <c r="B887" s="70">
        <v>46155</v>
      </c>
      <c r="C887" s="67" t="s">
        <v>1425</v>
      </c>
      <c r="D887" s="67" t="s">
        <v>1484</v>
      </c>
      <c r="E887" s="67" t="s">
        <v>1470</v>
      </c>
      <c r="F887" s="67" t="s">
        <v>1462</v>
      </c>
      <c r="G887" s="69">
        <v>130</v>
      </c>
    </row>
    <row r="888" spans="1:7">
      <c r="A888" s="67" t="s">
        <v>2370</v>
      </c>
      <c r="B888" s="70">
        <v>46155</v>
      </c>
      <c r="C888" s="67" t="s">
        <v>1429</v>
      </c>
      <c r="D888" s="67" t="s">
        <v>353</v>
      </c>
      <c r="E888" s="67" t="s">
        <v>1368</v>
      </c>
      <c r="F888" s="67" t="s">
        <v>1462</v>
      </c>
      <c r="G888" s="69">
        <v>358</v>
      </c>
    </row>
    <row r="889" spans="1:7">
      <c r="A889" s="67" t="s">
        <v>2371</v>
      </c>
      <c r="B889" s="70">
        <v>46155</v>
      </c>
      <c r="C889" s="67" t="s">
        <v>1442</v>
      </c>
      <c r="D889" s="67" t="s">
        <v>1466</v>
      </c>
      <c r="E889" s="67" t="s">
        <v>1386</v>
      </c>
      <c r="F889" s="67" t="s">
        <v>1462</v>
      </c>
      <c r="G889" s="69">
        <v>75</v>
      </c>
    </row>
    <row r="890" spans="1:7">
      <c r="A890" s="67" t="s">
        <v>2372</v>
      </c>
      <c r="B890" s="70">
        <v>46155</v>
      </c>
      <c r="C890" s="67" t="s">
        <v>1444</v>
      </c>
      <c r="D890" s="67" t="s">
        <v>1551</v>
      </c>
      <c r="E890" s="67" t="s">
        <v>1362</v>
      </c>
      <c r="F890" s="67" t="s">
        <v>1460</v>
      </c>
      <c r="G890" s="69">
        <v>22</v>
      </c>
    </row>
    <row r="891" spans="1:7">
      <c r="A891" s="67" t="s">
        <v>2373</v>
      </c>
      <c r="B891" s="70">
        <v>46156</v>
      </c>
      <c r="C891" s="67" t="s">
        <v>1359</v>
      </c>
      <c r="D891" s="67" t="s">
        <v>1551</v>
      </c>
      <c r="E891" s="67" t="s">
        <v>1362</v>
      </c>
      <c r="F891" s="67" t="s">
        <v>1462</v>
      </c>
      <c r="G891" s="69">
        <v>598</v>
      </c>
    </row>
    <row r="892" spans="1:7">
      <c r="A892" s="67" t="s">
        <v>2374</v>
      </c>
      <c r="B892" s="70">
        <v>46156</v>
      </c>
      <c r="C892" s="67" t="s">
        <v>1359</v>
      </c>
      <c r="D892" s="67" t="s">
        <v>358</v>
      </c>
      <c r="E892" s="67" t="s">
        <v>1368</v>
      </c>
      <c r="F892" s="67" t="s">
        <v>1460</v>
      </c>
      <c r="G892" s="69">
        <v>13</v>
      </c>
    </row>
    <row r="893" spans="1:7">
      <c r="A893" s="67" t="s">
        <v>2375</v>
      </c>
      <c r="B893" s="70">
        <v>46156</v>
      </c>
      <c r="C893" s="67" t="s">
        <v>1366</v>
      </c>
      <c r="D893" s="67" t="s">
        <v>353</v>
      </c>
      <c r="E893" s="67" t="s">
        <v>1368</v>
      </c>
      <c r="F893" s="67" t="s">
        <v>1460</v>
      </c>
      <c r="G893" s="69">
        <v>15</v>
      </c>
    </row>
    <row r="894" spans="1:7">
      <c r="A894" s="67" t="s">
        <v>2376</v>
      </c>
      <c r="B894" s="70">
        <v>46156</v>
      </c>
      <c r="C894" s="67" t="s">
        <v>1366</v>
      </c>
      <c r="D894" s="67" t="s">
        <v>363</v>
      </c>
      <c r="E894" s="67" t="s">
        <v>1368</v>
      </c>
      <c r="F894" s="67" t="s">
        <v>1460</v>
      </c>
      <c r="G894" s="69">
        <v>13</v>
      </c>
    </row>
    <row r="895" spans="1:7">
      <c r="A895" s="67" t="s">
        <v>2377</v>
      </c>
      <c r="B895" s="70">
        <v>46156</v>
      </c>
      <c r="C895" s="67" t="s">
        <v>1366</v>
      </c>
      <c r="D895" s="67" t="s">
        <v>358</v>
      </c>
      <c r="E895" s="67" t="s">
        <v>1368</v>
      </c>
      <c r="F895" s="67" t="s">
        <v>1462</v>
      </c>
      <c r="G895" s="69">
        <v>298</v>
      </c>
    </row>
    <row r="896" spans="1:7">
      <c r="A896" s="67" t="s">
        <v>2378</v>
      </c>
      <c r="B896" s="70">
        <v>46156</v>
      </c>
      <c r="C896" s="67" t="s">
        <v>1371</v>
      </c>
      <c r="D896" s="67" t="s">
        <v>1551</v>
      </c>
      <c r="E896" s="67" t="s">
        <v>1362</v>
      </c>
      <c r="F896" s="67" t="s">
        <v>1462</v>
      </c>
      <c r="G896" s="69">
        <v>392</v>
      </c>
    </row>
    <row r="897" spans="1:7">
      <c r="A897" s="67" t="s">
        <v>2379</v>
      </c>
      <c r="B897" s="70">
        <v>46156</v>
      </c>
      <c r="C897" s="67" t="s">
        <v>1371</v>
      </c>
      <c r="D897" s="67" t="s">
        <v>1551</v>
      </c>
      <c r="E897" s="67" t="s">
        <v>1362</v>
      </c>
      <c r="F897" s="67" t="s">
        <v>1462</v>
      </c>
      <c r="G897" s="69">
        <v>367</v>
      </c>
    </row>
    <row r="898" spans="1:7">
      <c r="A898" s="67" t="s">
        <v>2380</v>
      </c>
      <c r="B898" s="70">
        <v>46156</v>
      </c>
      <c r="C898" s="67" t="s">
        <v>1381</v>
      </c>
      <c r="D898" s="67" t="s">
        <v>353</v>
      </c>
      <c r="E898" s="67" t="s">
        <v>1368</v>
      </c>
      <c r="F898" s="67" t="s">
        <v>1462</v>
      </c>
      <c r="G898" s="69">
        <v>407</v>
      </c>
    </row>
    <row r="899" spans="1:7">
      <c r="A899" s="67" t="s">
        <v>2381</v>
      </c>
      <c r="B899" s="70">
        <v>46156</v>
      </c>
      <c r="C899" s="67" t="s">
        <v>1389</v>
      </c>
      <c r="D899" s="67" t="s">
        <v>369</v>
      </c>
      <c r="E899" s="67" t="s">
        <v>1368</v>
      </c>
      <c r="F899" s="67" t="s">
        <v>1460</v>
      </c>
      <c r="G899" s="69">
        <v>9</v>
      </c>
    </row>
    <row r="900" spans="1:7">
      <c r="A900" s="67" t="s">
        <v>2382</v>
      </c>
      <c r="B900" s="70">
        <v>46156</v>
      </c>
      <c r="C900" s="67" t="s">
        <v>1393</v>
      </c>
      <c r="D900" s="67" t="s">
        <v>365</v>
      </c>
      <c r="E900" s="67" t="s">
        <v>1368</v>
      </c>
      <c r="F900" s="67" t="s">
        <v>1462</v>
      </c>
      <c r="G900" s="69">
        <v>190</v>
      </c>
    </row>
    <row r="901" spans="1:7">
      <c r="A901" s="67" t="s">
        <v>2383</v>
      </c>
      <c r="B901" s="70">
        <v>46156</v>
      </c>
      <c r="C901" s="67" t="s">
        <v>1393</v>
      </c>
      <c r="D901" s="67" t="s">
        <v>367</v>
      </c>
      <c r="E901" s="67" t="s">
        <v>1368</v>
      </c>
      <c r="F901" s="67" t="s">
        <v>1460</v>
      </c>
      <c r="G901" s="69">
        <v>25</v>
      </c>
    </row>
    <row r="902" spans="1:7">
      <c r="A902" s="67" t="s">
        <v>2384</v>
      </c>
      <c r="B902" s="70">
        <v>46156</v>
      </c>
      <c r="C902" s="67" t="s">
        <v>1399</v>
      </c>
      <c r="D902" s="67" t="s">
        <v>1466</v>
      </c>
      <c r="E902" s="67" t="s">
        <v>1386</v>
      </c>
      <c r="F902" s="67" t="s">
        <v>1460</v>
      </c>
      <c r="G902" s="69">
        <v>21</v>
      </c>
    </row>
    <row r="903" spans="1:7">
      <c r="A903" s="67" t="s">
        <v>2385</v>
      </c>
      <c r="B903" s="70">
        <v>46156</v>
      </c>
      <c r="C903" s="67" t="s">
        <v>1404</v>
      </c>
      <c r="D903" s="67" t="s">
        <v>363</v>
      </c>
      <c r="E903" s="67" t="s">
        <v>1368</v>
      </c>
      <c r="F903" s="67" t="s">
        <v>1462</v>
      </c>
      <c r="G903" s="69">
        <v>179</v>
      </c>
    </row>
    <row r="904" spans="1:7">
      <c r="A904" s="67" t="s">
        <v>2386</v>
      </c>
      <c r="B904" s="70">
        <v>46156</v>
      </c>
      <c r="C904" s="67" t="s">
        <v>1404</v>
      </c>
      <c r="D904" s="67" t="s">
        <v>367</v>
      </c>
      <c r="E904" s="67" t="s">
        <v>1368</v>
      </c>
      <c r="F904" s="67" t="s">
        <v>1488</v>
      </c>
      <c r="G904" s="69">
        <v>6</v>
      </c>
    </row>
    <row r="905" spans="1:7">
      <c r="A905" s="67" t="s">
        <v>2387</v>
      </c>
      <c r="B905" s="70">
        <v>46156</v>
      </c>
      <c r="C905" s="67" t="s">
        <v>1404</v>
      </c>
      <c r="D905" s="67" t="s">
        <v>1551</v>
      </c>
      <c r="E905" s="67" t="s">
        <v>1362</v>
      </c>
      <c r="F905" s="67" t="s">
        <v>1462</v>
      </c>
      <c r="G905" s="69">
        <v>288</v>
      </c>
    </row>
    <row r="906" spans="1:7">
      <c r="A906" s="67" t="s">
        <v>2388</v>
      </c>
      <c r="B906" s="70">
        <v>46156</v>
      </c>
      <c r="C906" s="67" t="s">
        <v>1404</v>
      </c>
      <c r="D906" s="67" t="s">
        <v>358</v>
      </c>
      <c r="E906" s="67" t="s">
        <v>1368</v>
      </c>
      <c r="F906" s="67" t="s">
        <v>1462</v>
      </c>
      <c r="G906" s="69">
        <v>122</v>
      </c>
    </row>
    <row r="907" spans="1:7">
      <c r="A907" s="67" t="s">
        <v>2389</v>
      </c>
      <c r="B907" s="70">
        <v>46156</v>
      </c>
      <c r="C907" s="67" t="s">
        <v>1404</v>
      </c>
      <c r="D907" s="67" t="s">
        <v>358</v>
      </c>
      <c r="E907" s="67" t="s">
        <v>1368</v>
      </c>
      <c r="F907" s="67" t="s">
        <v>1460</v>
      </c>
      <c r="G907" s="69">
        <v>15</v>
      </c>
    </row>
    <row r="908" spans="1:7">
      <c r="A908" s="67" t="s">
        <v>2390</v>
      </c>
      <c r="B908" s="70">
        <v>46156</v>
      </c>
      <c r="C908" s="67" t="s">
        <v>1411</v>
      </c>
      <c r="D908" s="67" t="s">
        <v>1506</v>
      </c>
      <c r="E908" s="67" t="s">
        <v>1482</v>
      </c>
      <c r="F908" s="67" t="s">
        <v>1462</v>
      </c>
      <c r="G908" s="69">
        <v>574</v>
      </c>
    </row>
    <row r="909" spans="1:7">
      <c r="A909" s="67" t="s">
        <v>2391</v>
      </c>
      <c r="B909" s="70">
        <v>46156</v>
      </c>
      <c r="C909" s="67" t="s">
        <v>1411</v>
      </c>
      <c r="D909" s="67" t="s">
        <v>1506</v>
      </c>
      <c r="E909" s="67" t="s">
        <v>1482</v>
      </c>
      <c r="F909" s="67" t="s">
        <v>1460</v>
      </c>
      <c r="G909" s="69">
        <v>28</v>
      </c>
    </row>
    <row r="910" spans="1:7">
      <c r="A910" s="67" t="s">
        <v>2392</v>
      </c>
      <c r="B910" s="70">
        <v>46156</v>
      </c>
      <c r="C910" s="67" t="s">
        <v>1419</v>
      </c>
      <c r="D910" s="67" t="s">
        <v>353</v>
      </c>
      <c r="E910" s="67" t="s">
        <v>1368</v>
      </c>
      <c r="F910" s="67" t="s">
        <v>1460</v>
      </c>
      <c r="G910" s="69">
        <v>17</v>
      </c>
    </row>
    <row r="911" spans="1:7">
      <c r="A911" s="67" t="s">
        <v>2393</v>
      </c>
      <c r="B911" s="70">
        <v>46156</v>
      </c>
      <c r="C911" s="67" t="s">
        <v>1429</v>
      </c>
      <c r="D911" s="67" t="s">
        <v>369</v>
      </c>
      <c r="E911" s="67" t="s">
        <v>1368</v>
      </c>
      <c r="F911" s="67" t="s">
        <v>1462</v>
      </c>
      <c r="G911" s="69">
        <v>62</v>
      </c>
    </row>
    <row r="912" spans="1:7">
      <c r="A912" s="67" t="s">
        <v>2394</v>
      </c>
      <c r="B912" s="70">
        <v>46156</v>
      </c>
      <c r="C912" s="67" t="s">
        <v>1429</v>
      </c>
      <c r="D912" s="67" t="s">
        <v>369</v>
      </c>
      <c r="E912" s="67" t="s">
        <v>1368</v>
      </c>
      <c r="F912" s="67" t="s">
        <v>1460</v>
      </c>
      <c r="G912" s="69">
        <v>14</v>
      </c>
    </row>
    <row r="913" spans="1:7">
      <c r="A913" s="67" t="s">
        <v>2395</v>
      </c>
      <c r="B913" s="70">
        <v>46156</v>
      </c>
      <c r="C913" s="67" t="s">
        <v>1442</v>
      </c>
      <c r="D913" s="67" t="s">
        <v>1466</v>
      </c>
      <c r="E913" s="67" t="s">
        <v>1386</v>
      </c>
      <c r="F913" s="67" t="s">
        <v>1462</v>
      </c>
      <c r="G913" s="69">
        <v>79</v>
      </c>
    </row>
    <row r="914" spans="1:7">
      <c r="A914" s="67" t="s">
        <v>2396</v>
      </c>
      <c r="B914" s="70">
        <v>46156</v>
      </c>
      <c r="C914" s="67" t="s">
        <v>1444</v>
      </c>
      <c r="D914" s="67" t="s">
        <v>1466</v>
      </c>
      <c r="E914" s="67" t="s">
        <v>1386</v>
      </c>
      <c r="F914" s="67" t="s">
        <v>1462</v>
      </c>
      <c r="G914" s="69">
        <v>40</v>
      </c>
    </row>
    <row r="915" spans="1:7">
      <c r="A915" s="67" t="s">
        <v>2397</v>
      </c>
      <c r="B915" s="70">
        <v>46157</v>
      </c>
      <c r="C915" s="67" t="s">
        <v>1359</v>
      </c>
      <c r="D915" s="67" t="s">
        <v>365</v>
      </c>
      <c r="E915" s="67" t="s">
        <v>1368</v>
      </c>
      <c r="F915" s="67" t="s">
        <v>1460</v>
      </c>
      <c r="G915" s="69">
        <v>13</v>
      </c>
    </row>
    <row r="916" spans="1:7">
      <c r="A916" s="67" t="s">
        <v>2398</v>
      </c>
      <c r="B916" s="70">
        <v>46157</v>
      </c>
      <c r="C916" s="67" t="s">
        <v>1359</v>
      </c>
      <c r="D916" s="67" t="s">
        <v>1551</v>
      </c>
      <c r="E916" s="67" t="s">
        <v>1362</v>
      </c>
      <c r="F916" s="67" t="s">
        <v>1462</v>
      </c>
      <c r="G916" s="69">
        <v>74</v>
      </c>
    </row>
    <row r="917" spans="1:7">
      <c r="A917" s="67" t="s">
        <v>2399</v>
      </c>
      <c r="B917" s="70">
        <v>46157</v>
      </c>
      <c r="C917" s="67" t="s">
        <v>1366</v>
      </c>
      <c r="D917" s="67" t="s">
        <v>353</v>
      </c>
      <c r="E917" s="67" t="s">
        <v>1368</v>
      </c>
      <c r="F917" s="67" t="s">
        <v>1488</v>
      </c>
      <c r="G917" s="69">
        <v>10</v>
      </c>
    </row>
    <row r="918" spans="1:7">
      <c r="A918" s="67" t="s">
        <v>2400</v>
      </c>
      <c r="B918" s="70">
        <v>46157</v>
      </c>
      <c r="C918" s="67" t="s">
        <v>1366</v>
      </c>
      <c r="D918" s="67" t="s">
        <v>356</v>
      </c>
      <c r="E918" s="67" t="s">
        <v>1368</v>
      </c>
      <c r="F918" s="67" t="s">
        <v>1462</v>
      </c>
      <c r="G918" s="69">
        <v>85</v>
      </c>
    </row>
    <row r="919" spans="1:7">
      <c r="A919" s="67" t="s">
        <v>2401</v>
      </c>
      <c r="B919" s="70">
        <v>46157</v>
      </c>
      <c r="C919" s="67" t="s">
        <v>1366</v>
      </c>
      <c r="D919" s="67" t="s">
        <v>1459</v>
      </c>
      <c r="E919" s="67" t="s">
        <v>1362</v>
      </c>
      <c r="F919" s="67" t="s">
        <v>1462</v>
      </c>
      <c r="G919" s="69">
        <v>473</v>
      </c>
    </row>
    <row r="920" spans="1:7">
      <c r="A920" s="67" t="s">
        <v>2402</v>
      </c>
      <c r="B920" s="70">
        <v>46157</v>
      </c>
      <c r="C920" s="67" t="s">
        <v>1375</v>
      </c>
      <c r="D920" s="67" t="s">
        <v>353</v>
      </c>
      <c r="E920" s="67" t="s">
        <v>1368</v>
      </c>
      <c r="F920" s="67" t="s">
        <v>1462</v>
      </c>
      <c r="G920" s="69">
        <v>156</v>
      </c>
    </row>
    <row r="921" spans="1:7">
      <c r="A921" s="67" t="s">
        <v>2403</v>
      </c>
      <c r="B921" s="70">
        <v>46157</v>
      </c>
      <c r="C921" s="67" t="s">
        <v>1375</v>
      </c>
      <c r="D921" s="67" t="s">
        <v>369</v>
      </c>
      <c r="E921" s="67" t="s">
        <v>1368</v>
      </c>
      <c r="F921" s="67" t="s">
        <v>1460</v>
      </c>
      <c r="G921" s="69">
        <v>23</v>
      </c>
    </row>
    <row r="922" spans="1:7">
      <c r="A922" s="67" t="s">
        <v>2404</v>
      </c>
      <c r="B922" s="70">
        <v>46157</v>
      </c>
      <c r="C922" s="67" t="s">
        <v>1381</v>
      </c>
      <c r="D922" s="67" t="s">
        <v>356</v>
      </c>
      <c r="E922" s="67" t="s">
        <v>1368</v>
      </c>
      <c r="F922" s="67" t="s">
        <v>1460</v>
      </c>
      <c r="G922" s="69">
        <v>30</v>
      </c>
    </row>
    <row r="923" spans="1:7">
      <c r="A923" s="67" t="s">
        <v>2405</v>
      </c>
      <c r="B923" s="70">
        <v>46157</v>
      </c>
      <c r="C923" s="67" t="s">
        <v>1384</v>
      </c>
      <c r="D923" s="67" t="s">
        <v>1476</v>
      </c>
      <c r="E923" s="67" t="s">
        <v>1362</v>
      </c>
      <c r="F923" s="67" t="s">
        <v>1462</v>
      </c>
      <c r="G923" s="69">
        <v>372</v>
      </c>
    </row>
    <row r="924" spans="1:7">
      <c r="A924" s="67" t="s">
        <v>2406</v>
      </c>
      <c r="B924" s="70">
        <v>46157</v>
      </c>
      <c r="C924" s="67" t="s">
        <v>1389</v>
      </c>
      <c r="D924" s="67" t="s">
        <v>356</v>
      </c>
      <c r="E924" s="67" t="s">
        <v>1368</v>
      </c>
      <c r="F924" s="67" t="s">
        <v>1462</v>
      </c>
      <c r="G924" s="69">
        <v>42</v>
      </c>
    </row>
    <row r="925" spans="1:7">
      <c r="A925" s="67" t="s">
        <v>2407</v>
      </c>
      <c r="B925" s="70">
        <v>46157</v>
      </c>
      <c r="C925" s="67" t="s">
        <v>1399</v>
      </c>
      <c r="D925" s="67" t="s">
        <v>1466</v>
      </c>
      <c r="E925" s="67" t="s">
        <v>1386</v>
      </c>
      <c r="F925" s="67" t="s">
        <v>1462</v>
      </c>
      <c r="G925" s="69">
        <v>373</v>
      </c>
    </row>
    <row r="926" spans="1:7">
      <c r="A926" s="67" t="s">
        <v>2408</v>
      </c>
      <c r="B926" s="70">
        <v>46157</v>
      </c>
      <c r="C926" s="67" t="s">
        <v>1399</v>
      </c>
      <c r="D926" s="67" t="s">
        <v>1551</v>
      </c>
      <c r="E926" s="67" t="s">
        <v>1362</v>
      </c>
      <c r="F926" s="67" t="s">
        <v>1462</v>
      </c>
      <c r="G926" s="69">
        <v>191</v>
      </c>
    </row>
    <row r="927" spans="1:7">
      <c r="A927" s="67" t="s">
        <v>2409</v>
      </c>
      <c r="B927" s="70">
        <v>46157</v>
      </c>
      <c r="C927" s="67" t="s">
        <v>1404</v>
      </c>
      <c r="D927" s="67" t="s">
        <v>367</v>
      </c>
      <c r="E927" s="67" t="s">
        <v>1368</v>
      </c>
      <c r="F927" s="67" t="s">
        <v>1462</v>
      </c>
      <c r="G927" s="69">
        <v>219</v>
      </c>
    </row>
    <row r="928" spans="1:7">
      <c r="A928" s="67" t="s">
        <v>2410</v>
      </c>
      <c r="B928" s="70">
        <v>46157</v>
      </c>
      <c r="C928" s="67" t="s">
        <v>1406</v>
      </c>
      <c r="D928" s="67" t="s">
        <v>356</v>
      </c>
      <c r="E928" s="67" t="s">
        <v>1368</v>
      </c>
      <c r="F928" s="67" t="s">
        <v>1462</v>
      </c>
      <c r="G928" s="69">
        <v>332</v>
      </c>
    </row>
    <row r="929" spans="1:7">
      <c r="A929" s="67" t="s">
        <v>2411</v>
      </c>
      <c r="B929" s="70">
        <v>46157</v>
      </c>
      <c r="C929" s="67" t="s">
        <v>1411</v>
      </c>
      <c r="D929" s="67" t="s">
        <v>1506</v>
      </c>
      <c r="E929" s="67" t="s">
        <v>1482</v>
      </c>
      <c r="F929" s="67" t="s">
        <v>1462</v>
      </c>
      <c r="G929" s="69">
        <v>351</v>
      </c>
    </row>
    <row r="930" spans="1:7">
      <c r="A930" s="67" t="s">
        <v>2412</v>
      </c>
      <c r="B930" s="70">
        <v>46157</v>
      </c>
      <c r="C930" s="67" t="s">
        <v>1411</v>
      </c>
      <c r="D930" s="67" t="s">
        <v>1481</v>
      </c>
      <c r="E930" s="67" t="s">
        <v>1482</v>
      </c>
      <c r="F930" s="67" t="s">
        <v>1462</v>
      </c>
      <c r="G930" s="69">
        <v>412</v>
      </c>
    </row>
    <row r="931" spans="1:7">
      <c r="A931" s="67" t="s">
        <v>2413</v>
      </c>
      <c r="B931" s="70">
        <v>46157</v>
      </c>
      <c r="C931" s="67" t="s">
        <v>1414</v>
      </c>
      <c r="D931" s="67" t="s">
        <v>1484</v>
      </c>
      <c r="E931" s="67" t="s">
        <v>1470</v>
      </c>
      <c r="F931" s="67" t="s">
        <v>1462</v>
      </c>
      <c r="G931" s="69">
        <v>162</v>
      </c>
    </row>
    <row r="932" spans="1:7">
      <c r="A932" s="67" t="s">
        <v>2414</v>
      </c>
      <c r="B932" s="70">
        <v>46157</v>
      </c>
      <c r="C932" s="67" t="s">
        <v>1414</v>
      </c>
      <c r="D932" s="67" t="s">
        <v>1484</v>
      </c>
      <c r="E932" s="67" t="s">
        <v>1470</v>
      </c>
      <c r="F932" s="67" t="s">
        <v>1462</v>
      </c>
      <c r="G932" s="69">
        <v>395</v>
      </c>
    </row>
    <row r="933" spans="1:7">
      <c r="A933" s="67" t="s">
        <v>2415</v>
      </c>
      <c r="B933" s="70">
        <v>46157</v>
      </c>
      <c r="C933" s="67" t="s">
        <v>1423</v>
      </c>
      <c r="D933" s="67" t="s">
        <v>1479</v>
      </c>
      <c r="E933" s="67" t="s">
        <v>1410</v>
      </c>
      <c r="F933" s="67" t="s">
        <v>1462</v>
      </c>
      <c r="G933" s="69">
        <v>483</v>
      </c>
    </row>
    <row r="934" spans="1:7">
      <c r="A934" s="67" t="s">
        <v>2416</v>
      </c>
      <c r="B934" s="70">
        <v>46157</v>
      </c>
      <c r="C934" s="67" t="s">
        <v>1442</v>
      </c>
      <c r="D934" s="67" t="s">
        <v>1551</v>
      </c>
      <c r="E934" s="67" t="s">
        <v>1362</v>
      </c>
      <c r="F934" s="67" t="s">
        <v>1462</v>
      </c>
      <c r="G934" s="69">
        <v>362</v>
      </c>
    </row>
    <row r="935" spans="1:7">
      <c r="A935" s="67" t="s">
        <v>2417</v>
      </c>
      <c r="B935" s="70">
        <v>46158</v>
      </c>
      <c r="C935" s="67" t="s">
        <v>1359</v>
      </c>
      <c r="D935" s="67" t="s">
        <v>1476</v>
      </c>
      <c r="E935" s="67" t="s">
        <v>1362</v>
      </c>
      <c r="F935" s="67" t="s">
        <v>1462</v>
      </c>
      <c r="G935" s="69">
        <v>35</v>
      </c>
    </row>
    <row r="936" spans="1:7">
      <c r="A936" s="67" t="s">
        <v>2418</v>
      </c>
      <c r="B936" s="70">
        <v>46158</v>
      </c>
      <c r="C936" s="67" t="s">
        <v>1366</v>
      </c>
      <c r="D936" s="67" t="s">
        <v>365</v>
      </c>
      <c r="E936" s="67" t="s">
        <v>1368</v>
      </c>
      <c r="F936" s="67" t="s">
        <v>1488</v>
      </c>
      <c r="G936" s="69">
        <v>8</v>
      </c>
    </row>
    <row r="937" spans="1:7">
      <c r="A937" s="67" t="s">
        <v>2419</v>
      </c>
      <c r="B937" s="70">
        <v>46158</v>
      </c>
      <c r="C937" s="67" t="s">
        <v>1371</v>
      </c>
      <c r="D937" s="67" t="s">
        <v>369</v>
      </c>
      <c r="E937" s="67" t="s">
        <v>1368</v>
      </c>
      <c r="F937" s="67" t="s">
        <v>1462</v>
      </c>
      <c r="G937" s="69">
        <v>557</v>
      </c>
    </row>
    <row r="938" spans="1:7">
      <c r="A938" s="67" t="s">
        <v>2420</v>
      </c>
      <c r="B938" s="70">
        <v>46158</v>
      </c>
      <c r="C938" s="67" t="s">
        <v>1371</v>
      </c>
      <c r="D938" s="67" t="s">
        <v>1551</v>
      </c>
      <c r="E938" s="67" t="s">
        <v>1362</v>
      </c>
      <c r="F938" s="67" t="s">
        <v>1462</v>
      </c>
      <c r="G938" s="69">
        <v>195</v>
      </c>
    </row>
    <row r="939" spans="1:7">
      <c r="A939" s="67" t="s">
        <v>2421</v>
      </c>
      <c r="B939" s="70">
        <v>46158</v>
      </c>
      <c r="C939" s="67" t="s">
        <v>1371</v>
      </c>
      <c r="D939" s="67" t="s">
        <v>1551</v>
      </c>
      <c r="E939" s="67" t="s">
        <v>1362</v>
      </c>
      <c r="F939" s="67" t="s">
        <v>1462</v>
      </c>
      <c r="G939" s="69">
        <v>117</v>
      </c>
    </row>
    <row r="940" spans="1:7">
      <c r="A940" s="67" t="s">
        <v>2422</v>
      </c>
      <c r="B940" s="70">
        <v>46158</v>
      </c>
      <c r="C940" s="67" t="s">
        <v>1389</v>
      </c>
      <c r="D940" s="67" t="s">
        <v>367</v>
      </c>
      <c r="E940" s="67" t="s">
        <v>1368</v>
      </c>
      <c r="F940" s="67" t="s">
        <v>1462</v>
      </c>
      <c r="G940" s="69">
        <v>453</v>
      </c>
    </row>
    <row r="941" spans="1:7">
      <c r="A941" s="67" t="s">
        <v>2423</v>
      </c>
      <c r="B941" s="70">
        <v>46158</v>
      </c>
      <c r="C941" s="67" t="s">
        <v>1404</v>
      </c>
      <c r="D941" s="67" t="s">
        <v>353</v>
      </c>
      <c r="E941" s="67" t="s">
        <v>1368</v>
      </c>
      <c r="F941" s="67" t="s">
        <v>1460</v>
      </c>
      <c r="G941" s="69">
        <v>6</v>
      </c>
    </row>
    <row r="942" spans="1:7">
      <c r="A942" s="67" t="s">
        <v>2424</v>
      </c>
      <c r="B942" s="70">
        <v>46158</v>
      </c>
      <c r="C942" s="67" t="s">
        <v>1404</v>
      </c>
      <c r="D942" s="67" t="s">
        <v>356</v>
      </c>
      <c r="E942" s="67" t="s">
        <v>1368</v>
      </c>
      <c r="F942" s="67" t="s">
        <v>1462</v>
      </c>
      <c r="G942" s="69">
        <v>414</v>
      </c>
    </row>
    <row r="943" spans="1:7">
      <c r="A943" s="67" t="s">
        <v>2425</v>
      </c>
      <c r="B943" s="70">
        <v>46158</v>
      </c>
      <c r="C943" s="67" t="s">
        <v>1404</v>
      </c>
      <c r="D943" s="67" t="s">
        <v>356</v>
      </c>
      <c r="E943" s="67" t="s">
        <v>1368</v>
      </c>
      <c r="F943" s="67" t="s">
        <v>1462</v>
      </c>
      <c r="G943" s="69">
        <v>323</v>
      </c>
    </row>
    <row r="944" spans="1:7">
      <c r="A944" s="67" t="s">
        <v>2426</v>
      </c>
      <c r="B944" s="70">
        <v>46158</v>
      </c>
      <c r="C944" s="67" t="s">
        <v>1411</v>
      </c>
      <c r="D944" s="67" t="s">
        <v>1481</v>
      </c>
      <c r="E944" s="67" t="s">
        <v>1482</v>
      </c>
      <c r="F944" s="67" t="s">
        <v>1460</v>
      </c>
      <c r="G944" s="69">
        <v>30</v>
      </c>
    </row>
    <row r="945" spans="1:7">
      <c r="A945" s="67" t="s">
        <v>2427</v>
      </c>
      <c r="B945" s="70">
        <v>46158</v>
      </c>
      <c r="C945" s="67" t="s">
        <v>1414</v>
      </c>
      <c r="D945" s="67" t="s">
        <v>1607</v>
      </c>
      <c r="E945" s="67" t="s">
        <v>1470</v>
      </c>
      <c r="F945" s="67" t="s">
        <v>1462</v>
      </c>
      <c r="G945" s="69">
        <v>201</v>
      </c>
    </row>
    <row r="946" spans="1:7">
      <c r="A946" s="67" t="s">
        <v>2428</v>
      </c>
      <c r="B946" s="70">
        <v>46158</v>
      </c>
      <c r="C946" s="67" t="s">
        <v>1423</v>
      </c>
      <c r="D946" s="67" t="s">
        <v>1487</v>
      </c>
      <c r="E946" s="67" t="s">
        <v>1410</v>
      </c>
      <c r="F946" s="67" t="s">
        <v>1462</v>
      </c>
      <c r="G946" s="69">
        <v>317</v>
      </c>
    </row>
    <row r="947" spans="1:7">
      <c r="A947" s="67" t="s">
        <v>2429</v>
      </c>
      <c r="B947" s="70">
        <v>46158</v>
      </c>
      <c r="C947" s="67" t="s">
        <v>1423</v>
      </c>
      <c r="D947" s="67" t="s">
        <v>1515</v>
      </c>
      <c r="E947" s="67" t="s">
        <v>1410</v>
      </c>
      <c r="F947" s="67" t="s">
        <v>1460</v>
      </c>
      <c r="G947" s="69">
        <v>24</v>
      </c>
    </row>
    <row r="948" spans="1:7">
      <c r="A948" s="67" t="s">
        <v>2430</v>
      </c>
      <c r="B948" s="70">
        <v>46158</v>
      </c>
      <c r="C948" s="67" t="s">
        <v>1425</v>
      </c>
      <c r="D948" s="67" t="s">
        <v>1511</v>
      </c>
      <c r="E948" s="67" t="s">
        <v>1470</v>
      </c>
      <c r="F948" s="67" t="s">
        <v>1462</v>
      </c>
      <c r="G948" s="69">
        <v>153</v>
      </c>
    </row>
    <row r="949" spans="1:7">
      <c r="A949" s="67" t="s">
        <v>2431</v>
      </c>
      <c r="B949" s="70">
        <v>46158</v>
      </c>
      <c r="C949" s="67" t="s">
        <v>1425</v>
      </c>
      <c r="D949" s="67" t="s">
        <v>1469</v>
      </c>
      <c r="E949" s="67" t="s">
        <v>1470</v>
      </c>
      <c r="F949" s="67" t="s">
        <v>1462</v>
      </c>
      <c r="G949" s="69">
        <v>509</v>
      </c>
    </row>
    <row r="950" spans="1:7">
      <c r="A950" s="67" t="s">
        <v>2432</v>
      </c>
      <c r="B950" s="70">
        <v>46158</v>
      </c>
      <c r="C950" s="67" t="s">
        <v>1429</v>
      </c>
      <c r="D950" s="67" t="s">
        <v>1459</v>
      </c>
      <c r="E950" s="67" t="s">
        <v>1362</v>
      </c>
      <c r="F950" s="67" t="s">
        <v>1462</v>
      </c>
      <c r="G950" s="69">
        <v>181</v>
      </c>
    </row>
    <row r="951" spans="1:7">
      <c r="A951" s="67" t="s">
        <v>2433</v>
      </c>
      <c r="B951" s="70">
        <v>46158</v>
      </c>
      <c r="C951" s="67" t="s">
        <v>1444</v>
      </c>
      <c r="D951" s="67" t="s">
        <v>1466</v>
      </c>
      <c r="E951" s="67" t="s">
        <v>1386</v>
      </c>
      <c r="F951" s="67" t="s">
        <v>1462</v>
      </c>
      <c r="G951" s="69">
        <v>340</v>
      </c>
    </row>
    <row r="952" spans="1:7">
      <c r="A952" s="67" t="s">
        <v>2434</v>
      </c>
      <c r="B952" s="70">
        <v>46158</v>
      </c>
      <c r="C952" s="67" t="s">
        <v>1444</v>
      </c>
      <c r="D952" s="67" t="s">
        <v>1459</v>
      </c>
      <c r="E952" s="67" t="s">
        <v>1362</v>
      </c>
      <c r="F952" s="67" t="s">
        <v>1462</v>
      </c>
      <c r="G952" s="69">
        <v>584</v>
      </c>
    </row>
    <row r="953" spans="1:7">
      <c r="A953" s="67" t="s">
        <v>2435</v>
      </c>
      <c r="B953" s="70">
        <v>46159</v>
      </c>
      <c r="C953" s="67" t="s">
        <v>1359</v>
      </c>
      <c r="D953" s="67" t="s">
        <v>1551</v>
      </c>
      <c r="E953" s="67" t="s">
        <v>1362</v>
      </c>
      <c r="F953" s="67" t="s">
        <v>1462</v>
      </c>
      <c r="G953" s="69">
        <v>599</v>
      </c>
    </row>
    <row r="954" spans="1:7">
      <c r="A954" s="67" t="s">
        <v>2436</v>
      </c>
      <c r="B954" s="70">
        <v>46159</v>
      </c>
      <c r="C954" s="67" t="s">
        <v>1366</v>
      </c>
      <c r="D954" s="67" t="s">
        <v>353</v>
      </c>
      <c r="E954" s="67" t="s">
        <v>1368</v>
      </c>
      <c r="F954" s="67" t="s">
        <v>1462</v>
      </c>
      <c r="G954" s="69">
        <v>133</v>
      </c>
    </row>
    <row r="955" spans="1:7">
      <c r="A955" s="67" t="s">
        <v>2437</v>
      </c>
      <c r="B955" s="70">
        <v>46159</v>
      </c>
      <c r="C955" s="67" t="s">
        <v>1366</v>
      </c>
      <c r="D955" s="67" t="s">
        <v>356</v>
      </c>
      <c r="E955" s="67" t="s">
        <v>1368</v>
      </c>
      <c r="F955" s="67" t="s">
        <v>1462</v>
      </c>
      <c r="G955" s="69">
        <v>238</v>
      </c>
    </row>
    <row r="956" spans="1:7">
      <c r="A956" s="67" t="s">
        <v>2438</v>
      </c>
      <c r="B956" s="70">
        <v>46159</v>
      </c>
      <c r="C956" s="67" t="s">
        <v>1366</v>
      </c>
      <c r="D956" s="67" t="s">
        <v>356</v>
      </c>
      <c r="E956" s="67" t="s">
        <v>1368</v>
      </c>
      <c r="F956" s="67" t="s">
        <v>1488</v>
      </c>
      <c r="G956" s="69">
        <v>9</v>
      </c>
    </row>
    <row r="957" spans="1:7">
      <c r="A957" s="67" t="s">
        <v>2439</v>
      </c>
      <c r="B957" s="70">
        <v>46159</v>
      </c>
      <c r="C957" s="67" t="s">
        <v>1366</v>
      </c>
      <c r="D957" s="67" t="s">
        <v>365</v>
      </c>
      <c r="E957" s="67" t="s">
        <v>1368</v>
      </c>
      <c r="F957" s="67" t="s">
        <v>1462</v>
      </c>
      <c r="G957" s="69">
        <v>195</v>
      </c>
    </row>
    <row r="958" spans="1:7">
      <c r="A958" s="67" t="s">
        <v>2440</v>
      </c>
      <c r="B958" s="70">
        <v>46159</v>
      </c>
      <c r="C958" s="67" t="s">
        <v>1371</v>
      </c>
      <c r="D958" s="67" t="s">
        <v>1459</v>
      </c>
      <c r="E958" s="67" t="s">
        <v>1362</v>
      </c>
      <c r="F958" s="67" t="s">
        <v>1462</v>
      </c>
      <c r="G958" s="69">
        <v>223</v>
      </c>
    </row>
    <row r="959" spans="1:7">
      <c r="A959" s="67" t="s">
        <v>2441</v>
      </c>
      <c r="B959" s="70">
        <v>46159</v>
      </c>
      <c r="C959" s="67" t="s">
        <v>1378</v>
      </c>
      <c r="D959" s="67" t="s">
        <v>356</v>
      </c>
      <c r="E959" s="67" t="s">
        <v>1368</v>
      </c>
      <c r="F959" s="67" t="s">
        <v>1460</v>
      </c>
      <c r="G959" s="69">
        <v>24</v>
      </c>
    </row>
    <row r="960" spans="1:7">
      <c r="A960" s="67" t="s">
        <v>2442</v>
      </c>
      <c r="B960" s="70">
        <v>46159</v>
      </c>
      <c r="C960" s="67" t="s">
        <v>1384</v>
      </c>
      <c r="D960" s="67" t="s">
        <v>1602</v>
      </c>
      <c r="E960" s="67" t="s">
        <v>1386</v>
      </c>
      <c r="F960" s="67" t="s">
        <v>1462</v>
      </c>
      <c r="G960" s="69">
        <v>107</v>
      </c>
    </row>
    <row r="961" spans="1:7">
      <c r="A961" s="67" t="s">
        <v>2443</v>
      </c>
      <c r="B961" s="70">
        <v>46159</v>
      </c>
      <c r="C961" s="67" t="s">
        <v>1389</v>
      </c>
      <c r="D961" s="67" t="s">
        <v>363</v>
      </c>
      <c r="E961" s="67" t="s">
        <v>1368</v>
      </c>
      <c r="F961" s="67" t="s">
        <v>1462</v>
      </c>
      <c r="G961" s="69">
        <v>337</v>
      </c>
    </row>
    <row r="962" spans="1:7">
      <c r="A962" s="67" t="s">
        <v>2444</v>
      </c>
      <c r="B962" s="70">
        <v>46159</v>
      </c>
      <c r="C962" s="67" t="s">
        <v>1399</v>
      </c>
      <c r="D962" s="67" t="s">
        <v>1459</v>
      </c>
      <c r="E962" s="67" t="s">
        <v>1362</v>
      </c>
      <c r="F962" s="67" t="s">
        <v>1462</v>
      </c>
      <c r="G962" s="69">
        <v>478</v>
      </c>
    </row>
    <row r="963" spans="1:7">
      <c r="A963" s="67" t="s">
        <v>2445</v>
      </c>
      <c r="B963" s="70">
        <v>46159</v>
      </c>
      <c r="C963" s="67" t="s">
        <v>1401</v>
      </c>
      <c r="D963" s="67" t="s">
        <v>1476</v>
      </c>
      <c r="E963" s="67" t="s">
        <v>1362</v>
      </c>
      <c r="F963" s="67" t="s">
        <v>1462</v>
      </c>
      <c r="G963" s="69">
        <v>512</v>
      </c>
    </row>
    <row r="964" spans="1:7">
      <c r="A964" s="67" t="s">
        <v>2446</v>
      </c>
      <c r="B964" s="70">
        <v>46159</v>
      </c>
      <c r="C964" s="67" t="s">
        <v>1404</v>
      </c>
      <c r="D964" s="67" t="s">
        <v>360</v>
      </c>
      <c r="E964" s="67" t="s">
        <v>1368</v>
      </c>
      <c r="F964" s="67" t="s">
        <v>1462</v>
      </c>
      <c r="G964" s="69">
        <v>365</v>
      </c>
    </row>
    <row r="965" spans="1:7">
      <c r="A965" s="67" t="s">
        <v>2447</v>
      </c>
      <c r="B965" s="70">
        <v>46159</v>
      </c>
      <c r="C965" s="67" t="s">
        <v>1404</v>
      </c>
      <c r="D965" s="67" t="s">
        <v>363</v>
      </c>
      <c r="E965" s="67" t="s">
        <v>1368</v>
      </c>
      <c r="F965" s="67" t="s">
        <v>1462</v>
      </c>
      <c r="G965" s="69">
        <v>366</v>
      </c>
    </row>
    <row r="966" spans="1:7">
      <c r="A966" s="67" t="s">
        <v>2448</v>
      </c>
      <c r="B966" s="70">
        <v>46159</v>
      </c>
      <c r="C966" s="67" t="s">
        <v>1406</v>
      </c>
      <c r="D966" s="67" t="s">
        <v>1459</v>
      </c>
      <c r="E966" s="67" t="s">
        <v>1362</v>
      </c>
      <c r="F966" s="67" t="s">
        <v>1460</v>
      </c>
      <c r="G966" s="69">
        <v>28</v>
      </c>
    </row>
    <row r="967" spans="1:7">
      <c r="A967" s="67" t="s">
        <v>2449</v>
      </c>
      <c r="B967" s="70">
        <v>46159</v>
      </c>
      <c r="C967" s="67" t="s">
        <v>1414</v>
      </c>
      <c r="D967" s="67" t="s">
        <v>1607</v>
      </c>
      <c r="E967" s="67" t="s">
        <v>1470</v>
      </c>
      <c r="F967" s="67" t="s">
        <v>1462</v>
      </c>
      <c r="G967" s="69">
        <v>366</v>
      </c>
    </row>
    <row r="968" spans="1:7">
      <c r="A968" s="67" t="s">
        <v>2450</v>
      </c>
      <c r="B968" s="70">
        <v>46159</v>
      </c>
      <c r="C968" s="67" t="s">
        <v>1414</v>
      </c>
      <c r="D968" s="67" t="s">
        <v>1469</v>
      </c>
      <c r="E968" s="67" t="s">
        <v>1470</v>
      </c>
      <c r="F968" s="67" t="s">
        <v>1462</v>
      </c>
      <c r="G968" s="69">
        <v>380</v>
      </c>
    </row>
    <row r="969" spans="1:7">
      <c r="A969" s="67" t="s">
        <v>2451</v>
      </c>
      <c r="B969" s="70">
        <v>46159</v>
      </c>
      <c r="C969" s="67" t="s">
        <v>1425</v>
      </c>
      <c r="D969" s="67" t="s">
        <v>1484</v>
      </c>
      <c r="E969" s="67" t="s">
        <v>1470</v>
      </c>
      <c r="F969" s="67" t="s">
        <v>1462</v>
      </c>
      <c r="G969" s="69">
        <v>523</v>
      </c>
    </row>
    <row r="970" spans="1:7">
      <c r="A970" s="67" t="s">
        <v>2452</v>
      </c>
      <c r="B970" s="70">
        <v>46159</v>
      </c>
      <c r="C970" s="67" t="s">
        <v>1425</v>
      </c>
      <c r="D970" s="67" t="s">
        <v>1484</v>
      </c>
      <c r="E970" s="67" t="s">
        <v>1470</v>
      </c>
      <c r="F970" s="67" t="s">
        <v>1462</v>
      </c>
      <c r="G970" s="69">
        <v>284</v>
      </c>
    </row>
    <row r="971" spans="1:7">
      <c r="A971" s="67" t="s">
        <v>2453</v>
      </c>
      <c r="B971" s="70">
        <v>46159</v>
      </c>
      <c r="C971" s="67" t="s">
        <v>1444</v>
      </c>
      <c r="D971" s="67" t="s">
        <v>1551</v>
      </c>
      <c r="E971" s="67" t="s">
        <v>1362</v>
      </c>
      <c r="F971" s="67" t="s">
        <v>1460</v>
      </c>
      <c r="G971" s="69">
        <v>19</v>
      </c>
    </row>
    <row r="972" spans="1:7">
      <c r="A972" s="67" t="s">
        <v>2454</v>
      </c>
      <c r="B972" s="70">
        <v>46159</v>
      </c>
      <c r="C972" s="67" t="s">
        <v>1448</v>
      </c>
      <c r="D972" s="67" t="s">
        <v>1520</v>
      </c>
      <c r="E972" s="67" t="s">
        <v>1433</v>
      </c>
      <c r="F972" s="67" t="s">
        <v>1462</v>
      </c>
      <c r="G972" s="69">
        <v>38</v>
      </c>
    </row>
    <row r="973" spans="1:7">
      <c r="A973" s="67" t="s">
        <v>2455</v>
      </c>
      <c r="B973" s="70">
        <v>46160</v>
      </c>
      <c r="C973" s="67" t="s">
        <v>1359</v>
      </c>
      <c r="D973" s="67" t="s">
        <v>360</v>
      </c>
      <c r="E973" s="67" t="s">
        <v>1368</v>
      </c>
      <c r="F973" s="67" t="s">
        <v>1462</v>
      </c>
      <c r="G973" s="69">
        <v>180</v>
      </c>
    </row>
    <row r="974" spans="1:7">
      <c r="A974" s="67" t="s">
        <v>2456</v>
      </c>
      <c r="B974" s="70">
        <v>46160</v>
      </c>
      <c r="C974" s="67" t="s">
        <v>1359</v>
      </c>
      <c r="D974" s="67" t="s">
        <v>1459</v>
      </c>
      <c r="E974" s="67" t="s">
        <v>1362</v>
      </c>
      <c r="F974" s="67" t="s">
        <v>1462</v>
      </c>
      <c r="G974" s="69">
        <v>470</v>
      </c>
    </row>
    <row r="975" spans="1:7">
      <c r="A975" s="67" t="s">
        <v>2457</v>
      </c>
      <c r="B975" s="70">
        <v>46160</v>
      </c>
      <c r="C975" s="67" t="s">
        <v>1359</v>
      </c>
      <c r="D975" s="67" t="s">
        <v>1459</v>
      </c>
      <c r="E975" s="67" t="s">
        <v>1362</v>
      </c>
      <c r="F975" s="67" t="s">
        <v>1460</v>
      </c>
      <c r="G975" s="69">
        <v>23</v>
      </c>
    </row>
    <row r="976" spans="1:7">
      <c r="A976" s="67" t="s">
        <v>2458</v>
      </c>
      <c r="B976" s="70">
        <v>46160</v>
      </c>
      <c r="C976" s="67" t="s">
        <v>1366</v>
      </c>
      <c r="D976" s="67" t="s">
        <v>356</v>
      </c>
      <c r="E976" s="67" t="s">
        <v>1368</v>
      </c>
      <c r="F976" s="67" t="s">
        <v>1462</v>
      </c>
      <c r="G976" s="69">
        <v>93</v>
      </c>
    </row>
    <row r="977" spans="1:7">
      <c r="A977" s="67" t="s">
        <v>2459</v>
      </c>
      <c r="B977" s="70">
        <v>46160</v>
      </c>
      <c r="C977" s="67" t="s">
        <v>1366</v>
      </c>
      <c r="D977" s="67" t="s">
        <v>365</v>
      </c>
      <c r="E977" s="67" t="s">
        <v>1368</v>
      </c>
      <c r="F977" s="67" t="s">
        <v>1462</v>
      </c>
      <c r="G977" s="69">
        <v>342</v>
      </c>
    </row>
    <row r="978" spans="1:7">
      <c r="A978" s="67" t="s">
        <v>2460</v>
      </c>
      <c r="B978" s="70">
        <v>46160</v>
      </c>
      <c r="C978" s="67" t="s">
        <v>1366</v>
      </c>
      <c r="D978" s="67" t="s">
        <v>367</v>
      </c>
      <c r="E978" s="67" t="s">
        <v>1368</v>
      </c>
      <c r="F978" s="67" t="s">
        <v>1460</v>
      </c>
      <c r="G978" s="69">
        <v>20</v>
      </c>
    </row>
    <row r="979" spans="1:7">
      <c r="A979" s="67" t="s">
        <v>2461</v>
      </c>
      <c r="B979" s="70">
        <v>46160</v>
      </c>
      <c r="C979" s="67" t="s">
        <v>1366</v>
      </c>
      <c r="D979" s="67" t="s">
        <v>369</v>
      </c>
      <c r="E979" s="67" t="s">
        <v>1368</v>
      </c>
      <c r="F979" s="67" t="s">
        <v>1460</v>
      </c>
      <c r="G979" s="69">
        <v>23</v>
      </c>
    </row>
    <row r="980" spans="1:7">
      <c r="A980" s="67" t="s">
        <v>2462</v>
      </c>
      <c r="B980" s="70">
        <v>46160</v>
      </c>
      <c r="C980" s="67" t="s">
        <v>1371</v>
      </c>
      <c r="D980" s="67" t="s">
        <v>1476</v>
      </c>
      <c r="E980" s="67" t="s">
        <v>1362</v>
      </c>
      <c r="F980" s="67" t="s">
        <v>1460</v>
      </c>
      <c r="G980" s="69">
        <v>20</v>
      </c>
    </row>
    <row r="981" spans="1:7">
      <c r="A981" s="67" t="s">
        <v>2463</v>
      </c>
      <c r="B981" s="70">
        <v>46160</v>
      </c>
      <c r="C981" s="67" t="s">
        <v>1371</v>
      </c>
      <c r="D981" s="67" t="s">
        <v>1551</v>
      </c>
      <c r="E981" s="67" t="s">
        <v>1362</v>
      </c>
      <c r="F981" s="67" t="s">
        <v>1462</v>
      </c>
      <c r="G981" s="69">
        <v>509</v>
      </c>
    </row>
    <row r="982" spans="1:7">
      <c r="A982" s="67" t="s">
        <v>2464</v>
      </c>
      <c r="B982" s="70">
        <v>46160</v>
      </c>
      <c r="C982" s="67" t="s">
        <v>1371</v>
      </c>
      <c r="D982" s="67" t="s">
        <v>1551</v>
      </c>
      <c r="E982" s="67" t="s">
        <v>1362</v>
      </c>
      <c r="F982" s="67" t="s">
        <v>1462</v>
      </c>
      <c r="G982" s="69">
        <v>62</v>
      </c>
    </row>
    <row r="983" spans="1:7">
      <c r="A983" s="67" t="s">
        <v>2465</v>
      </c>
      <c r="B983" s="70">
        <v>46160</v>
      </c>
      <c r="C983" s="67" t="s">
        <v>1381</v>
      </c>
      <c r="D983" s="67" t="s">
        <v>363</v>
      </c>
      <c r="E983" s="67" t="s">
        <v>1368</v>
      </c>
      <c r="F983" s="67" t="s">
        <v>1460</v>
      </c>
      <c r="G983" s="69">
        <v>10</v>
      </c>
    </row>
    <row r="984" spans="1:7">
      <c r="A984" s="67" t="s">
        <v>2466</v>
      </c>
      <c r="B984" s="70">
        <v>46160</v>
      </c>
      <c r="C984" s="67" t="s">
        <v>1381</v>
      </c>
      <c r="D984" s="67" t="s">
        <v>363</v>
      </c>
      <c r="E984" s="67" t="s">
        <v>1368</v>
      </c>
      <c r="F984" s="67" t="s">
        <v>1462</v>
      </c>
      <c r="G984" s="69">
        <v>337</v>
      </c>
    </row>
    <row r="985" spans="1:7">
      <c r="A985" s="67" t="s">
        <v>2467</v>
      </c>
      <c r="B985" s="70">
        <v>46160</v>
      </c>
      <c r="C985" s="67" t="s">
        <v>1381</v>
      </c>
      <c r="D985" s="67" t="s">
        <v>1469</v>
      </c>
      <c r="E985" s="67" t="s">
        <v>1470</v>
      </c>
      <c r="F985" s="67" t="s">
        <v>1488</v>
      </c>
      <c r="G985" s="69">
        <v>7</v>
      </c>
    </row>
    <row r="986" spans="1:7">
      <c r="A986" s="67" t="s">
        <v>2468</v>
      </c>
      <c r="B986" s="70">
        <v>46160</v>
      </c>
      <c r="C986" s="67" t="s">
        <v>1384</v>
      </c>
      <c r="D986" s="67" t="s">
        <v>1466</v>
      </c>
      <c r="E986" s="67" t="s">
        <v>1386</v>
      </c>
      <c r="F986" s="67" t="s">
        <v>1462</v>
      </c>
      <c r="G986" s="69">
        <v>488</v>
      </c>
    </row>
    <row r="987" spans="1:7">
      <c r="A987" s="67" t="s">
        <v>2469</v>
      </c>
      <c r="B987" s="70">
        <v>46160</v>
      </c>
      <c r="C987" s="67" t="s">
        <v>1389</v>
      </c>
      <c r="D987" s="67" t="s">
        <v>353</v>
      </c>
      <c r="E987" s="67" t="s">
        <v>1368</v>
      </c>
      <c r="F987" s="67" t="s">
        <v>1462</v>
      </c>
      <c r="G987" s="69">
        <v>390</v>
      </c>
    </row>
    <row r="988" spans="1:7">
      <c r="A988" s="67" t="s">
        <v>2470</v>
      </c>
      <c r="B988" s="70">
        <v>46160</v>
      </c>
      <c r="C988" s="67" t="s">
        <v>1389</v>
      </c>
      <c r="D988" s="67" t="s">
        <v>1459</v>
      </c>
      <c r="E988" s="67" t="s">
        <v>1362</v>
      </c>
      <c r="F988" s="67" t="s">
        <v>1460</v>
      </c>
      <c r="G988" s="69">
        <v>19</v>
      </c>
    </row>
    <row r="989" spans="1:7">
      <c r="A989" s="67" t="s">
        <v>2471</v>
      </c>
      <c r="B989" s="70">
        <v>46160</v>
      </c>
      <c r="C989" s="67" t="s">
        <v>1391</v>
      </c>
      <c r="D989" s="67" t="s">
        <v>1618</v>
      </c>
      <c r="E989" s="67" t="s">
        <v>1433</v>
      </c>
      <c r="F989" s="67" t="s">
        <v>1460</v>
      </c>
      <c r="G989" s="69">
        <v>24</v>
      </c>
    </row>
    <row r="990" spans="1:7">
      <c r="A990" s="67" t="s">
        <v>2472</v>
      </c>
      <c r="B990" s="70">
        <v>46160</v>
      </c>
      <c r="C990" s="67" t="s">
        <v>1393</v>
      </c>
      <c r="D990" s="67" t="s">
        <v>369</v>
      </c>
      <c r="E990" s="67" t="s">
        <v>1368</v>
      </c>
      <c r="F990" s="67" t="s">
        <v>1488</v>
      </c>
      <c r="G990" s="69">
        <v>4</v>
      </c>
    </row>
    <row r="991" spans="1:7">
      <c r="A991" s="67" t="s">
        <v>2473</v>
      </c>
      <c r="B991" s="70">
        <v>46160</v>
      </c>
      <c r="C991" s="67" t="s">
        <v>1399</v>
      </c>
      <c r="D991" s="67" t="s">
        <v>1466</v>
      </c>
      <c r="E991" s="67" t="s">
        <v>1386</v>
      </c>
      <c r="F991" s="67" t="s">
        <v>1488</v>
      </c>
      <c r="G991" s="69">
        <v>9</v>
      </c>
    </row>
    <row r="992" spans="1:7">
      <c r="A992" s="67" t="s">
        <v>2474</v>
      </c>
      <c r="B992" s="70">
        <v>46160</v>
      </c>
      <c r="C992" s="67" t="s">
        <v>1399</v>
      </c>
      <c r="D992" s="67" t="s">
        <v>1551</v>
      </c>
      <c r="E992" s="67" t="s">
        <v>1362</v>
      </c>
      <c r="F992" s="67" t="s">
        <v>1460</v>
      </c>
      <c r="G992" s="69">
        <v>30</v>
      </c>
    </row>
    <row r="993" spans="1:7">
      <c r="A993" s="67" t="s">
        <v>2475</v>
      </c>
      <c r="B993" s="70">
        <v>46160</v>
      </c>
      <c r="C993" s="67" t="s">
        <v>1404</v>
      </c>
      <c r="D993" s="67" t="s">
        <v>356</v>
      </c>
      <c r="E993" s="67" t="s">
        <v>1368</v>
      </c>
      <c r="F993" s="67" t="s">
        <v>1462</v>
      </c>
      <c r="G993" s="69">
        <v>568</v>
      </c>
    </row>
    <row r="994" spans="1:7">
      <c r="A994" s="67" t="s">
        <v>2476</v>
      </c>
      <c r="B994" s="70">
        <v>46160</v>
      </c>
      <c r="C994" s="67" t="s">
        <v>1404</v>
      </c>
      <c r="D994" s="67" t="s">
        <v>356</v>
      </c>
      <c r="E994" s="67" t="s">
        <v>1368</v>
      </c>
      <c r="F994" s="67" t="s">
        <v>1462</v>
      </c>
      <c r="G994" s="69">
        <v>333</v>
      </c>
    </row>
    <row r="995" spans="1:7">
      <c r="A995" s="67" t="s">
        <v>2477</v>
      </c>
      <c r="B995" s="70">
        <v>46160</v>
      </c>
      <c r="C995" s="67" t="s">
        <v>1404</v>
      </c>
      <c r="D995" s="67" t="s">
        <v>1551</v>
      </c>
      <c r="E995" s="67" t="s">
        <v>1362</v>
      </c>
      <c r="F995" s="67" t="s">
        <v>1462</v>
      </c>
      <c r="G995" s="69">
        <v>558</v>
      </c>
    </row>
    <row r="996" spans="1:7">
      <c r="A996" s="67" t="s">
        <v>2478</v>
      </c>
      <c r="B996" s="70">
        <v>46160</v>
      </c>
      <c r="C996" s="67" t="s">
        <v>1423</v>
      </c>
      <c r="D996" s="67" t="s">
        <v>1479</v>
      </c>
      <c r="E996" s="67" t="s">
        <v>1410</v>
      </c>
      <c r="F996" s="67" t="s">
        <v>1462</v>
      </c>
      <c r="G996" s="69">
        <v>315</v>
      </c>
    </row>
    <row r="997" spans="1:7">
      <c r="A997" s="67" t="s">
        <v>2479</v>
      </c>
      <c r="B997" s="70">
        <v>46160</v>
      </c>
      <c r="C997" s="67" t="s">
        <v>1423</v>
      </c>
      <c r="D997" s="67" t="s">
        <v>1743</v>
      </c>
      <c r="E997" s="67" t="s">
        <v>1410</v>
      </c>
      <c r="F997" s="67" t="s">
        <v>1462</v>
      </c>
      <c r="G997" s="69">
        <v>261</v>
      </c>
    </row>
    <row r="998" spans="1:7">
      <c r="A998" s="67" t="s">
        <v>2480</v>
      </c>
      <c r="B998" s="70">
        <v>46160</v>
      </c>
      <c r="C998" s="67" t="s">
        <v>1425</v>
      </c>
      <c r="D998" s="67" t="s">
        <v>1511</v>
      </c>
      <c r="E998" s="67" t="s">
        <v>1470</v>
      </c>
      <c r="F998" s="67" t="s">
        <v>1460</v>
      </c>
      <c r="G998" s="69">
        <v>12</v>
      </c>
    </row>
    <row r="999" spans="1:7">
      <c r="A999" s="67" t="s">
        <v>2481</v>
      </c>
      <c r="B999" s="70">
        <v>46160</v>
      </c>
      <c r="C999" s="67" t="s">
        <v>1429</v>
      </c>
      <c r="D999" s="67" t="s">
        <v>367</v>
      </c>
      <c r="E999" s="67" t="s">
        <v>1368</v>
      </c>
      <c r="F999" s="67" t="s">
        <v>1460</v>
      </c>
      <c r="G999" s="69">
        <v>21</v>
      </c>
    </row>
    <row r="1000" spans="1:7">
      <c r="A1000" s="67" t="s">
        <v>2482</v>
      </c>
      <c r="B1000" s="70">
        <v>46160</v>
      </c>
      <c r="C1000" s="67" t="s">
        <v>1442</v>
      </c>
      <c r="D1000" s="67" t="s">
        <v>1466</v>
      </c>
      <c r="E1000" s="67" t="s">
        <v>1386</v>
      </c>
      <c r="F1000" s="67" t="s">
        <v>1462</v>
      </c>
      <c r="G1000" s="69">
        <v>548</v>
      </c>
    </row>
    <row r="1001" spans="1:7">
      <c r="A1001" s="67" t="s">
        <v>2483</v>
      </c>
      <c r="B1001" s="70">
        <v>46160</v>
      </c>
      <c r="C1001" s="67" t="s">
        <v>1444</v>
      </c>
      <c r="D1001" s="67" t="s">
        <v>1476</v>
      </c>
      <c r="E1001" s="67" t="s">
        <v>1362</v>
      </c>
      <c r="F1001" s="67" t="s">
        <v>1462</v>
      </c>
      <c r="G1001" s="69">
        <v>89</v>
      </c>
    </row>
    <row r="1002" spans="1:7">
      <c r="A1002" s="67" t="s">
        <v>2484</v>
      </c>
      <c r="B1002" s="70">
        <v>46160</v>
      </c>
      <c r="C1002" s="67" t="s">
        <v>1446</v>
      </c>
      <c r="D1002" s="67" t="s">
        <v>1476</v>
      </c>
      <c r="E1002" s="67" t="s">
        <v>1362</v>
      </c>
      <c r="F1002" s="67" t="s">
        <v>1462</v>
      </c>
      <c r="G1002" s="69">
        <v>532</v>
      </c>
    </row>
    <row r="1003" spans="1:7">
      <c r="A1003" s="67" t="s">
        <v>2485</v>
      </c>
      <c r="B1003" s="70">
        <v>46161</v>
      </c>
      <c r="C1003" s="67" t="s">
        <v>1359</v>
      </c>
      <c r="D1003" s="67" t="s">
        <v>1476</v>
      </c>
      <c r="E1003" s="67" t="s">
        <v>1362</v>
      </c>
      <c r="F1003" s="67" t="s">
        <v>1462</v>
      </c>
      <c r="G1003" s="69">
        <v>159</v>
      </c>
    </row>
    <row r="1004" spans="1:7">
      <c r="A1004" s="67" t="s">
        <v>2486</v>
      </c>
      <c r="B1004" s="70">
        <v>46161</v>
      </c>
      <c r="C1004" s="67" t="s">
        <v>1359</v>
      </c>
      <c r="D1004" s="67" t="s">
        <v>1459</v>
      </c>
      <c r="E1004" s="67" t="s">
        <v>1362</v>
      </c>
      <c r="F1004" s="67" t="s">
        <v>1462</v>
      </c>
      <c r="G1004" s="69">
        <v>585</v>
      </c>
    </row>
    <row r="1005" spans="1:7">
      <c r="A1005" s="67" t="s">
        <v>2487</v>
      </c>
      <c r="B1005" s="70">
        <v>46161</v>
      </c>
      <c r="C1005" s="67" t="s">
        <v>1366</v>
      </c>
      <c r="D1005" s="67" t="s">
        <v>353</v>
      </c>
      <c r="E1005" s="67" t="s">
        <v>1368</v>
      </c>
      <c r="F1005" s="67" t="s">
        <v>1488</v>
      </c>
      <c r="G1005" s="69">
        <v>8</v>
      </c>
    </row>
    <row r="1006" spans="1:7">
      <c r="A1006" s="67" t="s">
        <v>2488</v>
      </c>
      <c r="B1006" s="70">
        <v>46161</v>
      </c>
      <c r="C1006" s="67" t="s">
        <v>1366</v>
      </c>
      <c r="D1006" s="67" t="s">
        <v>353</v>
      </c>
      <c r="E1006" s="67" t="s">
        <v>1368</v>
      </c>
      <c r="F1006" s="67" t="s">
        <v>1462</v>
      </c>
      <c r="G1006" s="69">
        <v>575</v>
      </c>
    </row>
    <row r="1007" spans="1:7">
      <c r="A1007" s="67" t="s">
        <v>2489</v>
      </c>
      <c r="B1007" s="70">
        <v>46161</v>
      </c>
      <c r="C1007" s="67" t="s">
        <v>1366</v>
      </c>
      <c r="D1007" s="67" t="s">
        <v>356</v>
      </c>
      <c r="E1007" s="67" t="s">
        <v>1368</v>
      </c>
      <c r="F1007" s="67" t="s">
        <v>1462</v>
      </c>
      <c r="G1007" s="69">
        <v>20</v>
      </c>
    </row>
    <row r="1008" spans="1:7">
      <c r="A1008" s="67" t="s">
        <v>2490</v>
      </c>
      <c r="B1008" s="70">
        <v>46161</v>
      </c>
      <c r="C1008" s="67" t="s">
        <v>1366</v>
      </c>
      <c r="D1008" s="67" t="s">
        <v>365</v>
      </c>
      <c r="E1008" s="67" t="s">
        <v>1368</v>
      </c>
      <c r="F1008" s="67" t="s">
        <v>1462</v>
      </c>
      <c r="G1008" s="69">
        <v>177</v>
      </c>
    </row>
    <row r="1009" spans="1:7">
      <c r="A1009" s="67" t="s">
        <v>2491</v>
      </c>
      <c r="B1009" s="70">
        <v>46161</v>
      </c>
      <c r="C1009" s="67" t="s">
        <v>1375</v>
      </c>
      <c r="D1009" s="67" t="s">
        <v>369</v>
      </c>
      <c r="E1009" s="67" t="s">
        <v>1368</v>
      </c>
      <c r="F1009" s="67" t="s">
        <v>1488</v>
      </c>
      <c r="G1009" s="69">
        <v>5</v>
      </c>
    </row>
    <row r="1010" spans="1:7">
      <c r="A1010" s="67" t="s">
        <v>2492</v>
      </c>
      <c r="B1010" s="70">
        <v>46161</v>
      </c>
      <c r="C1010" s="67" t="s">
        <v>1381</v>
      </c>
      <c r="D1010" s="67" t="s">
        <v>353</v>
      </c>
      <c r="E1010" s="67" t="s">
        <v>1368</v>
      </c>
      <c r="F1010" s="67" t="s">
        <v>1462</v>
      </c>
      <c r="G1010" s="69">
        <v>580</v>
      </c>
    </row>
    <row r="1011" spans="1:7">
      <c r="A1011" s="67" t="s">
        <v>2493</v>
      </c>
      <c r="B1011" s="70">
        <v>46161</v>
      </c>
      <c r="C1011" s="67" t="s">
        <v>1381</v>
      </c>
      <c r="D1011" s="67" t="s">
        <v>358</v>
      </c>
      <c r="E1011" s="67" t="s">
        <v>1368</v>
      </c>
      <c r="F1011" s="67" t="s">
        <v>1460</v>
      </c>
      <c r="G1011" s="69">
        <v>13</v>
      </c>
    </row>
    <row r="1012" spans="1:7">
      <c r="A1012" s="67" t="s">
        <v>2494</v>
      </c>
      <c r="B1012" s="70">
        <v>46161</v>
      </c>
      <c r="C1012" s="67" t="s">
        <v>1389</v>
      </c>
      <c r="D1012" s="67" t="s">
        <v>369</v>
      </c>
      <c r="E1012" s="67" t="s">
        <v>1368</v>
      </c>
      <c r="F1012" s="67" t="s">
        <v>1460</v>
      </c>
      <c r="G1012" s="69">
        <v>20</v>
      </c>
    </row>
    <row r="1013" spans="1:7">
      <c r="A1013" s="67" t="s">
        <v>2495</v>
      </c>
      <c r="B1013" s="70">
        <v>46161</v>
      </c>
      <c r="C1013" s="67" t="s">
        <v>1411</v>
      </c>
      <c r="D1013" s="67" t="s">
        <v>1506</v>
      </c>
      <c r="E1013" s="67" t="s">
        <v>1482</v>
      </c>
      <c r="F1013" s="67" t="s">
        <v>1462</v>
      </c>
      <c r="G1013" s="69">
        <v>423</v>
      </c>
    </row>
    <row r="1014" spans="1:7">
      <c r="A1014" s="67" t="s">
        <v>2496</v>
      </c>
      <c r="B1014" s="70">
        <v>46161</v>
      </c>
      <c r="C1014" s="67" t="s">
        <v>1411</v>
      </c>
      <c r="D1014" s="67" t="s">
        <v>1506</v>
      </c>
      <c r="E1014" s="67" t="s">
        <v>1482</v>
      </c>
      <c r="F1014" s="67" t="s">
        <v>1462</v>
      </c>
      <c r="G1014" s="69">
        <v>277</v>
      </c>
    </row>
    <row r="1015" spans="1:7">
      <c r="A1015" s="67" t="s">
        <v>2497</v>
      </c>
      <c r="B1015" s="70">
        <v>46161</v>
      </c>
      <c r="C1015" s="67" t="s">
        <v>1411</v>
      </c>
      <c r="D1015" s="67" t="s">
        <v>1481</v>
      </c>
      <c r="E1015" s="67" t="s">
        <v>1482</v>
      </c>
      <c r="F1015" s="67" t="s">
        <v>1462</v>
      </c>
      <c r="G1015" s="69">
        <v>97</v>
      </c>
    </row>
    <row r="1016" spans="1:7">
      <c r="A1016" s="67" t="s">
        <v>2498</v>
      </c>
      <c r="B1016" s="70">
        <v>46161</v>
      </c>
      <c r="C1016" s="67" t="s">
        <v>1411</v>
      </c>
      <c r="D1016" s="67" t="s">
        <v>1481</v>
      </c>
      <c r="E1016" s="67" t="s">
        <v>1482</v>
      </c>
      <c r="F1016" s="67" t="s">
        <v>1462</v>
      </c>
      <c r="G1016" s="69">
        <v>500</v>
      </c>
    </row>
    <row r="1017" spans="1:7">
      <c r="A1017" s="67" t="s">
        <v>2499</v>
      </c>
      <c r="B1017" s="70">
        <v>46161</v>
      </c>
      <c r="C1017" s="67" t="s">
        <v>1423</v>
      </c>
      <c r="D1017" s="67" t="s">
        <v>1515</v>
      </c>
      <c r="E1017" s="67" t="s">
        <v>1410</v>
      </c>
      <c r="F1017" s="67" t="s">
        <v>1460</v>
      </c>
      <c r="G1017" s="69">
        <v>22</v>
      </c>
    </row>
    <row r="1018" spans="1:7">
      <c r="A1018" s="67" t="s">
        <v>2500</v>
      </c>
      <c r="B1018" s="70">
        <v>46161</v>
      </c>
      <c r="C1018" s="67" t="s">
        <v>1427</v>
      </c>
      <c r="D1018" s="67" t="s">
        <v>1551</v>
      </c>
      <c r="E1018" s="67" t="s">
        <v>1362</v>
      </c>
      <c r="F1018" s="67" t="s">
        <v>1462</v>
      </c>
      <c r="G1018" s="69">
        <v>254</v>
      </c>
    </row>
    <row r="1019" spans="1:7">
      <c r="A1019" s="67" t="s">
        <v>2501</v>
      </c>
      <c r="B1019" s="70">
        <v>46161</v>
      </c>
      <c r="C1019" s="67" t="s">
        <v>1429</v>
      </c>
      <c r="D1019" s="67" t="s">
        <v>356</v>
      </c>
      <c r="E1019" s="67" t="s">
        <v>1368</v>
      </c>
      <c r="F1019" s="67" t="s">
        <v>1488</v>
      </c>
      <c r="G1019" s="69">
        <v>7</v>
      </c>
    </row>
    <row r="1020" spans="1:7">
      <c r="A1020" s="67" t="s">
        <v>2502</v>
      </c>
      <c r="B1020" s="70">
        <v>46161</v>
      </c>
      <c r="C1020" s="67" t="s">
        <v>1446</v>
      </c>
      <c r="D1020" s="67" t="s">
        <v>1602</v>
      </c>
      <c r="E1020" s="67" t="s">
        <v>1386</v>
      </c>
      <c r="F1020" s="67" t="s">
        <v>1460</v>
      </c>
      <c r="G1020" s="69">
        <v>30</v>
      </c>
    </row>
    <row r="1021" spans="1:7">
      <c r="A1021" s="67" t="s">
        <v>2503</v>
      </c>
      <c r="B1021" s="70">
        <v>46161</v>
      </c>
      <c r="C1021" s="67" t="s">
        <v>1448</v>
      </c>
      <c r="D1021" s="67" t="s">
        <v>1618</v>
      </c>
      <c r="E1021" s="67" t="s">
        <v>1433</v>
      </c>
      <c r="F1021" s="67" t="s">
        <v>1462</v>
      </c>
      <c r="G1021" s="69">
        <v>295</v>
      </c>
    </row>
    <row r="1022" spans="1:7">
      <c r="A1022" s="67" t="s">
        <v>2504</v>
      </c>
      <c r="B1022" s="70">
        <v>46162</v>
      </c>
      <c r="C1022" s="67" t="s">
        <v>1359</v>
      </c>
      <c r="D1022" s="67" t="s">
        <v>356</v>
      </c>
      <c r="E1022" s="67" t="s">
        <v>1368</v>
      </c>
      <c r="F1022" s="67" t="s">
        <v>1460</v>
      </c>
      <c r="G1022" s="69">
        <v>23</v>
      </c>
    </row>
    <row r="1023" spans="1:7">
      <c r="A1023" s="67" t="s">
        <v>2505</v>
      </c>
      <c r="B1023" s="70">
        <v>46162</v>
      </c>
      <c r="C1023" s="67" t="s">
        <v>1359</v>
      </c>
      <c r="D1023" s="67" t="s">
        <v>1466</v>
      </c>
      <c r="E1023" s="67" t="s">
        <v>1386</v>
      </c>
      <c r="F1023" s="67" t="s">
        <v>1488</v>
      </c>
      <c r="G1023" s="69">
        <v>4</v>
      </c>
    </row>
    <row r="1024" spans="1:7">
      <c r="A1024" s="67" t="s">
        <v>2506</v>
      </c>
      <c r="B1024" s="70">
        <v>46162</v>
      </c>
      <c r="C1024" s="67" t="s">
        <v>1371</v>
      </c>
      <c r="D1024" s="67" t="s">
        <v>1466</v>
      </c>
      <c r="E1024" s="67" t="s">
        <v>1386</v>
      </c>
      <c r="F1024" s="67" t="s">
        <v>1460</v>
      </c>
      <c r="G1024" s="69">
        <v>19</v>
      </c>
    </row>
    <row r="1025" spans="1:7">
      <c r="A1025" s="67" t="s">
        <v>2507</v>
      </c>
      <c r="B1025" s="70">
        <v>46162</v>
      </c>
      <c r="C1025" s="67" t="s">
        <v>1371</v>
      </c>
      <c r="D1025" s="67" t="s">
        <v>1551</v>
      </c>
      <c r="E1025" s="67" t="s">
        <v>1362</v>
      </c>
      <c r="F1025" s="67" t="s">
        <v>1462</v>
      </c>
      <c r="G1025" s="69">
        <v>120</v>
      </c>
    </row>
    <row r="1026" spans="1:7">
      <c r="A1026" s="67" t="s">
        <v>2508</v>
      </c>
      <c r="B1026" s="70">
        <v>46162</v>
      </c>
      <c r="C1026" s="67" t="s">
        <v>1371</v>
      </c>
      <c r="D1026" s="67" t="s">
        <v>1459</v>
      </c>
      <c r="E1026" s="67" t="s">
        <v>1362</v>
      </c>
      <c r="F1026" s="67" t="s">
        <v>1462</v>
      </c>
      <c r="G1026" s="69">
        <v>120</v>
      </c>
    </row>
    <row r="1027" spans="1:7">
      <c r="A1027" s="67" t="s">
        <v>2509</v>
      </c>
      <c r="B1027" s="70">
        <v>46162</v>
      </c>
      <c r="C1027" s="67" t="s">
        <v>1381</v>
      </c>
      <c r="D1027" s="67" t="s">
        <v>1476</v>
      </c>
      <c r="E1027" s="67" t="s">
        <v>1362</v>
      </c>
      <c r="F1027" s="67" t="s">
        <v>1460</v>
      </c>
      <c r="G1027" s="69">
        <v>25</v>
      </c>
    </row>
    <row r="1028" spans="1:7">
      <c r="A1028" s="67" t="s">
        <v>2510</v>
      </c>
      <c r="B1028" s="70">
        <v>46162</v>
      </c>
      <c r="C1028" s="67" t="s">
        <v>1384</v>
      </c>
      <c r="D1028" s="67" t="s">
        <v>1551</v>
      </c>
      <c r="E1028" s="67" t="s">
        <v>1362</v>
      </c>
      <c r="F1028" s="67" t="s">
        <v>1462</v>
      </c>
      <c r="G1028" s="69">
        <v>464</v>
      </c>
    </row>
    <row r="1029" spans="1:7">
      <c r="A1029" s="67" t="s">
        <v>2511</v>
      </c>
      <c r="B1029" s="70">
        <v>46162</v>
      </c>
      <c r="C1029" s="67" t="s">
        <v>1404</v>
      </c>
      <c r="D1029" s="67" t="s">
        <v>353</v>
      </c>
      <c r="E1029" s="67" t="s">
        <v>1368</v>
      </c>
      <c r="F1029" s="67" t="s">
        <v>1462</v>
      </c>
      <c r="G1029" s="69">
        <v>494</v>
      </c>
    </row>
    <row r="1030" spans="1:7">
      <c r="A1030" s="67" t="s">
        <v>2512</v>
      </c>
      <c r="B1030" s="70">
        <v>46162</v>
      </c>
      <c r="C1030" s="67" t="s">
        <v>1404</v>
      </c>
      <c r="D1030" s="67" t="s">
        <v>356</v>
      </c>
      <c r="E1030" s="67" t="s">
        <v>1368</v>
      </c>
      <c r="F1030" s="67" t="s">
        <v>1462</v>
      </c>
      <c r="G1030" s="69">
        <v>352</v>
      </c>
    </row>
    <row r="1031" spans="1:7">
      <c r="A1031" s="67" t="s">
        <v>2513</v>
      </c>
      <c r="B1031" s="70">
        <v>46162</v>
      </c>
      <c r="C1031" s="67" t="s">
        <v>1404</v>
      </c>
      <c r="D1031" s="67" t="s">
        <v>358</v>
      </c>
      <c r="E1031" s="67" t="s">
        <v>1368</v>
      </c>
      <c r="F1031" s="67" t="s">
        <v>1462</v>
      </c>
      <c r="G1031" s="69">
        <v>580</v>
      </c>
    </row>
    <row r="1032" spans="1:7">
      <c r="A1032" s="67" t="s">
        <v>2514</v>
      </c>
      <c r="B1032" s="70">
        <v>46162</v>
      </c>
      <c r="C1032" s="67" t="s">
        <v>1411</v>
      </c>
      <c r="D1032" s="67" t="s">
        <v>1506</v>
      </c>
      <c r="E1032" s="67" t="s">
        <v>1482</v>
      </c>
      <c r="F1032" s="67" t="s">
        <v>1462</v>
      </c>
      <c r="G1032" s="69">
        <v>423</v>
      </c>
    </row>
    <row r="1033" spans="1:7">
      <c r="A1033" s="67" t="s">
        <v>2515</v>
      </c>
      <c r="B1033" s="70">
        <v>46162</v>
      </c>
      <c r="C1033" s="67" t="s">
        <v>1411</v>
      </c>
      <c r="D1033" s="67" t="s">
        <v>1506</v>
      </c>
      <c r="E1033" s="67" t="s">
        <v>1482</v>
      </c>
      <c r="F1033" s="67" t="s">
        <v>1460</v>
      </c>
      <c r="G1033" s="69">
        <v>27</v>
      </c>
    </row>
    <row r="1034" spans="1:7">
      <c r="A1034" s="67" t="s">
        <v>2516</v>
      </c>
      <c r="B1034" s="70">
        <v>46162</v>
      </c>
      <c r="C1034" s="67" t="s">
        <v>1429</v>
      </c>
      <c r="D1034" s="67" t="s">
        <v>367</v>
      </c>
      <c r="E1034" s="67" t="s">
        <v>1368</v>
      </c>
      <c r="F1034" s="67" t="s">
        <v>1460</v>
      </c>
      <c r="G1034" s="69">
        <v>28</v>
      </c>
    </row>
    <row r="1035" spans="1:7">
      <c r="A1035" s="67" t="s">
        <v>2517</v>
      </c>
      <c r="B1035" s="70">
        <v>46162</v>
      </c>
      <c r="C1035" s="67" t="s">
        <v>1434</v>
      </c>
      <c r="D1035" s="67" t="s">
        <v>1476</v>
      </c>
      <c r="E1035" s="67" t="s">
        <v>1362</v>
      </c>
      <c r="F1035" s="67" t="s">
        <v>1462</v>
      </c>
      <c r="G1035" s="69">
        <v>242</v>
      </c>
    </row>
    <row r="1036" spans="1:7">
      <c r="A1036" s="67" t="s">
        <v>2518</v>
      </c>
      <c r="B1036" s="70">
        <v>46162</v>
      </c>
      <c r="C1036" s="67" t="s">
        <v>1446</v>
      </c>
      <c r="D1036" s="67" t="s">
        <v>1459</v>
      </c>
      <c r="E1036" s="67" t="s">
        <v>1362</v>
      </c>
      <c r="F1036" s="67" t="s">
        <v>1462</v>
      </c>
      <c r="G1036" s="69">
        <v>462</v>
      </c>
    </row>
    <row r="1037" spans="1:7">
      <c r="A1037" s="67" t="s">
        <v>2519</v>
      </c>
      <c r="B1037" s="70">
        <v>46163</v>
      </c>
      <c r="C1037" s="67" t="s">
        <v>1359</v>
      </c>
      <c r="D1037" s="67" t="s">
        <v>367</v>
      </c>
      <c r="E1037" s="67" t="s">
        <v>1368</v>
      </c>
      <c r="F1037" s="67" t="s">
        <v>1462</v>
      </c>
      <c r="G1037" s="69">
        <v>401</v>
      </c>
    </row>
    <row r="1038" spans="1:7">
      <c r="A1038" s="67" t="s">
        <v>2520</v>
      </c>
      <c r="B1038" s="70">
        <v>46163</v>
      </c>
      <c r="C1038" s="67" t="s">
        <v>1366</v>
      </c>
      <c r="D1038" s="67" t="s">
        <v>358</v>
      </c>
      <c r="E1038" s="67" t="s">
        <v>1368</v>
      </c>
      <c r="F1038" s="67" t="s">
        <v>1462</v>
      </c>
      <c r="G1038" s="69">
        <v>342</v>
      </c>
    </row>
    <row r="1039" spans="1:7">
      <c r="A1039" s="67" t="s">
        <v>2521</v>
      </c>
      <c r="B1039" s="70">
        <v>46163</v>
      </c>
      <c r="C1039" s="67" t="s">
        <v>1366</v>
      </c>
      <c r="D1039" s="67" t="s">
        <v>358</v>
      </c>
      <c r="E1039" s="67" t="s">
        <v>1368</v>
      </c>
      <c r="F1039" s="67" t="s">
        <v>1462</v>
      </c>
      <c r="G1039" s="69">
        <v>29</v>
      </c>
    </row>
    <row r="1040" spans="1:7">
      <c r="A1040" s="67" t="s">
        <v>2522</v>
      </c>
      <c r="B1040" s="70">
        <v>46163</v>
      </c>
      <c r="C1040" s="67" t="s">
        <v>1371</v>
      </c>
      <c r="D1040" s="67" t="s">
        <v>1476</v>
      </c>
      <c r="E1040" s="67" t="s">
        <v>1362</v>
      </c>
      <c r="F1040" s="67" t="s">
        <v>1462</v>
      </c>
      <c r="G1040" s="69">
        <v>28</v>
      </c>
    </row>
    <row r="1041" spans="1:7">
      <c r="A1041" s="67" t="s">
        <v>2523</v>
      </c>
      <c r="B1041" s="70">
        <v>46163</v>
      </c>
      <c r="C1041" s="67" t="s">
        <v>1381</v>
      </c>
      <c r="D1041" s="67" t="s">
        <v>365</v>
      </c>
      <c r="E1041" s="67" t="s">
        <v>1368</v>
      </c>
      <c r="F1041" s="67" t="s">
        <v>1462</v>
      </c>
      <c r="G1041" s="69">
        <v>41</v>
      </c>
    </row>
    <row r="1042" spans="1:7">
      <c r="A1042" s="67" t="s">
        <v>2524</v>
      </c>
      <c r="B1042" s="70">
        <v>46163</v>
      </c>
      <c r="C1042" s="67" t="s">
        <v>1381</v>
      </c>
      <c r="D1042" s="67" t="s">
        <v>1459</v>
      </c>
      <c r="E1042" s="67" t="s">
        <v>1362</v>
      </c>
      <c r="F1042" s="67" t="s">
        <v>1462</v>
      </c>
      <c r="G1042" s="69">
        <v>347</v>
      </c>
    </row>
    <row r="1043" spans="1:7">
      <c r="A1043" s="67" t="s">
        <v>2525</v>
      </c>
      <c r="B1043" s="70">
        <v>46163</v>
      </c>
      <c r="C1043" s="67" t="s">
        <v>1384</v>
      </c>
      <c r="D1043" s="67" t="s">
        <v>1466</v>
      </c>
      <c r="E1043" s="67" t="s">
        <v>1386</v>
      </c>
      <c r="F1043" s="67" t="s">
        <v>1462</v>
      </c>
      <c r="G1043" s="69">
        <v>190</v>
      </c>
    </row>
    <row r="1044" spans="1:7">
      <c r="A1044" s="67" t="s">
        <v>2526</v>
      </c>
      <c r="B1044" s="70">
        <v>46163</v>
      </c>
      <c r="C1044" s="67" t="s">
        <v>1384</v>
      </c>
      <c r="D1044" s="67" t="s">
        <v>1551</v>
      </c>
      <c r="E1044" s="67" t="s">
        <v>1362</v>
      </c>
      <c r="F1044" s="67" t="s">
        <v>1462</v>
      </c>
      <c r="G1044" s="69">
        <v>517</v>
      </c>
    </row>
    <row r="1045" spans="1:7">
      <c r="A1045" s="67" t="s">
        <v>2527</v>
      </c>
      <c r="B1045" s="70">
        <v>46163</v>
      </c>
      <c r="C1045" s="67" t="s">
        <v>1404</v>
      </c>
      <c r="D1045" s="67" t="s">
        <v>363</v>
      </c>
      <c r="E1045" s="67" t="s">
        <v>1368</v>
      </c>
      <c r="F1045" s="67" t="s">
        <v>1462</v>
      </c>
      <c r="G1045" s="69">
        <v>587</v>
      </c>
    </row>
    <row r="1046" spans="1:7">
      <c r="A1046" s="67" t="s">
        <v>2528</v>
      </c>
      <c r="B1046" s="70">
        <v>46163</v>
      </c>
      <c r="C1046" s="67" t="s">
        <v>1404</v>
      </c>
      <c r="D1046" s="67" t="s">
        <v>1484</v>
      </c>
      <c r="E1046" s="67" t="s">
        <v>1470</v>
      </c>
      <c r="F1046" s="67" t="s">
        <v>1462</v>
      </c>
      <c r="G1046" s="69">
        <v>159</v>
      </c>
    </row>
    <row r="1047" spans="1:7">
      <c r="A1047" s="67" t="s">
        <v>2529</v>
      </c>
      <c r="B1047" s="70">
        <v>46163</v>
      </c>
      <c r="C1047" s="67" t="s">
        <v>1404</v>
      </c>
      <c r="D1047" s="67" t="s">
        <v>367</v>
      </c>
      <c r="E1047" s="67" t="s">
        <v>1368</v>
      </c>
      <c r="F1047" s="67" t="s">
        <v>1488</v>
      </c>
      <c r="G1047" s="69">
        <v>3</v>
      </c>
    </row>
    <row r="1048" spans="1:7">
      <c r="A1048" s="67" t="s">
        <v>2530</v>
      </c>
      <c r="B1048" s="70">
        <v>46163</v>
      </c>
      <c r="C1048" s="67" t="s">
        <v>1404</v>
      </c>
      <c r="D1048" s="67" t="s">
        <v>1551</v>
      </c>
      <c r="E1048" s="67" t="s">
        <v>1362</v>
      </c>
      <c r="F1048" s="67" t="s">
        <v>1460</v>
      </c>
      <c r="G1048" s="69">
        <v>10</v>
      </c>
    </row>
    <row r="1049" spans="1:7">
      <c r="A1049" s="67" t="s">
        <v>2531</v>
      </c>
      <c r="B1049" s="70">
        <v>46163</v>
      </c>
      <c r="C1049" s="67" t="s">
        <v>1406</v>
      </c>
      <c r="D1049" s="67" t="s">
        <v>367</v>
      </c>
      <c r="E1049" s="67" t="s">
        <v>1368</v>
      </c>
      <c r="F1049" s="67" t="s">
        <v>1460</v>
      </c>
      <c r="G1049" s="69">
        <v>22</v>
      </c>
    </row>
    <row r="1050" spans="1:7">
      <c r="A1050" s="67" t="s">
        <v>2532</v>
      </c>
      <c r="B1050" s="70">
        <v>46163</v>
      </c>
      <c r="C1050" s="67" t="s">
        <v>1411</v>
      </c>
      <c r="D1050" s="67" t="s">
        <v>369</v>
      </c>
      <c r="E1050" s="67" t="s">
        <v>1368</v>
      </c>
      <c r="F1050" s="67" t="s">
        <v>1462</v>
      </c>
      <c r="G1050" s="69">
        <v>120</v>
      </c>
    </row>
    <row r="1051" spans="1:7">
      <c r="A1051" s="67" t="s">
        <v>2533</v>
      </c>
      <c r="B1051" s="70">
        <v>46163</v>
      </c>
      <c r="C1051" s="67" t="s">
        <v>1411</v>
      </c>
      <c r="D1051" s="67" t="s">
        <v>1506</v>
      </c>
      <c r="E1051" s="67" t="s">
        <v>1482</v>
      </c>
      <c r="F1051" s="67" t="s">
        <v>1462</v>
      </c>
      <c r="G1051" s="69">
        <v>240</v>
      </c>
    </row>
    <row r="1052" spans="1:7">
      <c r="A1052" s="67" t="s">
        <v>2534</v>
      </c>
      <c r="B1052" s="70">
        <v>46163</v>
      </c>
      <c r="C1052" s="67" t="s">
        <v>1411</v>
      </c>
      <c r="D1052" s="67" t="s">
        <v>1481</v>
      </c>
      <c r="E1052" s="67" t="s">
        <v>1482</v>
      </c>
      <c r="F1052" s="67" t="s">
        <v>1462</v>
      </c>
      <c r="G1052" s="69">
        <v>400</v>
      </c>
    </row>
    <row r="1053" spans="1:7">
      <c r="A1053" s="67" t="s">
        <v>2535</v>
      </c>
      <c r="B1053" s="70">
        <v>46163</v>
      </c>
      <c r="C1053" s="67" t="s">
        <v>1414</v>
      </c>
      <c r="D1053" s="67" t="s">
        <v>1607</v>
      </c>
      <c r="E1053" s="67" t="s">
        <v>1470</v>
      </c>
      <c r="F1053" s="67" t="s">
        <v>1462</v>
      </c>
      <c r="G1053" s="69">
        <v>476</v>
      </c>
    </row>
    <row r="1054" spans="1:7">
      <c r="A1054" s="67" t="s">
        <v>2536</v>
      </c>
      <c r="B1054" s="70">
        <v>46163</v>
      </c>
      <c r="C1054" s="67" t="s">
        <v>1423</v>
      </c>
      <c r="D1054" s="67" t="s">
        <v>1743</v>
      </c>
      <c r="E1054" s="67" t="s">
        <v>1410</v>
      </c>
      <c r="F1054" s="67" t="s">
        <v>1462</v>
      </c>
      <c r="G1054" s="69">
        <v>457</v>
      </c>
    </row>
    <row r="1055" spans="1:7">
      <c r="A1055" s="67" t="s">
        <v>2537</v>
      </c>
      <c r="B1055" s="70">
        <v>46163</v>
      </c>
      <c r="C1055" s="67" t="s">
        <v>1434</v>
      </c>
      <c r="D1055" s="67" t="s">
        <v>1476</v>
      </c>
      <c r="E1055" s="67" t="s">
        <v>1362</v>
      </c>
      <c r="F1055" s="67" t="s">
        <v>1462</v>
      </c>
      <c r="G1055" s="69">
        <v>285</v>
      </c>
    </row>
    <row r="1056" spans="1:7">
      <c r="A1056" s="67" t="s">
        <v>2538</v>
      </c>
      <c r="B1056" s="70">
        <v>46163</v>
      </c>
      <c r="C1056" s="67" t="s">
        <v>1438</v>
      </c>
      <c r="D1056" s="67" t="s">
        <v>365</v>
      </c>
      <c r="E1056" s="67" t="s">
        <v>1368</v>
      </c>
      <c r="F1056" s="67" t="s">
        <v>1462</v>
      </c>
      <c r="G1056" s="69">
        <v>129</v>
      </c>
    </row>
    <row r="1057" spans="1:7">
      <c r="A1057" s="67" t="s">
        <v>2539</v>
      </c>
      <c r="B1057" s="70">
        <v>46164</v>
      </c>
      <c r="C1057" s="67" t="s">
        <v>1359</v>
      </c>
      <c r="D1057" s="67" t="s">
        <v>1476</v>
      </c>
      <c r="E1057" s="67" t="s">
        <v>1362</v>
      </c>
      <c r="F1057" s="67" t="s">
        <v>1462</v>
      </c>
      <c r="G1057" s="69">
        <v>405</v>
      </c>
    </row>
    <row r="1058" spans="1:7">
      <c r="A1058" s="67" t="s">
        <v>2540</v>
      </c>
      <c r="B1058" s="70">
        <v>46164</v>
      </c>
      <c r="C1058" s="67" t="s">
        <v>1366</v>
      </c>
      <c r="D1058" s="67" t="s">
        <v>363</v>
      </c>
      <c r="E1058" s="67" t="s">
        <v>1368</v>
      </c>
      <c r="F1058" s="67" t="s">
        <v>1462</v>
      </c>
      <c r="G1058" s="69">
        <v>229</v>
      </c>
    </row>
    <row r="1059" spans="1:7">
      <c r="A1059" s="67" t="s">
        <v>2541</v>
      </c>
      <c r="B1059" s="70">
        <v>46164</v>
      </c>
      <c r="C1059" s="67" t="s">
        <v>1366</v>
      </c>
      <c r="D1059" s="67" t="s">
        <v>369</v>
      </c>
      <c r="E1059" s="67" t="s">
        <v>1368</v>
      </c>
      <c r="F1059" s="67" t="s">
        <v>1462</v>
      </c>
      <c r="G1059" s="69">
        <v>422</v>
      </c>
    </row>
    <row r="1060" spans="1:7">
      <c r="A1060" s="67" t="s">
        <v>2542</v>
      </c>
      <c r="B1060" s="70">
        <v>46164</v>
      </c>
      <c r="C1060" s="67" t="s">
        <v>1366</v>
      </c>
      <c r="D1060" s="67" t="s">
        <v>358</v>
      </c>
      <c r="E1060" s="67" t="s">
        <v>1368</v>
      </c>
      <c r="F1060" s="67" t="s">
        <v>1460</v>
      </c>
      <c r="G1060" s="69">
        <v>19</v>
      </c>
    </row>
    <row r="1061" spans="1:7">
      <c r="A1061" s="67" t="s">
        <v>2543</v>
      </c>
      <c r="B1061" s="70">
        <v>46164</v>
      </c>
      <c r="C1061" s="67" t="s">
        <v>1371</v>
      </c>
      <c r="D1061" s="67" t="s">
        <v>1459</v>
      </c>
      <c r="E1061" s="67" t="s">
        <v>1362</v>
      </c>
      <c r="F1061" s="67" t="s">
        <v>1460</v>
      </c>
      <c r="G1061" s="69">
        <v>9</v>
      </c>
    </row>
    <row r="1062" spans="1:7">
      <c r="A1062" s="67" t="s">
        <v>2544</v>
      </c>
      <c r="B1062" s="70">
        <v>46164</v>
      </c>
      <c r="C1062" s="67" t="s">
        <v>1381</v>
      </c>
      <c r="D1062" s="67" t="s">
        <v>356</v>
      </c>
      <c r="E1062" s="67" t="s">
        <v>1368</v>
      </c>
      <c r="F1062" s="67" t="s">
        <v>1462</v>
      </c>
      <c r="G1062" s="69">
        <v>443</v>
      </c>
    </row>
    <row r="1063" spans="1:7">
      <c r="A1063" s="67" t="s">
        <v>2545</v>
      </c>
      <c r="B1063" s="70">
        <v>46164</v>
      </c>
      <c r="C1063" s="67" t="s">
        <v>1389</v>
      </c>
      <c r="D1063" s="67" t="s">
        <v>358</v>
      </c>
      <c r="E1063" s="67" t="s">
        <v>1368</v>
      </c>
      <c r="F1063" s="67" t="s">
        <v>1462</v>
      </c>
      <c r="G1063" s="69">
        <v>212</v>
      </c>
    </row>
    <row r="1064" spans="1:7">
      <c r="A1064" s="67" t="s">
        <v>2546</v>
      </c>
      <c r="B1064" s="70">
        <v>46164</v>
      </c>
      <c r="C1064" s="67" t="s">
        <v>1399</v>
      </c>
      <c r="D1064" s="67" t="s">
        <v>356</v>
      </c>
      <c r="E1064" s="67" t="s">
        <v>1368</v>
      </c>
      <c r="F1064" s="67" t="s">
        <v>1460</v>
      </c>
      <c r="G1064" s="69">
        <v>9</v>
      </c>
    </row>
    <row r="1065" spans="1:7">
      <c r="A1065" s="67" t="s">
        <v>2547</v>
      </c>
      <c r="B1065" s="70">
        <v>46164</v>
      </c>
      <c r="C1065" s="67" t="s">
        <v>1399</v>
      </c>
      <c r="D1065" s="67" t="s">
        <v>1459</v>
      </c>
      <c r="E1065" s="67" t="s">
        <v>1362</v>
      </c>
      <c r="F1065" s="67" t="s">
        <v>1462</v>
      </c>
      <c r="G1065" s="69">
        <v>402</v>
      </c>
    </row>
    <row r="1066" spans="1:7">
      <c r="A1066" s="67" t="s">
        <v>2548</v>
      </c>
      <c r="B1066" s="70">
        <v>46164</v>
      </c>
      <c r="C1066" s="67" t="s">
        <v>1404</v>
      </c>
      <c r="D1066" s="67" t="s">
        <v>365</v>
      </c>
      <c r="E1066" s="67" t="s">
        <v>1368</v>
      </c>
      <c r="F1066" s="67" t="s">
        <v>1462</v>
      </c>
      <c r="G1066" s="69">
        <v>248</v>
      </c>
    </row>
    <row r="1067" spans="1:7">
      <c r="A1067" s="67" t="s">
        <v>2549</v>
      </c>
      <c r="B1067" s="70">
        <v>46164</v>
      </c>
      <c r="C1067" s="67" t="s">
        <v>1404</v>
      </c>
      <c r="D1067" s="67" t="s">
        <v>367</v>
      </c>
      <c r="E1067" s="67" t="s">
        <v>1368</v>
      </c>
      <c r="F1067" s="67" t="s">
        <v>1462</v>
      </c>
      <c r="G1067" s="69">
        <v>309</v>
      </c>
    </row>
    <row r="1068" spans="1:7">
      <c r="A1068" s="67" t="s">
        <v>2550</v>
      </c>
      <c r="B1068" s="70">
        <v>46164</v>
      </c>
      <c r="C1068" s="67" t="s">
        <v>1406</v>
      </c>
      <c r="D1068" s="67" t="s">
        <v>360</v>
      </c>
      <c r="E1068" s="67" t="s">
        <v>1368</v>
      </c>
      <c r="F1068" s="67" t="s">
        <v>1460</v>
      </c>
      <c r="G1068" s="69">
        <v>14</v>
      </c>
    </row>
    <row r="1069" spans="1:7">
      <c r="A1069" s="67" t="s">
        <v>2551</v>
      </c>
      <c r="B1069" s="70">
        <v>46164</v>
      </c>
      <c r="C1069" s="67" t="s">
        <v>1411</v>
      </c>
      <c r="D1069" s="67" t="s">
        <v>369</v>
      </c>
      <c r="E1069" s="67" t="s">
        <v>1368</v>
      </c>
      <c r="F1069" s="67" t="s">
        <v>1462</v>
      </c>
      <c r="G1069" s="69">
        <v>461</v>
      </c>
    </row>
    <row r="1070" spans="1:7">
      <c r="A1070" s="67" t="s">
        <v>2552</v>
      </c>
      <c r="B1070" s="70">
        <v>46164</v>
      </c>
      <c r="C1070" s="67" t="s">
        <v>1411</v>
      </c>
      <c r="D1070" s="67" t="s">
        <v>1506</v>
      </c>
      <c r="E1070" s="67" t="s">
        <v>1482</v>
      </c>
      <c r="F1070" s="67" t="s">
        <v>1460</v>
      </c>
      <c r="G1070" s="69">
        <v>18</v>
      </c>
    </row>
    <row r="1071" spans="1:7">
      <c r="A1071" s="67" t="s">
        <v>2553</v>
      </c>
      <c r="B1071" s="70">
        <v>46164</v>
      </c>
      <c r="C1071" s="67" t="s">
        <v>1414</v>
      </c>
      <c r="D1071" s="67" t="s">
        <v>1491</v>
      </c>
      <c r="E1071" s="67" t="s">
        <v>1470</v>
      </c>
      <c r="F1071" s="67" t="s">
        <v>1462</v>
      </c>
      <c r="G1071" s="69">
        <v>309</v>
      </c>
    </row>
    <row r="1072" spans="1:7">
      <c r="A1072" s="67" t="s">
        <v>2554</v>
      </c>
      <c r="B1072" s="70">
        <v>46164</v>
      </c>
      <c r="C1072" s="67" t="s">
        <v>1425</v>
      </c>
      <c r="D1072" s="67" t="s">
        <v>1511</v>
      </c>
      <c r="E1072" s="67" t="s">
        <v>1470</v>
      </c>
      <c r="F1072" s="67" t="s">
        <v>1462</v>
      </c>
      <c r="G1072" s="69">
        <v>530</v>
      </c>
    </row>
    <row r="1073" spans="1:7">
      <c r="A1073" s="67" t="s">
        <v>2555</v>
      </c>
      <c r="B1073" s="70">
        <v>46164</v>
      </c>
      <c r="C1073" s="67" t="s">
        <v>1425</v>
      </c>
      <c r="D1073" s="67" t="s">
        <v>1511</v>
      </c>
      <c r="E1073" s="67" t="s">
        <v>1470</v>
      </c>
      <c r="F1073" s="67" t="s">
        <v>1462</v>
      </c>
      <c r="G1073" s="69">
        <v>158</v>
      </c>
    </row>
    <row r="1074" spans="1:7">
      <c r="A1074" s="67" t="s">
        <v>2556</v>
      </c>
      <c r="B1074" s="70">
        <v>46164</v>
      </c>
      <c r="C1074" s="67" t="s">
        <v>1429</v>
      </c>
      <c r="D1074" s="67" t="s">
        <v>369</v>
      </c>
      <c r="E1074" s="67" t="s">
        <v>1368</v>
      </c>
      <c r="F1074" s="67" t="s">
        <v>1462</v>
      </c>
      <c r="G1074" s="69">
        <v>554</v>
      </c>
    </row>
    <row r="1075" spans="1:7">
      <c r="A1075" s="67" t="s">
        <v>2557</v>
      </c>
      <c r="B1075" s="70">
        <v>46164</v>
      </c>
      <c r="C1075" s="67" t="s">
        <v>1444</v>
      </c>
      <c r="D1075" s="67" t="s">
        <v>1476</v>
      </c>
      <c r="E1075" s="67" t="s">
        <v>1362</v>
      </c>
      <c r="F1075" s="67" t="s">
        <v>1462</v>
      </c>
      <c r="G1075" s="69">
        <v>500</v>
      </c>
    </row>
    <row r="1076" spans="1:7">
      <c r="A1076" s="67" t="s">
        <v>2558</v>
      </c>
      <c r="B1076" s="70">
        <v>46164</v>
      </c>
      <c r="C1076" s="67" t="s">
        <v>1446</v>
      </c>
      <c r="D1076" s="67" t="s">
        <v>1476</v>
      </c>
      <c r="E1076" s="67" t="s">
        <v>1362</v>
      </c>
      <c r="F1076" s="67" t="s">
        <v>1462</v>
      </c>
      <c r="G1076" s="69">
        <v>232</v>
      </c>
    </row>
    <row r="1077" spans="1:7">
      <c r="A1077" s="67" t="s">
        <v>2559</v>
      </c>
      <c r="B1077" s="70">
        <v>46164</v>
      </c>
      <c r="C1077" s="67" t="s">
        <v>1446</v>
      </c>
      <c r="D1077" s="67" t="s">
        <v>1466</v>
      </c>
      <c r="E1077" s="67" t="s">
        <v>1386</v>
      </c>
      <c r="F1077" s="67" t="s">
        <v>1462</v>
      </c>
      <c r="G1077" s="69">
        <v>194</v>
      </c>
    </row>
    <row r="1078" spans="1:7">
      <c r="A1078" s="67" t="s">
        <v>2560</v>
      </c>
      <c r="B1078" s="70">
        <v>46165</v>
      </c>
      <c r="C1078" s="67" t="s">
        <v>1359</v>
      </c>
      <c r="D1078" s="67" t="s">
        <v>1476</v>
      </c>
      <c r="E1078" s="67" t="s">
        <v>1362</v>
      </c>
      <c r="F1078" s="67" t="s">
        <v>1462</v>
      </c>
      <c r="G1078" s="69">
        <v>345</v>
      </c>
    </row>
    <row r="1079" spans="1:7">
      <c r="A1079" s="67" t="s">
        <v>2561</v>
      </c>
      <c r="B1079" s="70">
        <v>46165</v>
      </c>
      <c r="C1079" s="67" t="s">
        <v>1366</v>
      </c>
      <c r="D1079" s="67" t="s">
        <v>353</v>
      </c>
      <c r="E1079" s="67" t="s">
        <v>1368</v>
      </c>
      <c r="F1079" s="67" t="s">
        <v>1462</v>
      </c>
      <c r="G1079" s="69">
        <v>32</v>
      </c>
    </row>
    <row r="1080" spans="1:7">
      <c r="A1080" s="67" t="s">
        <v>2562</v>
      </c>
      <c r="B1080" s="70">
        <v>46165</v>
      </c>
      <c r="C1080" s="67" t="s">
        <v>1366</v>
      </c>
      <c r="D1080" s="67" t="s">
        <v>356</v>
      </c>
      <c r="E1080" s="67" t="s">
        <v>1368</v>
      </c>
      <c r="F1080" s="67" t="s">
        <v>1462</v>
      </c>
      <c r="G1080" s="69">
        <v>286</v>
      </c>
    </row>
    <row r="1081" spans="1:7">
      <c r="A1081" s="67" t="s">
        <v>2563</v>
      </c>
      <c r="B1081" s="70">
        <v>46165</v>
      </c>
      <c r="C1081" s="67" t="s">
        <v>1366</v>
      </c>
      <c r="D1081" s="67" t="s">
        <v>1476</v>
      </c>
      <c r="E1081" s="67" t="s">
        <v>1362</v>
      </c>
      <c r="F1081" s="67" t="s">
        <v>1462</v>
      </c>
      <c r="G1081" s="69">
        <v>158</v>
      </c>
    </row>
    <row r="1082" spans="1:7">
      <c r="A1082" s="67" t="s">
        <v>2564</v>
      </c>
      <c r="B1082" s="70">
        <v>46165</v>
      </c>
      <c r="C1082" s="67" t="s">
        <v>1375</v>
      </c>
      <c r="D1082" s="67" t="s">
        <v>363</v>
      </c>
      <c r="E1082" s="67" t="s">
        <v>1368</v>
      </c>
      <c r="F1082" s="67" t="s">
        <v>1462</v>
      </c>
      <c r="G1082" s="69">
        <v>294</v>
      </c>
    </row>
    <row r="1083" spans="1:7">
      <c r="A1083" s="67" t="s">
        <v>2565</v>
      </c>
      <c r="B1083" s="70">
        <v>46165</v>
      </c>
      <c r="C1083" s="67" t="s">
        <v>1381</v>
      </c>
      <c r="D1083" s="67" t="s">
        <v>356</v>
      </c>
      <c r="E1083" s="67" t="s">
        <v>1368</v>
      </c>
      <c r="F1083" s="67" t="s">
        <v>1462</v>
      </c>
      <c r="G1083" s="69">
        <v>234</v>
      </c>
    </row>
    <row r="1084" spans="1:7">
      <c r="A1084" s="67" t="s">
        <v>2566</v>
      </c>
      <c r="B1084" s="70">
        <v>46165</v>
      </c>
      <c r="C1084" s="67" t="s">
        <v>1381</v>
      </c>
      <c r="D1084" s="67" t="s">
        <v>365</v>
      </c>
      <c r="E1084" s="67" t="s">
        <v>1368</v>
      </c>
      <c r="F1084" s="67" t="s">
        <v>1462</v>
      </c>
      <c r="G1084" s="69">
        <v>406</v>
      </c>
    </row>
    <row r="1085" spans="1:7">
      <c r="A1085" s="67" t="s">
        <v>2567</v>
      </c>
      <c r="B1085" s="70">
        <v>46165</v>
      </c>
      <c r="C1085" s="67" t="s">
        <v>1381</v>
      </c>
      <c r="D1085" s="67" t="s">
        <v>1476</v>
      </c>
      <c r="E1085" s="67" t="s">
        <v>1362</v>
      </c>
      <c r="F1085" s="67" t="s">
        <v>1462</v>
      </c>
      <c r="G1085" s="69">
        <v>40</v>
      </c>
    </row>
    <row r="1086" spans="1:7">
      <c r="A1086" s="67" t="s">
        <v>2568</v>
      </c>
      <c r="B1086" s="70">
        <v>46165</v>
      </c>
      <c r="C1086" s="67" t="s">
        <v>1381</v>
      </c>
      <c r="D1086" s="67" t="s">
        <v>367</v>
      </c>
      <c r="E1086" s="67" t="s">
        <v>1368</v>
      </c>
      <c r="F1086" s="67" t="s">
        <v>1462</v>
      </c>
      <c r="G1086" s="69">
        <v>544</v>
      </c>
    </row>
    <row r="1087" spans="1:7">
      <c r="A1087" s="67" t="s">
        <v>2569</v>
      </c>
      <c r="B1087" s="70">
        <v>46165</v>
      </c>
      <c r="C1087" s="67" t="s">
        <v>1381</v>
      </c>
      <c r="D1087" s="67" t="s">
        <v>1469</v>
      </c>
      <c r="E1087" s="67" t="s">
        <v>1470</v>
      </c>
      <c r="F1087" s="67" t="s">
        <v>1462</v>
      </c>
      <c r="G1087" s="69">
        <v>175</v>
      </c>
    </row>
    <row r="1088" spans="1:7">
      <c r="A1088" s="67" t="s">
        <v>2570</v>
      </c>
      <c r="B1088" s="70">
        <v>46165</v>
      </c>
      <c r="C1088" s="67" t="s">
        <v>1384</v>
      </c>
      <c r="D1088" s="67" t="s">
        <v>1459</v>
      </c>
      <c r="E1088" s="67" t="s">
        <v>1362</v>
      </c>
      <c r="F1088" s="67" t="s">
        <v>1462</v>
      </c>
      <c r="G1088" s="69">
        <v>312</v>
      </c>
    </row>
    <row r="1089" spans="1:7">
      <c r="A1089" s="67" t="s">
        <v>2571</v>
      </c>
      <c r="B1089" s="70">
        <v>46165</v>
      </c>
      <c r="C1089" s="67" t="s">
        <v>1414</v>
      </c>
      <c r="D1089" s="67" t="s">
        <v>1551</v>
      </c>
      <c r="E1089" s="67" t="s">
        <v>1362</v>
      </c>
      <c r="F1089" s="67" t="s">
        <v>1460</v>
      </c>
      <c r="G1089" s="69">
        <v>6</v>
      </c>
    </row>
    <row r="1090" spans="1:7">
      <c r="A1090" s="67" t="s">
        <v>2572</v>
      </c>
      <c r="B1090" s="70">
        <v>46165</v>
      </c>
      <c r="C1090" s="67" t="s">
        <v>1423</v>
      </c>
      <c r="D1090" s="67" t="s">
        <v>1479</v>
      </c>
      <c r="E1090" s="67" t="s">
        <v>1410</v>
      </c>
      <c r="F1090" s="67" t="s">
        <v>1462</v>
      </c>
      <c r="G1090" s="69">
        <v>449</v>
      </c>
    </row>
    <row r="1091" spans="1:7">
      <c r="A1091" s="67" t="s">
        <v>2573</v>
      </c>
      <c r="B1091" s="70">
        <v>46165</v>
      </c>
      <c r="C1091" s="67" t="s">
        <v>1423</v>
      </c>
      <c r="D1091" s="67" t="s">
        <v>365</v>
      </c>
      <c r="E1091" s="67" t="s">
        <v>1368</v>
      </c>
      <c r="F1091" s="67" t="s">
        <v>1462</v>
      </c>
      <c r="G1091" s="69">
        <v>126</v>
      </c>
    </row>
    <row r="1092" spans="1:7">
      <c r="A1092" s="67" t="s">
        <v>2574</v>
      </c>
      <c r="B1092" s="70">
        <v>46165</v>
      </c>
      <c r="C1092" s="67" t="s">
        <v>1444</v>
      </c>
      <c r="D1092" s="67" t="s">
        <v>1466</v>
      </c>
      <c r="E1092" s="67" t="s">
        <v>1386</v>
      </c>
      <c r="F1092" s="67" t="s">
        <v>1462</v>
      </c>
      <c r="G1092" s="69">
        <v>529</v>
      </c>
    </row>
    <row r="1093" spans="1:7">
      <c r="A1093" s="67" t="s">
        <v>2575</v>
      </c>
      <c r="B1093" s="70">
        <v>46165</v>
      </c>
      <c r="C1093" s="67" t="s">
        <v>1444</v>
      </c>
      <c r="D1093" s="67" t="s">
        <v>1459</v>
      </c>
      <c r="E1093" s="67" t="s">
        <v>1362</v>
      </c>
      <c r="F1093" s="67" t="s">
        <v>1460</v>
      </c>
      <c r="G1093" s="69">
        <v>18</v>
      </c>
    </row>
    <row r="1094" spans="1:7">
      <c r="A1094" s="67" t="s">
        <v>2576</v>
      </c>
      <c r="B1094" s="70">
        <v>46165</v>
      </c>
      <c r="C1094" s="67" t="s">
        <v>1446</v>
      </c>
      <c r="D1094" s="67" t="s">
        <v>1551</v>
      </c>
      <c r="E1094" s="67" t="s">
        <v>1362</v>
      </c>
      <c r="F1094" s="67" t="s">
        <v>1460</v>
      </c>
      <c r="G1094" s="69">
        <v>21</v>
      </c>
    </row>
    <row r="1095" spans="1:7">
      <c r="A1095" s="67" t="s">
        <v>2577</v>
      </c>
      <c r="B1095" s="70">
        <v>46166</v>
      </c>
      <c r="C1095" s="67" t="s">
        <v>1359</v>
      </c>
      <c r="D1095" s="67" t="s">
        <v>1551</v>
      </c>
      <c r="E1095" s="67" t="s">
        <v>1362</v>
      </c>
      <c r="F1095" s="67" t="s">
        <v>1462</v>
      </c>
      <c r="G1095" s="69">
        <v>120</v>
      </c>
    </row>
    <row r="1096" spans="1:7">
      <c r="A1096" s="67" t="s">
        <v>2578</v>
      </c>
      <c r="B1096" s="70">
        <v>46166</v>
      </c>
      <c r="C1096" s="67" t="s">
        <v>1359</v>
      </c>
      <c r="D1096" s="67" t="s">
        <v>1459</v>
      </c>
      <c r="E1096" s="67" t="s">
        <v>1362</v>
      </c>
      <c r="F1096" s="67" t="s">
        <v>1462</v>
      </c>
      <c r="G1096" s="69">
        <v>594</v>
      </c>
    </row>
    <row r="1097" spans="1:7">
      <c r="A1097" s="67" t="s">
        <v>2579</v>
      </c>
      <c r="B1097" s="70">
        <v>46166</v>
      </c>
      <c r="C1097" s="67" t="s">
        <v>1359</v>
      </c>
      <c r="D1097" s="67" t="s">
        <v>1459</v>
      </c>
      <c r="E1097" s="67" t="s">
        <v>1362</v>
      </c>
      <c r="F1097" s="67" t="s">
        <v>1462</v>
      </c>
      <c r="G1097" s="69">
        <v>366</v>
      </c>
    </row>
    <row r="1098" spans="1:7">
      <c r="A1098" s="67" t="s">
        <v>2580</v>
      </c>
      <c r="B1098" s="70">
        <v>46166</v>
      </c>
      <c r="C1098" s="67" t="s">
        <v>1366</v>
      </c>
      <c r="D1098" s="67" t="s">
        <v>358</v>
      </c>
      <c r="E1098" s="67" t="s">
        <v>1368</v>
      </c>
      <c r="F1098" s="67" t="s">
        <v>1460</v>
      </c>
      <c r="G1098" s="69">
        <v>19</v>
      </c>
    </row>
    <row r="1099" spans="1:7">
      <c r="A1099" s="67" t="s">
        <v>2581</v>
      </c>
      <c r="B1099" s="70">
        <v>46166</v>
      </c>
      <c r="C1099" s="67" t="s">
        <v>1381</v>
      </c>
      <c r="D1099" s="67" t="s">
        <v>369</v>
      </c>
      <c r="E1099" s="67" t="s">
        <v>1368</v>
      </c>
      <c r="F1099" s="67" t="s">
        <v>1462</v>
      </c>
      <c r="G1099" s="69">
        <v>475</v>
      </c>
    </row>
    <row r="1100" spans="1:7">
      <c r="A1100" s="67" t="s">
        <v>2582</v>
      </c>
      <c r="B1100" s="70">
        <v>46166</v>
      </c>
      <c r="C1100" s="67" t="s">
        <v>1381</v>
      </c>
      <c r="D1100" s="67" t="s">
        <v>1551</v>
      </c>
      <c r="E1100" s="67" t="s">
        <v>1362</v>
      </c>
      <c r="F1100" s="67" t="s">
        <v>1462</v>
      </c>
      <c r="G1100" s="69">
        <v>271</v>
      </c>
    </row>
    <row r="1101" spans="1:7">
      <c r="A1101" s="67" t="s">
        <v>2583</v>
      </c>
      <c r="B1101" s="70">
        <v>46166</v>
      </c>
      <c r="C1101" s="67" t="s">
        <v>1381</v>
      </c>
      <c r="D1101" s="67" t="s">
        <v>358</v>
      </c>
      <c r="E1101" s="67" t="s">
        <v>1368</v>
      </c>
      <c r="F1101" s="67" t="s">
        <v>1462</v>
      </c>
      <c r="G1101" s="69">
        <v>488</v>
      </c>
    </row>
    <row r="1102" spans="1:7">
      <c r="A1102" s="67" t="s">
        <v>2584</v>
      </c>
      <c r="B1102" s="70">
        <v>46166</v>
      </c>
      <c r="C1102" s="67" t="s">
        <v>1389</v>
      </c>
      <c r="D1102" s="67" t="s">
        <v>367</v>
      </c>
      <c r="E1102" s="67" t="s">
        <v>1368</v>
      </c>
      <c r="F1102" s="67" t="s">
        <v>1460</v>
      </c>
      <c r="G1102" s="69">
        <v>26</v>
      </c>
    </row>
    <row r="1103" spans="1:7">
      <c r="A1103" s="67" t="s">
        <v>2585</v>
      </c>
      <c r="B1103" s="70">
        <v>46166</v>
      </c>
      <c r="C1103" s="67" t="s">
        <v>1393</v>
      </c>
      <c r="D1103" s="67" t="s">
        <v>369</v>
      </c>
      <c r="E1103" s="67" t="s">
        <v>1368</v>
      </c>
      <c r="F1103" s="67" t="s">
        <v>1462</v>
      </c>
      <c r="G1103" s="69">
        <v>62</v>
      </c>
    </row>
    <row r="1104" spans="1:7">
      <c r="A1104" s="67" t="s">
        <v>2586</v>
      </c>
      <c r="B1104" s="70">
        <v>46166</v>
      </c>
      <c r="C1104" s="67" t="s">
        <v>1399</v>
      </c>
      <c r="D1104" s="67" t="s">
        <v>1551</v>
      </c>
      <c r="E1104" s="67" t="s">
        <v>1362</v>
      </c>
      <c r="F1104" s="67" t="s">
        <v>1460</v>
      </c>
      <c r="G1104" s="69">
        <v>21</v>
      </c>
    </row>
    <row r="1105" spans="1:7">
      <c r="A1105" s="67" t="s">
        <v>2587</v>
      </c>
      <c r="B1105" s="70">
        <v>46166</v>
      </c>
      <c r="C1105" s="67" t="s">
        <v>1406</v>
      </c>
      <c r="D1105" s="67" t="s">
        <v>363</v>
      </c>
      <c r="E1105" s="67" t="s">
        <v>1368</v>
      </c>
      <c r="F1105" s="67" t="s">
        <v>1460</v>
      </c>
      <c r="G1105" s="69">
        <v>27</v>
      </c>
    </row>
    <row r="1106" spans="1:7">
      <c r="A1106" s="67" t="s">
        <v>2588</v>
      </c>
      <c r="B1106" s="70">
        <v>46166</v>
      </c>
      <c r="C1106" s="67" t="s">
        <v>1411</v>
      </c>
      <c r="D1106" s="67" t="s">
        <v>369</v>
      </c>
      <c r="E1106" s="67" t="s">
        <v>1368</v>
      </c>
      <c r="F1106" s="67" t="s">
        <v>1462</v>
      </c>
      <c r="G1106" s="69">
        <v>514</v>
      </c>
    </row>
    <row r="1107" spans="1:7">
      <c r="A1107" s="67" t="s">
        <v>2589</v>
      </c>
      <c r="B1107" s="70">
        <v>46166</v>
      </c>
      <c r="C1107" s="67" t="s">
        <v>1411</v>
      </c>
      <c r="D1107" s="67" t="s">
        <v>1506</v>
      </c>
      <c r="E1107" s="67" t="s">
        <v>1482</v>
      </c>
      <c r="F1107" s="67" t="s">
        <v>1462</v>
      </c>
      <c r="G1107" s="69">
        <v>555</v>
      </c>
    </row>
    <row r="1108" spans="1:7">
      <c r="A1108" s="67" t="s">
        <v>2590</v>
      </c>
      <c r="B1108" s="70">
        <v>46166</v>
      </c>
      <c r="C1108" s="67" t="s">
        <v>1414</v>
      </c>
      <c r="D1108" s="67" t="s">
        <v>1511</v>
      </c>
      <c r="E1108" s="67" t="s">
        <v>1470</v>
      </c>
      <c r="F1108" s="67" t="s">
        <v>1460</v>
      </c>
      <c r="G1108" s="69">
        <v>11</v>
      </c>
    </row>
    <row r="1109" spans="1:7">
      <c r="A1109" s="67" t="s">
        <v>2591</v>
      </c>
      <c r="B1109" s="70">
        <v>46166</v>
      </c>
      <c r="C1109" s="67" t="s">
        <v>1414</v>
      </c>
      <c r="D1109" s="67" t="s">
        <v>1484</v>
      </c>
      <c r="E1109" s="67" t="s">
        <v>1470</v>
      </c>
      <c r="F1109" s="67" t="s">
        <v>1462</v>
      </c>
      <c r="G1109" s="69">
        <v>309</v>
      </c>
    </row>
    <row r="1110" spans="1:7">
      <c r="A1110" s="67" t="s">
        <v>2592</v>
      </c>
      <c r="B1110" s="70">
        <v>46166</v>
      </c>
      <c r="C1110" s="67" t="s">
        <v>1419</v>
      </c>
      <c r="D1110" s="67" t="s">
        <v>356</v>
      </c>
      <c r="E1110" s="67" t="s">
        <v>1368</v>
      </c>
      <c r="F1110" s="67" t="s">
        <v>1462</v>
      </c>
      <c r="G1110" s="69">
        <v>423</v>
      </c>
    </row>
    <row r="1111" spans="1:7">
      <c r="A1111" s="67" t="s">
        <v>2593</v>
      </c>
      <c r="B1111" s="70">
        <v>46166</v>
      </c>
      <c r="C1111" s="67" t="s">
        <v>1425</v>
      </c>
      <c r="D1111" s="67" t="s">
        <v>1511</v>
      </c>
      <c r="E1111" s="67" t="s">
        <v>1470</v>
      </c>
      <c r="F1111" s="67" t="s">
        <v>1462</v>
      </c>
      <c r="G1111" s="69">
        <v>539</v>
      </c>
    </row>
    <row r="1112" spans="1:7">
      <c r="A1112" s="67" t="s">
        <v>2594</v>
      </c>
      <c r="B1112" s="70">
        <v>46166</v>
      </c>
      <c r="C1112" s="67" t="s">
        <v>1434</v>
      </c>
      <c r="D1112" s="67" t="s">
        <v>1476</v>
      </c>
      <c r="E1112" s="67" t="s">
        <v>1362</v>
      </c>
      <c r="F1112" s="67" t="s">
        <v>1462</v>
      </c>
      <c r="G1112" s="69">
        <v>375</v>
      </c>
    </row>
    <row r="1113" spans="1:7">
      <c r="A1113" s="67" t="s">
        <v>2595</v>
      </c>
      <c r="B1113" s="70">
        <v>46166</v>
      </c>
      <c r="C1113" s="67" t="s">
        <v>1434</v>
      </c>
      <c r="D1113" s="67" t="s">
        <v>1551</v>
      </c>
      <c r="E1113" s="67" t="s">
        <v>1362</v>
      </c>
      <c r="F1113" s="67" t="s">
        <v>1462</v>
      </c>
      <c r="G1113" s="69">
        <v>142</v>
      </c>
    </row>
    <row r="1114" spans="1:7">
      <c r="A1114" s="67" t="s">
        <v>2596</v>
      </c>
      <c r="B1114" s="70">
        <v>46166</v>
      </c>
      <c r="C1114" s="67" t="s">
        <v>1442</v>
      </c>
      <c r="D1114" s="67" t="s">
        <v>1466</v>
      </c>
      <c r="E1114" s="67" t="s">
        <v>1386</v>
      </c>
      <c r="F1114" s="67" t="s">
        <v>1462</v>
      </c>
      <c r="G1114" s="69">
        <v>56</v>
      </c>
    </row>
    <row r="1115" spans="1:7">
      <c r="A1115" s="67" t="s">
        <v>2597</v>
      </c>
      <c r="B1115" s="70">
        <v>46167</v>
      </c>
      <c r="C1115" s="67" t="s">
        <v>1366</v>
      </c>
      <c r="D1115" s="67" t="s">
        <v>356</v>
      </c>
      <c r="E1115" s="67" t="s">
        <v>1368</v>
      </c>
      <c r="F1115" s="67" t="s">
        <v>1460</v>
      </c>
      <c r="G1115" s="69">
        <v>25</v>
      </c>
    </row>
    <row r="1116" spans="1:7">
      <c r="A1116" s="67" t="s">
        <v>2598</v>
      </c>
      <c r="B1116" s="70">
        <v>46167</v>
      </c>
      <c r="C1116" s="67" t="s">
        <v>1366</v>
      </c>
      <c r="D1116" s="67" t="s">
        <v>367</v>
      </c>
      <c r="E1116" s="67" t="s">
        <v>1368</v>
      </c>
      <c r="F1116" s="67" t="s">
        <v>1462</v>
      </c>
      <c r="G1116" s="69">
        <v>537</v>
      </c>
    </row>
    <row r="1117" spans="1:7">
      <c r="A1117" s="67" t="s">
        <v>2599</v>
      </c>
      <c r="B1117" s="70">
        <v>46167</v>
      </c>
      <c r="C1117" s="67" t="s">
        <v>1366</v>
      </c>
      <c r="D1117" s="67" t="s">
        <v>1551</v>
      </c>
      <c r="E1117" s="67" t="s">
        <v>1362</v>
      </c>
      <c r="F1117" s="67" t="s">
        <v>1462</v>
      </c>
      <c r="G1117" s="69">
        <v>327</v>
      </c>
    </row>
    <row r="1118" spans="1:7">
      <c r="A1118" s="67" t="s">
        <v>2600</v>
      </c>
      <c r="B1118" s="70">
        <v>46167</v>
      </c>
      <c r="C1118" s="67" t="s">
        <v>1371</v>
      </c>
      <c r="D1118" s="67" t="s">
        <v>1551</v>
      </c>
      <c r="E1118" s="67" t="s">
        <v>1362</v>
      </c>
      <c r="F1118" s="67" t="s">
        <v>1460</v>
      </c>
      <c r="G1118" s="69">
        <v>6</v>
      </c>
    </row>
    <row r="1119" spans="1:7">
      <c r="A1119" s="67" t="s">
        <v>2601</v>
      </c>
      <c r="B1119" s="70">
        <v>46167</v>
      </c>
      <c r="C1119" s="67" t="s">
        <v>1378</v>
      </c>
      <c r="D1119" s="67" t="s">
        <v>365</v>
      </c>
      <c r="E1119" s="67" t="s">
        <v>1368</v>
      </c>
      <c r="F1119" s="67" t="s">
        <v>1462</v>
      </c>
      <c r="G1119" s="69">
        <v>323</v>
      </c>
    </row>
    <row r="1120" spans="1:7">
      <c r="A1120" s="67" t="s">
        <v>2602</v>
      </c>
      <c r="B1120" s="70">
        <v>46167</v>
      </c>
      <c r="C1120" s="67" t="s">
        <v>1378</v>
      </c>
      <c r="D1120" s="67" t="s">
        <v>1476</v>
      </c>
      <c r="E1120" s="67" t="s">
        <v>1362</v>
      </c>
      <c r="F1120" s="67" t="s">
        <v>1460</v>
      </c>
      <c r="G1120" s="69">
        <v>18</v>
      </c>
    </row>
    <row r="1121" spans="1:7">
      <c r="A1121" s="67" t="s">
        <v>2603</v>
      </c>
      <c r="B1121" s="70">
        <v>46167</v>
      </c>
      <c r="C1121" s="67" t="s">
        <v>1378</v>
      </c>
      <c r="D1121" s="67" t="s">
        <v>358</v>
      </c>
      <c r="E1121" s="67" t="s">
        <v>1368</v>
      </c>
      <c r="F1121" s="67" t="s">
        <v>1462</v>
      </c>
      <c r="G1121" s="69">
        <v>555</v>
      </c>
    </row>
    <row r="1122" spans="1:7">
      <c r="A1122" s="67" t="s">
        <v>2604</v>
      </c>
      <c r="B1122" s="70">
        <v>46167</v>
      </c>
      <c r="C1122" s="67" t="s">
        <v>1381</v>
      </c>
      <c r="D1122" s="67" t="s">
        <v>1551</v>
      </c>
      <c r="E1122" s="67" t="s">
        <v>1362</v>
      </c>
      <c r="F1122" s="67" t="s">
        <v>1462</v>
      </c>
      <c r="G1122" s="69">
        <v>315</v>
      </c>
    </row>
    <row r="1123" spans="1:7">
      <c r="A1123" s="67" t="s">
        <v>2605</v>
      </c>
      <c r="B1123" s="70">
        <v>46167</v>
      </c>
      <c r="C1123" s="67" t="s">
        <v>1411</v>
      </c>
      <c r="D1123" s="67" t="s">
        <v>1506</v>
      </c>
      <c r="E1123" s="67" t="s">
        <v>1482</v>
      </c>
      <c r="F1123" s="67" t="s">
        <v>1462</v>
      </c>
      <c r="G1123" s="69">
        <v>523</v>
      </c>
    </row>
    <row r="1124" spans="1:7">
      <c r="A1124" s="67" t="s">
        <v>2606</v>
      </c>
      <c r="B1124" s="70">
        <v>46167</v>
      </c>
      <c r="C1124" s="67" t="s">
        <v>1429</v>
      </c>
      <c r="D1124" s="67" t="s">
        <v>369</v>
      </c>
      <c r="E1124" s="67" t="s">
        <v>1368</v>
      </c>
      <c r="F1124" s="67" t="s">
        <v>1462</v>
      </c>
      <c r="G1124" s="69">
        <v>234</v>
      </c>
    </row>
    <row r="1125" spans="1:7">
      <c r="A1125" s="67" t="s">
        <v>2607</v>
      </c>
      <c r="B1125" s="70">
        <v>46168</v>
      </c>
      <c r="C1125" s="67" t="s">
        <v>1359</v>
      </c>
      <c r="D1125" s="67" t="s">
        <v>1459</v>
      </c>
      <c r="E1125" s="67" t="s">
        <v>1362</v>
      </c>
      <c r="F1125" s="67" t="s">
        <v>1488</v>
      </c>
      <c r="G1125" s="69">
        <v>3</v>
      </c>
    </row>
    <row r="1126" spans="1:7">
      <c r="A1126" s="67" t="s">
        <v>2608</v>
      </c>
      <c r="B1126" s="70">
        <v>46168</v>
      </c>
      <c r="C1126" s="67" t="s">
        <v>1366</v>
      </c>
      <c r="D1126" s="67" t="s">
        <v>356</v>
      </c>
      <c r="E1126" s="67" t="s">
        <v>1368</v>
      </c>
      <c r="F1126" s="67" t="s">
        <v>1462</v>
      </c>
      <c r="G1126" s="69">
        <v>409</v>
      </c>
    </row>
    <row r="1127" spans="1:7">
      <c r="A1127" s="67" t="s">
        <v>2609</v>
      </c>
      <c r="B1127" s="70">
        <v>46168</v>
      </c>
      <c r="C1127" s="67" t="s">
        <v>1366</v>
      </c>
      <c r="D1127" s="67" t="s">
        <v>356</v>
      </c>
      <c r="E1127" s="67" t="s">
        <v>1368</v>
      </c>
      <c r="F1127" s="67" t="s">
        <v>1460</v>
      </c>
      <c r="G1127" s="69">
        <v>15</v>
      </c>
    </row>
    <row r="1128" spans="1:7">
      <c r="A1128" s="67" t="s">
        <v>2610</v>
      </c>
      <c r="B1128" s="70">
        <v>46168</v>
      </c>
      <c r="C1128" s="67" t="s">
        <v>1371</v>
      </c>
      <c r="D1128" s="67" t="s">
        <v>1459</v>
      </c>
      <c r="E1128" s="67" t="s">
        <v>1362</v>
      </c>
      <c r="F1128" s="67" t="s">
        <v>1462</v>
      </c>
      <c r="G1128" s="69">
        <v>248</v>
      </c>
    </row>
    <row r="1129" spans="1:7">
      <c r="A1129" s="67" t="s">
        <v>2611</v>
      </c>
      <c r="B1129" s="70">
        <v>46168</v>
      </c>
      <c r="C1129" s="67" t="s">
        <v>1371</v>
      </c>
      <c r="D1129" s="67" t="s">
        <v>1459</v>
      </c>
      <c r="E1129" s="67" t="s">
        <v>1362</v>
      </c>
      <c r="F1129" s="67" t="s">
        <v>1462</v>
      </c>
      <c r="G1129" s="69">
        <v>67</v>
      </c>
    </row>
    <row r="1130" spans="1:7">
      <c r="A1130" s="67" t="s">
        <v>2612</v>
      </c>
      <c r="B1130" s="70">
        <v>46168</v>
      </c>
      <c r="C1130" s="67" t="s">
        <v>1381</v>
      </c>
      <c r="D1130" s="67" t="s">
        <v>360</v>
      </c>
      <c r="E1130" s="67" t="s">
        <v>1368</v>
      </c>
      <c r="F1130" s="67" t="s">
        <v>1462</v>
      </c>
      <c r="G1130" s="69">
        <v>417</v>
      </c>
    </row>
    <row r="1131" spans="1:7">
      <c r="A1131" s="67" t="s">
        <v>2613</v>
      </c>
      <c r="B1131" s="70">
        <v>46168</v>
      </c>
      <c r="C1131" s="67" t="s">
        <v>1381</v>
      </c>
      <c r="D1131" s="67" t="s">
        <v>367</v>
      </c>
      <c r="E1131" s="67" t="s">
        <v>1368</v>
      </c>
      <c r="F1131" s="67" t="s">
        <v>1462</v>
      </c>
      <c r="G1131" s="69">
        <v>269</v>
      </c>
    </row>
    <row r="1132" spans="1:7">
      <c r="A1132" s="67" t="s">
        <v>2614</v>
      </c>
      <c r="B1132" s="70">
        <v>46168</v>
      </c>
      <c r="C1132" s="67" t="s">
        <v>1381</v>
      </c>
      <c r="D1132" s="67" t="s">
        <v>367</v>
      </c>
      <c r="E1132" s="67" t="s">
        <v>1368</v>
      </c>
      <c r="F1132" s="67" t="s">
        <v>1462</v>
      </c>
      <c r="G1132" s="69">
        <v>118</v>
      </c>
    </row>
    <row r="1133" spans="1:7">
      <c r="A1133" s="67" t="s">
        <v>2615</v>
      </c>
      <c r="B1133" s="70">
        <v>46168</v>
      </c>
      <c r="C1133" s="67" t="s">
        <v>1384</v>
      </c>
      <c r="D1133" s="67" t="s">
        <v>1466</v>
      </c>
      <c r="E1133" s="67" t="s">
        <v>1386</v>
      </c>
      <c r="F1133" s="67" t="s">
        <v>1460</v>
      </c>
      <c r="G1133" s="69">
        <v>20</v>
      </c>
    </row>
    <row r="1134" spans="1:7">
      <c r="A1134" s="67" t="s">
        <v>2616</v>
      </c>
      <c r="B1134" s="70">
        <v>46168</v>
      </c>
      <c r="C1134" s="67" t="s">
        <v>1404</v>
      </c>
      <c r="D1134" s="67" t="s">
        <v>353</v>
      </c>
      <c r="E1134" s="67" t="s">
        <v>1368</v>
      </c>
      <c r="F1134" s="67" t="s">
        <v>1460</v>
      </c>
      <c r="G1134" s="69">
        <v>28</v>
      </c>
    </row>
    <row r="1135" spans="1:7">
      <c r="A1135" s="67" t="s">
        <v>2617</v>
      </c>
      <c r="B1135" s="70">
        <v>46168</v>
      </c>
      <c r="C1135" s="67" t="s">
        <v>1404</v>
      </c>
      <c r="D1135" s="67" t="s">
        <v>353</v>
      </c>
      <c r="E1135" s="67" t="s">
        <v>1368</v>
      </c>
      <c r="F1135" s="67" t="s">
        <v>1462</v>
      </c>
      <c r="G1135" s="69">
        <v>191</v>
      </c>
    </row>
    <row r="1136" spans="1:7">
      <c r="A1136" s="67" t="s">
        <v>2618</v>
      </c>
      <c r="B1136" s="70">
        <v>46168</v>
      </c>
      <c r="C1136" s="67" t="s">
        <v>1404</v>
      </c>
      <c r="D1136" s="67" t="s">
        <v>353</v>
      </c>
      <c r="E1136" s="67" t="s">
        <v>1368</v>
      </c>
      <c r="F1136" s="67" t="s">
        <v>1462</v>
      </c>
      <c r="G1136" s="69">
        <v>588</v>
      </c>
    </row>
    <row r="1137" spans="1:7">
      <c r="A1137" s="67" t="s">
        <v>2619</v>
      </c>
      <c r="B1137" s="70">
        <v>46168</v>
      </c>
      <c r="C1137" s="67" t="s">
        <v>1404</v>
      </c>
      <c r="D1137" s="67" t="s">
        <v>363</v>
      </c>
      <c r="E1137" s="67" t="s">
        <v>1368</v>
      </c>
      <c r="F1137" s="67" t="s">
        <v>1462</v>
      </c>
      <c r="G1137" s="69">
        <v>332</v>
      </c>
    </row>
    <row r="1138" spans="1:7">
      <c r="A1138" s="67" t="s">
        <v>2620</v>
      </c>
      <c r="B1138" s="70">
        <v>46168</v>
      </c>
      <c r="C1138" s="67" t="s">
        <v>1406</v>
      </c>
      <c r="D1138" s="67" t="s">
        <v>353</v>
      </c>
      <c r="E1138" s="67" t="s">
        <v>1368</v>
      </c>
      <c r="F1138" s="67" t="s">
        <v>1460</v>
      </c>
      <c r="G1138" s="69">
        <v>30</v>
      </c>
    </row>
    <row r="1139" spans="1:7">
      <c r="A1139" s="67" t="s">
        <v>2621</v>
      </c>
      <c r="B1139" s="70">
        <v>46168</v>
      </c>
      <c r="C1139" s="67" t="s">
        <v>1406</v>
      </c>
      <c r="D1139" s="67" t="s">
        <v>358</v>
      </c>
      <c r="E1139" s="67" t="s">
        <v>1368</v>
      </c>
      <c r="F1139" s="67" t="s">
        <v>1462</v>
      </c>
      <c r="G1139" s="69">
        <v>50</v>
      </c>
    </row>
    <row r="1140" spans="1:7">
      <c r="A1140" s="67" t="s">
        <v>2622</v>
      </c>
      <c r="B1140" s="70">
        <v>46168</v>
      </c>
      <c r="C1140" s="67" t="s">
        <v>1411</v>
      </c>
      <c r="D1140" s="67" t="s">
        <v>1506</v>
      </c>
      <c r="E1140" s="67" t="s">
        <v>1482</v>
      </c>
      <c r="F1140" s="67" t="s">
        <v>1462</v>
      </c>
      <c r="G1140" s="69">
        <v>114</v>
      </c>
    </row>
    <row r="1141" spans="1:7">
      <c r="A1141" s="67" t="s">
        <v>2623</v>
      </c>
      <c r="B1141" s="70">
        <v>46168</v>
      </c>
      <c r="C1141" s="67" t="s">
        <v>1411</v>
      </c>
      <c r="D1141" s="67" t="s">
        <v>1506</v>
      </c>
      <c r="E1141" s="67" t="s">
        <v>1482</v>
      </c>
      <c r="F1141" s="67" t="s">
        <v>1462</v>
      </c>
      <c r="G1141" s="69">
        <v>497</v>
      </c>
    </row>
    <row r="1142" spans="1:7">
      <c r="A1142" s="67" t="s">
        <v>2624</v>
      </c>
      <c r="B1142" s="70">
        <v>46168</v>
      </c>
      <c r="C1142" s="67" t="s">
        <v>1411</v>
      </c>
      <c r="D1142" s="67" t="s">
        <v>1506</v>
      </c>
      <c r="E1142" s="67" t="s">
        <v>1482</v>
      </c>
      <c r="F1142" s="67" t="s">
        <v>1462</v>
      </c>
      <c r="G1142" s="69">
        <v>416</v>
      </c>
    </row>
    <row r="1143" spans="1:7">
      <c r="A1143" s="67" t="s">
        <v>2625</v>
      </c>
      <c r="B1143" s="70">
        <v>46168</v>
      </c>
      <c r="C1143" s="67" t="s">
        <v>1419</v>
      </c>
      <c r="D1143" s="67" t="s">
        <v>1551</v>
      </c>
      <c r="E1143" s="67" t="s">
        <v>1362</v>
      </c>
      <c r="F1143" s="67" t="s">
        <v>1462</v>
      </c>
      <c r="G1143" s="69">
        <v>313</v>
      </c>
    </row>
    <row r="1144" spans="1:7">
      <c r="A1144" s="67" t="s">
        <v>2626</v>
      </c>
      <c r="B1144" s="70">
        <v>46168</v>
      </c>
      <c r="C1144" s="67" t="s">
        <v>1425</v>
      </c>
      <c r="D1144" s="67" t="s">
        <v>1469</v>
      </c>
      <c r="E1144" s="67" t="s">
        <v>1470</v>
      </c>
      <c r="F1144" s="67" t="s">
        <v>1462</v>
      </c>
      <c r="G1144" s="69">
        <v>42</v>
      </c>
    </row>
    <row r="1145" spans="1:7">
      <c r="A1145" s="67" t="s">
        <v>2627</v>
      </c>
      <c r="B1145" s="70">
        <v>46168</v>
      </c>
      <c r="C1145" s="67" t="s">
        <v>1434</v>
      </c>
      <c r="D1145" s="67" t="s">
        <v>1551</v>
      </c>
      <c r="E1145" s="67" t="s">
        <v>1362</v>
      </c>
      <c r="F1145" s="67" t="s">
        <v>1488</v>
      </c>
      <c r="G1145" s="69">
        <v>4</v>
      </c>
    </row>
    <row r="1146" spans="1:7">
      <c r="A1146" s="67" t="s">
        <v>2628</v>
      </c>
      <c r="B1146" s="70">
        <v>46168</v>
      </c>
      <c r="C1146" s="67" t="s">
        <v>1442</v>
      </c>
      <c r="D1146" s="67" t="s">
        <v>1466</v>
      </c>
      <c r="E1146" s="67" t="s">
        <v>1386</v>
      </c>
      <c r="F1146" s="67" t="s">
        <v>1462</v>
      </c>
      <c r="G1146" s="69">
        <v>505</v>
      </c>
    </row>
    <row r="1147" spans="1:7">
      <c r="A1147" s="67" t="s">
        <v>2629</v>
      </c>
      <c r="B1147" s="70">
        <v>46168</v>
      </c>
      <c r="C1147" s="67" t="s">
        <v>1442</v>
      </c>
      <c r="D1147" s="67" t="s">
        <v>1466</v>
      </c>
      <c r="E1147" s="67" t="s">
        <v>1386</v>
      </c>
      <c r="F1147" s="67" t="s">
        <v>1462</v>
      </c>
      <c r="G1147" s="69">
        <v>206</v>
      </c>
    </row>
    <row r="1148" spans="1:7">
      <c r="A1148" s="67" t="s">
        <v>2630</v>
      </c>
      <c r="B1148" s="70">
        <v>46169</v>
      </c>
      <c r="C1148" s="67" t="s">
        <v>1366</v>
      </c>
      <c r="D1148" s="67" t="s">
        <v>1551</v>
      </c>
      <c r="E1148" s="67" t="s">
        <v>1362</v>
      </c>
      <c r="F1148" s="67" t="s">
        <v>1460</v>
      </c>
      <c r="G1148" s="69">
        <v>11</v>
      </c>
    </row>
    <row r="1149" spans="1:7">
      <c r="A1149" s="67" t="s">
        <v>2631</v>
      </c>
      <c r="B1149" s="70">
        <v>46169</v>
      </c>
      <c r="C1149" s="67" t="s">
        <v>1366</v>
      </c>
      <c r="D1149" s="67" t="s">
        <v>358</v>
      </c>
      <c r="E1149" s="67" t="s">
        <v>1368</v>
      </c>
      <c r="F1149" s="67" t="s">
        <v>1460</v>
      </c>
      <c r="G1149" s="69">
        <v>17</v>
      </c>
    </row>
    <row r="1150" spans="1:7">
      <c r="A1150" s="67" t="s">
        <v>2632</v>
      </c>
      <c r="B1150" s="70">
        <v>46169</v>
      </c>
      <c r="C1150" s="67" t="s">
        <v>1381</v>
      </c>
      <c r="D1150" s="67" t="s">
        <v>363</v>
      </c>
      <c r="E1150" s="67" t="s">
        <v>1368</v>
      </c>
      <c r="F1150" s="67" t="s">
        <v>1462</v>
      </c>
      <c r="G1150" s="69">
        <v>269</v>
      </c>
    </row>
    <row r="1151" spans="1:7">
      <c r="A1151" s="67" t="s">
        <v>2633</v>
      </c>
      <c r="B1151" s="70">
        <v>46169</v>
      </c>
      <c r="C1151" s="67" t="s">
        <v>1384</v>
      </c>
      <c r="D1151" s="67" t="s">
        <v>1602</v>
      </c>
      <c r="E1151" s="67" t="s">
        <v>1386</v>
      </c>
      <c r="F1151" s="67" t="s">
        <v>1462</v>
      </c>
      <c r="G1151" s="69">
        <v>564</v>
      </c>
    </row>
    <row r="1152" spans="1:7">
      <c r="A1152" s="67" t="s">
        <v>2634</v>
      </c>
      <c r="B1152" s="70">
        <v>46169</v>
      </c>
      <c r="C1152" s="67" t="s">
        <v>1389</v>
      </c>
      <c r="D1152" s="67" t="s">
        <v>356</v>
      </c>
      <c r="E1152" s="67" t="s">
        <v>1368</v>
      </c>
      <c r="F1152" s="67" t="s">
        <v>1462</v>
      </c>
      <c r="G1152" s="69">
        <v>255</v>
      </c>
    </row>
    <row r="1153" spans="1:7">
      <c r="A1153" s="67" t="s">
        <v>2635</v>
      </c>
      <c r="B1153" s="70">
        <v>46169</v>
      </c>
      <c r="C1153" s="67" t="s">
        <v>1399</v>
      </c>
      <c r="D1153" s="67" t="s">
        <v>1466</v>
      </c>
      <c r="E1153" s="67" t="s">
        <v>1386</v>
      </c>
      <c r="F1153" s="67" t="s">
        <v>1460</v>
      </c>
      <c r="G1153" s="69">
        <v>23</v>
      </c>
    </row>
    <row r="1154" spans="1:7">
      <c r="A1154" s="67" t="s">
        <v>2636</v>
      </c>
      <c r="B1154" s="70">
        <v>46169</v>
      </c>
      <c r="C1154" s="67" t="s">
        <v>1406</v>
      </c>
      <c r="D1154" s="67" t="s">
        <v>356</v>
      </c>
      <c r="E1154" s="67" t="s">
        <v>1368</v>
      </c>
      <c r="F1154" s="67" t="s">
        <v>1462</v>
      </c>
      <c r="G1154" s="69">
        <v>121</v>
      </c>
    </row>
    <row r="1155" spans="1:7">
      <c r="A1155" s="67" t="s">
        <v>2637</v>
      </c>
      <c r="B1155" s="70">
        <v>46169</v>
      </c>
      <c r="C1155" s="67" t="s">
        <v>1408</v>
      </c>
      <c r="D1155" s="67" t="s">
        <v>1515</v>
      </c>
      <c r="E1155" s="67" t="s">
        <v>1410</v>
      </c>
      <c r="F1155" s="67" t="s">
        <v>1460</v>
      </c>
      <c r="G1155" s="69">
        <v>6</v>
      </c>
    </row>
    <row r="1156" spans="1:7">
      <c r="A1156" s="67" t="s">
        <v>2638</v>
      </c>
      <c r="B1156" s="70">
        <v>46169</v>
      </c>
      <c r="C1156" s="67" t="s">
        <v>1411</v>
      </c>
      <c r="D1156" s="67" t="s">
        <v>1506</v>
      </c>
      <c r="E1156" s="67" t="s">
        <v>1482</v>
      </c>
      <c r="F1156" s="67" t="s">
        <v>1462</v>
      </c>
      <c r="G1156" s="69">
        <v>204</v>
      </c>
    </row>
    <row r="1157" spans="1:7">
      <c r="A1157" s="67" t="s">
        <v>2639</v>
      </c>
      <c r="B1157" s="70">
        <v>46169</v>
      </c>
      <c r="C1157" s="67" t="s">
        <v>1414</v>
      </c>
      <c r="D1157" s="67" t="s">
        <v>1511</v>
      </c>
      <c r="E1157" s="67" t="s">
        <v>1470</v>
      </c>
      <c r="F1157" s="67" t="s">
        <v>1462</v>
      </c>
      <c r="G1157" s="69">
        <v>323</v>
      </c>
    </row>
    <row r="1158" spans="1:7">
      <c r="A1158" s="67" t="s">
        <v>2640</v>
      </c>
      <c r="B1158" s="70">
        <v>46169</v>
      </c>
      <c r="C1158" s="67" t="s">
        <v>1414</v>
      </c>
      <c r="D1158" s="67" t="s">
        <v>1469</v>
      </c>
      <c r="E1158" s="67" t="s">
        <v>1470</v>
      </c>
      <c r="F1158" s="67" t="s">
        <v>1462</v>
      </c>
      <c r="G1158" s="69">
        <v>488</v>
      </c>
    </row>
    <row r="1159" spans="1:7">
      <c r="A1159" s="67" t="s">
        <v>2641</v>
      </c>
      <c r="B1159" s="70">
        <v>46169</v>
      </c>
      <c r="C1159" s="67" t="s">
        <v>1423</v>
      </c>
      <c r="D1159" s="67" t="s">
        <v>367</v>
      </c>
      <c r="E1159" s="67" t="s">
        <v>1368</v>
      </c>
      <c r="F1159" s="67" t="s">
        <v>1462</v>
      </c>
      <c r="G1159" s="69">
        <v>598</v>
      </c>
    </row>
    <row r="1160" spans="1:7">
      <c r="A1160" s="67" t="s">
        <v>2642</v>
      </c>
      <c r="B1160" s="70">
        <v>46169</v>
      </c>
      <c r="C1160" s="67" t="s">
        <v>1425</v>
      </c>
      <c r="D1160" s="67" t="s">
        <v>1491</v>
      </c>
      <c r="E1160" s="67" t="s">
        <v>1470</v>
      </c>
      <c r="F1160" s="67" t="s">
        <v>1460</v>
      </c>
      <c r="G1160" s="69">
        <v>20</v>
      </c>
    </row>
    <row r="1161" spans="1:7">
      <c r="A1161" s="67" t="s">
        <v>2643</v>
      </c>
      <c r="B1161" s="70">
        <v>46169</v>
      </c>
      <c r="C1161" s="67" t="s">
        <v>1427</v>
      </c>
      <c r="D1161" s="67" t="s">
        <v>1459</v>
      </c>
      <c r="E1161" s="67" t="s">
        <v>1362</v>
      </c>
      <c r="F1161" s="67" t="s">
        <v>1460</v>
      </c>
      <c r="G1161" s="69">
        <v>12</v>
      </c>
    </row>
    <row r="1162" spans="1:7">
      <c r="A1162" s="67" t="s">
        <v>2644</v>
      </c>
      <c r="B1162" s="70">
        <v>46169</v>
      </c>
      <c r="C1162" s="67" t="s">
        <v>1429</v>
      </c>
      <c r="D1162" s="67" t="s">
        <v>1511</v>
      </c>
      <c r="E1162" s="67" t="s">
        <v>1470</v>
      </c>
      <c r="F1162" s="67" t="s">
        <v>1462</v>
      </c>
      <c r="G1162" s="69">
        <v>44</v>
      </c>
    </row>
    <row r="1163" spans="1:7">
      <c r="A1163" s="67" t="s">
        <v>2645</v>
      </c>
      <c r="B1163" s="70">
        <v>46169</v>
      </c>
      <c r="C1163" s="67" t="s">
        <v>1448</v>
      </c>
      <c r="D1163" s="67" t="s">
        <v>1618</v>
      </c>
      <c r="E1163" s="67" t="s">
        <v>1433</v>
      </c>
      <c r="F1163" s="67" t="s">
        <v>1462</v>
      </c>
      <c r="G1163" s="69">
        <v>587</v>
      </c>
    </row>
    <row r="1164" spans="1:7">
      <c r="A1164" s="67" t="s">
        <v>2646</v>
      </c>
      <c r="B1164" s="70">
        <v>46170</v>
      </c>
      <c r="C1164" s="67" t="s">
        <v>1359</v>
      </c>
      <c r="D1164" s="67" t="s">
        <v>363</v>
      </c>
      <c r="E1164" s="67" t="s">
        <v>1368</v>
      </c>
      <c r="F1164" s="67" t="s">
        <v>1462</v>
      </c>
      <c r="G1164" s="69">
        <v>376</v>
      </c>
    </row>
    <row r="1165" spans="1:7">
      <c r="A1165" s="67" t="s">
        <v>2647</v>
      </c>
      <c r="B1165" s="70">
        <v>46170</v>
      </c>
      <c r="C1165" s="67" t="s">
        <v>1359</v>
      </c>
      <c r="D1165" s="67" t="s">
        <v>367</v>
      </c>
      <c r="E1165" s="67" t="s">
        <v>1368</v>
      </c>
      <c r="F1165" s="67" t="s">
        <v>1462</v>
      </c>
      <c r="G1165" s="69">
        <v>347</v>
      </c>
    </row>
    <row r="1166" spans="1:7">
      <c r="A1166" s="67" t="s">
        <v>2648</v>
      </c>
      <c r="B1166" s="70">
        <v>46170</v>
      </c>
      <c r="C1166" s="67" t="s">
        <v>1366</v>
      </c>
      <c r="D1166" s="67" t="s">
        <v>365</v>
      </c>
      <c r="E1166" s="67" t="s">
        <v>1368</v>
      </c>
      <c r="F1166" s="67" t="s">
        <v>1462</v>
      </c>
      <c r="G1166" s="69">
        <v>544</v>
      </c>
    </row>
    <row r="1167" spans="1:7">
      <c r="A1167" s="67" t="s">
        <v>2649</v>
      </c>
      <c r="B1167" s="70">
        <v>46170</v>
      </c>
      <c r="C1167" s="67" t="s">
        <v>1366</v>
      </c>
      <c r="D1167" s="67" t="s">
        <v>369</v>
      </c>
      <c r="E1167" s="67" t="s">
        <v>1368</v>
      </c>
      <c r="F1167" s="67" t="s">
        <v>1460</v>
      </c>
      <c r="G1167" s="69">
        <v>6</v>
      </c>
    </row>
    <row r="1168" spans="1:7">
      <c r="A1168" s="67" t="s">
        <v>2650</v>
      </c>
      <c r="B1168" s="70">
        <v>46170</v>
      </c>
      <c r="C1168" s="67" t="s">
        <v>1371</v>
      </c>
      <c r="D1168" s="67" t="s">
        <v>1476</v>
      </c>
      <c r="E1168" s="67" t="s">
        <v>1362</v>
      </c>
      <c r="F1168" s="67" t="s">
        <v>1460</v>
      </c>
      <c r="G1168" s="69">
        <v>30</v>
      </c>
    </row>
    <row r="1169" spans="1:7">
      <c r="A1169" s="67" t="s">
        <v>2651</v>
      </c>
      <c r="B1169" s="70">
        <v>46170</v>
      </c>
      <c r="C1169" s="67" t="s">
        <v>1371</v>
      </c>
      <c r="D1169" s="67" t="s">
        <v>1476</v>
      </c>
      <c r="E1169" s="67" t="s">
        <v>1362</v>
      </c>
      <c r="F1169" s="67" t="s">
        <v>1462</v>
      </c>
      <c r="G1169" s="69">
        <v>455</v>
      </c>
    </row>
    <row r="1170" spans="1:7">
      <c r="A1170" s="67" t="s">
        <v>2652</v>
      </c>
      <c r="B1170" s="70">
        <v>46170</v>
      </c>
      <c r="C1170" s="67" t="s">
        <v>1375</v>
      </c>
      <c r="D1170" s="67" t="s">
        <v>358</v>
      </c>
      <c r="E1170" s="67" t="s">
        <v>1368</v>
      </c>
      <c r="F1170" s="67" t="s">
        <v>1462</v>
      </c>
      <c r="G1170" s="69">
        <v>404</v>
      </c>
    </row>
    <row r="1171" spans="1:7">
      <c r="A1171" s="67" t="s">
        <v>2653</v>
      </c>
      <c r="B1171" s="70">
        <v>46170</v>
      </c>
      <c r="C1171" s="67" t="s">
        <v>1378</v>
      </c>
      <c r="D1171" s="67" t="s">
        <v>363</v>
      </c>
      <c r="E1171" s="67" t="s">
        <v>1368</v>
      </c>
      <c r="F1171" s="67" t="s">
        <v>1462</v>
      </c>
      <c r="G1171" s="69">
        <v>304</v>
      </c>
    </row>
    <row r="1172" spans="1:7">
      <c r="A1172" s="67" t="s">
        <v>2654</v>
      </c>
      <c r="B1172" s="70">
        <v>46170</v>
      </c>
      <c r="C1172" s="67" t="s">
        <v>1378</v>
      </c>
      <c r="D1172" s="67" t="s">
        <v>367</v>
      </c>
      <c r="E1172" s="67" t="s">
        <v>1368</v>
      </c>
      <c r="F1172" s="67" t="s">
        <v>1462</v>
      </c>
      <c r="G1172" s="69">
        <v>305</v>
      </c>
    </row>
    <row r="1173" spans="1:7">
      <c r="A1173" s="67" t="s">
        <v>2655</v>
      </c>
      <c r="B1173" s="70">
        <v>46170</v>
      </c>
      <c r="C1173" s="67" t="s">
        <v>1384</v>
      </c>
      <c r="D1173" s="67" t="s">
        <v>1466</v>
      </c>
      <c r="E1173" s="67" t="s">
        <v>1386</v>
      </c>
      <c r="F1173" s="67" t="s">
        <v>1462</v>
      </c>
      <c r="G1173" s="69">
        <v>526</v>
      </c>
    </row>
    <row r="1174" spans="1:7">
      <c r="A1174" s="67" t="s">
        <v>2656</v>
      </c>
      <c r="B1174" s="70">
        <v>46170</v>
      </c>
      <c r="C1174" s="67" t="s">
        <v>1389</v>
      </c>
      <c r="D1174" s="67" t="s">
        <v>365</v>
      </c>
      <c r="E1174" s="67" t="s">
        <v>1368</v>
      </c>
      <c r="F1174" s="67" t="s">
        <v>1462</v>
      </c>
      <c r="G1174" s="69">
        <v>300</v>
      </c>
    </row>
    <row r="1175" spans="1:7">
      <c r="A1175" s="67" t="s">
        <v>2657</v>
      </c>
      <c r="B1175" s="70">
        <v>46170</v>
      </c>
      <c r="C1175" s="67" t="s">
        <v>1393</v>
      </c>
      <c r="D1175" s="67" t="s">
        <v>365</v>
      </c>
      <c r="E1175" s="67" t="s">
        <v>1368</v>
      </c>
      <c r="F1175" s="67" t="s">
        <v>1462</v>
      </c>
      <c r="G1175" s="69">
        <v>477</v>
      </c>
    </row>
    <row r="1176" spans="1:7">
      <c r="A1176" s="67" t="s">
        <v>2658</v>
      </c>
      <c r="B1176" s="70">
        <v>46170</v>
      </c>
      <c r="C1176" s="67" t="s">
        <v>1401</v>
      </c>
      <c r="D1176" s="67" t="s">
        <v>1551</v>
      </c>
      <c r="E1176" s="67" t="s">
        <v>1362</v>
      </c>
      <c r="F1176" s="67" t="s">
        <v>1462</v>
      </c>
      <c r="G1176" s="69">
        <v>71</v>
      </c>
    </row>
    <row r="1177" spans="1:7">
      <c r="A1177" s="67" t="s">
        <v>2659</v>
      </c>
      <c r="B1177" s="70">
        <v>46170</v>
      </c>
      <c r="C1177" s="67" t="s">
        <v>1404</v>
      </c>
      <c r="D1177" s="67" t="s">
        <v>369</v>
      </c>
      <c r="E1177" s="67" t="s">
        <v>1368</v>
      </c>
      <c r="F1177" s="67" t="s">
        <v>1462</v>
      </c>
      <c r="G1177" s="69">
        <v>423</v>
      </c>
    </row>
    <row r="1178" spans="1:7">
      <c r="A1178" s="67" t="s">
        <v>2660</v>
      </c>
      <c r="B1178" s="70">
        <v>46170</v>
      </c>
      <c r="C1178" s="67" t="s">
        <v>1404</v>
      </c>
      <c r="D1178" s="67" t="s">
        <v>1491</v>
      </c>
      <c r="E1178" s="67" t="s">
        <v>1470</v>
      </c>
      <c r="F1178" s="67" t="s">
        <v>1488</v>
      </c>
      <c r="G1178" s="69">
        <v>3</v>
      </c>
    </row>
    <row r="1179" spans="1:7">
      <c r="A1179" s="67" t="s">
        <v>2661</v>
      </c>
      <c r="B1179" s="70">
        <v>46170</v>
      </c>
      <c r="C1179" s="67" t="s">
        <v>1406</v>
      </c>
      <c r="D1179" s="67" t="s">
        <v>353</v>
      </c>
      <c r="E1179" s="67" t="s">
        <v>1368</v>
      </c>
      <c r="F1179" s="67" t="s">
        <v>1462</v>
      </c>
      <c r="G1179" s="69">
        <v>577</v>
      </c>
    </row>
    <row r="1180" spans="1:7">
      <c r="A1180" s="67" t="s">
        <v>2662</v>
      </c>
      <c r="B1180" s="70">
        <v>46170</v>
      </c>
      <c r="C1180" s="67" t="s">
        <v>1411</v>
      </c>
      <c r="D1180" s="67" t="s">
        <v>1506</v>
      </c>
      <c r="E1180" s="67" t="s">
        <v>1482</v>
      </c>
      <c r="F1180" s="67" t="s">
        <v>1462</v>
      </c>
      <c r="G1180" s="69">
        <v>281</v>
      </c>
    </row>
    <row r="1181" spans="1:7">
      <c r="A1181" s="67" t="s">
        <v>2663</v>
      </c>
      <c r="B1181" s="70">
        <v>46170</v>
      </c>
      <c r="C1181" s="67" t="s">
        <v>1411</v>
      </c>
      <c r="D1181" s="67" t="s">
        <v>1506</v>
      </c>
      <c r="E1181" s="67" t="s">
        <v>1482</v>
      </c>
      <c r="F1181" s="67" t="s">
        <v>1462</v>
      </c>
      <c r="G1181" s="69">
        <v>398</v>
      </c>
    </row>
    <row r="1182" spans="1:7">
      <c r="A1182" s="67" t="s">
        <v>2664</v>
      </c>
      <c r="B1182" s="70">
        <v>46170</v>
      </c>
      <c r="C1182" s="67" t="s">
        <v>1411</v>
      </c>
      <c r="D1182" s="67" t="s">
        <v>1506</v>
      </c>
      <c r="E1182" s="67" t="s">
        <v>1482</v>
      </c>
      <c r="F1182" s="67" t="s">
        <v>1462</v>
      </c>
      <c r="G1182" s="69">
        <v>445</v>
      </c>
    </row>
    <row r="1183" spans="1:7">
      <c r="A1183" s="67" t="s">
        <v>2665</v>
      </c>
      <c r="B1183" s="70">
        <v>46170</v>
      </c>
      <c r="C1183" s="67" t="s">
        <v>1414</v>
      </c>
      <c r="D1183" s="67" t="s">
        <v>1484</v>
      </c>
      <c r="E1183" s="67" t="s">
        <v>1470</v>
      </c>
      <c r="F1183" s="67" t="s">
        <v>1460</v>
      </c>
      <c r="G1183" s="69">
        <v>5</v>
      </c>
    </row>
    <row r="1184" spans="1:7">
      <c r="A1184" s="67" t="s">
        <v>2666</v>
      </c>
      <c r="B1184" s="70">
        <v>46170</v>
      </c>
      <c r="C1184" s="67" t="s">
        <v>1423</v>
      </c>
      <c r="D1184" s="67" t="s">
        <v>1487</v>
      </c>
      <c r="E1184" s="67" t="s">
        <v>1410</v>
      </c>
      <c r="F1184" s="67" t="s">
        <v>1462</v>
      </c>
      <c r="G1184" s="69">
        <v>371</v>
      </c>
    </row>
    <row r="1185" spans="1:7">
      <c r="A1185" s="67" t="s">
        <v>2667</v>
      </c>
      <c r="B1185" s="70">
        <v>46170</v>
      </c>
      <c r="C1185" s="67" t="s">
        <v>1429</v>
      </c>
      <c r="D1185" s="67" t="s">
        <v>363</v>
      </c>
      <c r="E1185" s="67" t="s">
        <v>1368</v>
      </c>
      <c r="F1185" s="67" t="s">
        <v>1460</v>
      </c>
      <c r="G1185" s="69">
        <v>22</v>
      </c>
    </row>
    <row r="1186" spans="1:7">
      <c r="A1186" s="67" t="s">
        <v>2668</v>
      </c>
      <c r="B1186" s="70">
        <v>46170</v>
      </c>
      <c r="C1186" s="67" t="s">
        <v>1442</v>
      </c>
      <c r="D1186" s="67" t="s">
        <v>1466</v>
      </c>
      <c r="E1186" s="67" t="s">
        <v>1386</v>
      </c>
      <c r="F1186" s="67" t="s">
        <v>1462</v>
      </c>
      <c r="G1186" s="69">
        <v>320</v>
      </c>
    </row>
    <row r="1187" spans="1:7">
      <c r="A1187" s="67" t="s">
        <v>2669</v>
      </c>
      <c r="B1187" s="70">
        <v>46170</v>
      </c>
      <c r="C1187" s="67" t="s">
        <v>1444</v>
      </c>
      <c r="D1187" s="67" t="s">
        <v>369</v>
      </c>
      <c r="E1187" s="67" t="s">
        <v>1368</v>
      </c>
      <c r="F1187" s="67" t="s">
        <v>1460</v>
      </c>
      <c r="G1187" s="69">
        <v>19</v>
      </c>
    </row>
    <row r="1188" spans="1:7">
      <c r="A1188" s="67" t="s">
        <v>2670</v>
      </c>
      <c r="B1188" s="70">
        <v>46171</v>
      </c>
      <c r="C1188" s="67" t="s">
        <v>1366</v>
      </c>
      <c r="D1188" s="67" t="s">
        <v>365</v>
      </c>
      <c r="E1188" s="67" t="s">
        <v>1368</v>
      </c>
      <c r="F1188" s="67" t="s">
        <v>1462</v>
      </c>
      <c r="G1188" s="69">
        <v>599</v>
      </c>
    </row>
    <row r="1189" spans="1:7">
      <c r="A1189" s="67" t="s">
        <v>2671</v>
      </c>
      <c r="B1189" s="70">
        <v>46171</v>
      </c>
      <c r="C1189" s="67" t="s">
        <v>1366</v>
      </c>
      <c r="D1189" s="67" t="s">
        <v>367</v>
      </c>
      <c r="E1189" s="67" t="s">
        <v>1368</v>
      </c>
      <c r="F1189" s="67" t="s">
        <v>1488</v>
      </c>
      <c r="G1189" s="69">
        <v>8</v>
      </c>
    </row>
    <row r="1190" spans="1:7">
      <c r="A1190" s="67" t="s">
        <v>2672</v>
      </c>
      <c r="B1190" s="70">
        <v>46171</v>
      </c>
      <c r="C1190" s="67" t="s">
        <v>1366</v>
      </c>
      <c r="D1190" s="67" t="s">
        <v>1491</v>
      </c>
      <c r="E1190" s="67" t="s">
        <v>1470</v>
      </c>
      <c r="F1190" s="67" t="s">
        <v>1462</v>
      </c>
      <c r="G1190" s="69">
        <v>356</v>
      </c>
    </row>
    <row r="1191" spans="1:7">
      <c r="A1191" s="67" t="s">
        <v>2673</v>
      </c>
      <c r="B1191" s="70">
        <v>46171</v>
      </c>
      <c r="C1191" s="67" t="s">
        <v>1371</v>
      </c>
      <c r="D1191" s="67" t="s">
        <v>1466</v>
      </c>
      <c r="E1191" s="67" t="s">
        <v>1386</v>
      </c>
      <c r="F1191" s="67" t="s">
        <v>1462</v>
      </c>
      <c r="G1191" s="69">
        <v>161</v>
      </c>
    </row>
    <row r="1192" spans="1:7">
      <c r="A1192" s="67" t="s">
        <v>2674</v>
      </c>
      <c r="B1192" s="70">
        <v>46171</v>
      </c>
      <c r="C1192" s="67" t="s">
        <v>1371</v>
      </c>
      <c r="D1192" s="67" t="s">
        <v>1551</v>
      </c>
      <c r="E1192" s="67" t="s">
        <v>1362</v>
      </c>
      <c r="F1192" s="67" t="s">
        <v>1460</v>
      </c>
      <c r="G1192" s="69">
        <v>23</v>
      </c>
    </row>
    <row r="1193" spans="1:7">
      <c r="A1193" s="67" t="s">
        <v>2675</v>
      </c>
      <c r="B1193" s="70">
        <v>46171</v>
      </c>
      <c r="C1193" s="67" t="s">
        <v>1371</v>
      </c>
      <c r="D1193" s="67" t="s">
        <v>1459</v>
      </c>
      <c r="E1193" s="67" t="s">
        <v>1362</v>
      </c>
      <c r="F1193" s="67" t="s">
        <v>1462</v>
      </c>
      <c r="G1193" s="69">
        <v>539</v>
      </c>
    </row>
    <row r="1194" spans="1:7">
      <c r="A1194" s="67" t="s">
        <v>2676</v>
      </c>
      <c r="B1194" s="70">
        <v>46171</v>
      </c>
      <c r="C1194" s="67" t="s">
        <v>1371</v>
      </c>
      <c r="D1194" s="67" t="s">
        <v>358</v>
      </c>
      <c r="E1194" s="67" t="s">
        <v>1368</v>
      </c>
      <c r="F1194" s="67" t="s">
        <v>1488</v>
      </c>
      <c r="G1194" s="69">
        <v>3</v>
      </c>
    </row>
    <row r="1195" spans="1:7">
      <c r="A1195" s="67" t="s">
        <v>2677</v>
      </c>
      <c r="B1195" s="70">
        <v>46171</v>
      </c>
      <c r="C1195" s="67" t="s">
        <v>1381</v>
      </c>
      <c r="D1195" s="67" t="s">
        <v>1484</v>
      </c>
      <c r="E1195" s="67" t="s">
        <v>1470</v>
      </c>
      <c r="F1195" s="67" t="s">
        <v>1462</v>
      </c>
      <c r="G1195" s="69">
        <v>20</v>
      </c>
    </row>
    <row r="1196" spans="1:7">
      <c r="A1196" s="67" t="s">
        <v>2678</v>
      </c>
      <c r="B1196" s="70">
        <v>46171</v>
      </c>
      <c r="C1196" s="67" t="s">
        <v>1381</v>
      </c>
      <c r="D1196" s="67" t="s">
        <v>367</v>
      </c>
      <c r="E1196" s="67" t="s">
        <v>1368</v>
      </c>
      <c r="F1196" s="67" t="s">
        <v>1462</v>
      </c>
      <c r="G1196" s="69">
        <v>257</v>
      </c>
    </row>
    <row r="1197" spans="1:7">
      <c r="A1197" s="67" t="s">
        <v>2679</v>
      </c>
      <c r="B1197" s="70">
        <v>46171</v>
      </c>
      <c r="C1197" s="67" t="s">
        <v>1381</v>
      </c>
      <c r="D1197" s="67" t="s">
        <v>358</v>
      </c>
      <c r="E1197" s="67" t="s">
        <v>1368</v>
      </c>
      <c r="F1197" s="67" t="s">
        <v>1462</v>
      </c>
      <c r="G1197" s="69">
        <v>42</v>
      </c>
    </row>
    <row r="1198" spans="1:7">
      <c r="A1198" s="67" t="s">
        <v>2680</v>
      </c>
      <c r="B1198" s="70">
        <v>46171</v>
      </c>
      <c r="C1198" s="67" t="s">
        <v>1399</v>
      </c>
      <c r="D1198" s="67" t="s">
        <v>1551</v>
      </c>
      <c r="E1198" s="67" t="s">
        <v>1362</v>
      </c>
      <c r="F1198" s="67" t="s">
        <v>1460</v>
      </c>
      <c r="G1198" s="69">
        <v>30</v>
      </c>
    </row>
    <row r="1199" spans="1:7">
      <c r="A1199" s="67" t="s">
        <v>2681</v>
      </c>
      <c r="B1199" s="70">
        <v>46171</v>
      </c>
      <c r="C1199" s="67" t="s">
        <v>1401</v>
      </c>
      <c r="D1199" s="67" t="s">
        <v>353</v>
      </c>
      <c r="E1199" s="67" t="s">
        <v>1368</v>
      </c>
      <c r="F1199" s="67" t="s">
        <v>1462</v>
      </c>
      <c r="G1199" s="69">
        <v>58</v>
      </c>
    </row>
    <row r="1200" spans="1:7">
      <c r="A1200" s="67" t="s">
        <v>2682</v>
      </c>
      <c r="B1200" s="70">
        <v>46171</v>
      </c>
      <c r="C1200" s="67" t="s">
        <v>1404</v>
      </c>
      <c r="D1200" s="67" t="s">
        <v>358</v>
      </c>
      <c r="E1200" s="67" t="s">
        <v>1368</v>
      </c>
      <c r="F1200" s="67" t="s">
        <v>1460</v>
      </c>
      <c r="G1200" s="69">
        <v>17</v>
      </c>
    </row>
    <row r="1201" spans="1:7">
      <c r="A1201" s="67" t="s">
        <v>2683</v>
      </c>
      <c r="B1201" s="70">
        <v>46171</v>
      </c>
      <c r="C1201" s="67" t="s">
        <v>1411</v>
      </c>
      <c r="D1201" s="67" t="s">
        <v>369</v>
      </c>
      <c r="E1201" s="67" t="s">
        <v>1368</v>
      </c>
      <c r="F1201" s="67" t="s">
        <v>1462</v>
      </c>
      <c r="G1201" s="69">
        <v>21</v>
      </c>
    </row>
    <row r="1202" spans="1:7">
      <c r="A1202" s="67" t="s">
        <v>2684</v>
      </c>
      <c r="B1202" s="70">
        <v>46171</v>
      </c>
      <c r="C1202" s="67" t="s">
        <v>1411</v>
      </c>
      <c r="D1202" s="67" t="s">
        <v>1506</v>
      </c>
      <c r="E1202" s="67" t="s">
        <v>1482</v>
      </c>
      <c r="F1202" s="67" t="s">
        <v>1462</v>
      </c>
      <c r="G1202" s="69">
        <v>361</v>
      </c>
    </row>
    <row r="1203" spans="1:7">
      <c r="A1203" s="67" t="s">
        <v>2685</v>
      </c>
      <c r="B1203" s="70">
        <v>46171</v>
      </c>
      <c r="C1203" s="67" t="s">
        <v>1414</v>
      </c>
      <c r="D1203" s="67" t="s">
        <v>1511</v>
      </c>
      <c r="E1203" s="67" t="s">
        <v>1470</v>
      </c>
      <c r="F1203" s="67" t="s">
        <v>1462</v>
      </c>
      <c r="G1203" s="69">
        <v>270</v>
      </c>
    </row>
    <row r="1204" spans="1:7">
      <c r="A1204" s="67" t="s">
        <v>2686</v>
      </c>
      <c r="B1204" s="70">
        <v>46171</v>
      </c>
      <c r="C1204" s="67" t="s">
        <v>1414</v>
      </c>
      <c r="D1204" s="67" t="s">
        <v>1511</v>
      </c>
      <c r="E1204" s="67" t="s">
        <v>1470</v>
      </c>
      <c r="F1204" s="67" t="s">
        <v>1462</v>
      </c>
      <c r="G1204" s="69">
        <v>235</v>
      </c>
    </row>
    <row r="1205" spans="1:7">
      <c r="A1205" s="67" t="s">
        <v>2687</v>
      </c>
      <c r="B1205" s="70">
        <v>46171</v>
      </c>
      <c r="C1205" s="67" t="s">
        <v>1414</v>
      </c>
      <c r="D1205" s="67" t="s">
        <v>1491</v>
      </c>
      <c r="E1205" s="67" t="s">
        <v>1470</v>
      </c>
      <c r="F1205" s="67" t="s">
        <v>1462</v>
      </c>
      <c r="G1205" s="69">
        <v>570</v>
      </c>
    </row>
    <row r="1206" spans="1:7">
      <c r="A1206" s="67" t="s">
        <v>2688</v>
      </c>
      <c r="B1206" s="70">
        <v>46171</v>
      </c>
      <c r="C1206" s="67" t="s">
        <v>1419</v>
      </c>
      <c r="D1206" s="67" t="s">
        <v>356</v>
      </c>
      <c r="E1206" s="67" t="s">
        <v>1368</v>
      </c>
      <c r="F1206" s="67" t="s">
        <v>1460</v>
      </c>
      <c r="G1206" s="69">
        <v>23</v>
      </c>
    </row>
    <row r="1207" spans="1:7">
      <c r="A1207" s="67" t="s">
        <v>2689</v>
      </c>
      <c r="B1207" s="70">
        <v>46171</v>
      </c>
      <c r="C1207" s="67" t="s">
        <v>1423</v>
      </c>
      <c r="D1207" s="67" t="s">
        <v>1479</v>
      </c>
      <c r="E1207" s="67" t="s">
        <v>1410</v>
      </c>
      <c r="F1207" s="67" t="s">
        <v>1462</v>
      </c>
      <c r="G1207" s="69">
        <v>48</v>
      </c>
    </row>
    <row r="1208" spans="1:7">
      <c r="A1208" s="67" t="s">
        <v>2690</v>
      </c>
      <c r="B1208" s="70">
        <v>46171</v>
      </c>
      <c r="C1208" s="67" t="s">
        <v>1425</v>
      </c>
      <c r="D1208" s="67" t="s">
        <v>1511</v>
      </c>
      <c r="E1208" s="67" t="s">
        <v>1470</v>
      </c>
      <c r="F1208" s="67" t="s">
        <v>1488</v>
      </c>
      <c r="G1208" s="69">
        <v>8</v>
      </c>
    </row>
    <row r="1209" spans="1:7">
      <c r="A1209" s="67" t="s">
        <v>2691</v>
      </c>
      <c r="B1209" s="70">
        <v>46171</v>
      </c>
      <c r="C1209" s="67" t="s">
        <v>1429</v>
      </c>
      <c r="D1209" s="67" t="s">
        <v>1484</v>
      </c>
      <c r="E1209" s="67" t="s">
        <v>1470</v>
      </c>
      <c r="F1209" s="67" t="s">
        <v>1462</v>
      </c>
      <c r="G1209" s="69">
        <v>447</v>
      </c>
    </row>
    <row r="1210" spans="1:7">
      <c r="A1210" s="67" t="s">
        <v>2692</v>
      </c>
      <c r="B1210" s="70">
        <v>46171</v>
      </c>
      <c r="C1210" s="67" t="s">
        <v>1431</v>
      </c>
      <c r="D1210" s="67" t="s">
        <v>1618</v>
      </c>
      <c r="E1210" s="67" t="s">
        <v>1433</v>
      </c>
      <c r="F1210" s="67" t="s">
        <v>1460</v>
      </c>
      <c r="G1210" s="69">
        <v>23</v>
      </c>
    </row>
    <row r="1211" spans="1:7">
      <c r="A1211" s="67" t="s">
        <v>2693</v>
      </c>
      <c r="B1211" s="70">
        <v>46171</v>
      </c>
      <c r="C1211" s="67" t="s">
        <v>1442</v>
      </c>
      <c r="D1211" s="67" t="s">
        <v>1476</v>
      </c>
      <c r="E1211" s="67" t="s">
        <v>1362</v>
      </c>
      <c r="F1211" s="67" t="s">
        <v>1460</v>
      </c>
      <c r="G1211" s="69">
        <v>15</v>
      </c>
    </row>
    <row r="1212" spans="1:7">
      <c r="A1212" s="67" t="s">
        <v>2694</v>
      </c>
      <c r="B1212" s="70">
        <v>46172</v>
      </c>
      <c r="C1212" s="67" t="s">
        <v>1359</v>
      </c>
      <c r="D1212" s="67" t="s">
        <v>1466</v>
      </c>
      <c r="E1212" s="67" t="s">
        <v>1386</v>
      </c>
      <c r="F1212" s="67" t="s">
        <v>1462</v>
      </c>
      <c r="G1212" s="69">
        <v>494</v>
      </c>
    </row>
    <row r="1213" spans="1:7">
      <c r="A1213" s="67" t="s">
        <v>2695</v>
      </c>
      <c r="B1213" s="70">
        <v>46172</v>
      </c>
      <c r="C1213" s="67" t="s">
        <v>1366</v>
      </c>
      <c r="D1213" s="67" t="s">
        <v>1476</v>
      </c>
      <c r="E1213" s="67" t="s">
        <v>1362</v>
      </c>
      <c r="F1213" s="67" t="s">
        <v>1462</v>
      </c>
      <c r="G1213" s="69">
        <v>278</v>
      </c>
    </row>
    <row r="1214" spans="1:7">
      <c r="A1214" s="67" t="s">
        <v>2696</v>
      </c>
      <c r="B1214" s="70">
        <v>46172</v>
      </c>
      <c r="C1214" s="67" t="s">
        <v>1366</v>
      </c>
      <c r="D1214" s="67" t="s">
        <v>367</v>
      </c>
      <c r="E1214" s="67" t="s">
        <v>1368</v>
      </c>
      <c r="F1214" s="67" t="s">
        <v>1462</v>
      </c>
      <c r="G1214" s="69">
        <v>582</v>
      </c>
    </row>
    <row r="1215" spans="1:7">
      <c r="A1215" s="67" t="s">
        <v>2697</v>
      </c>
      <c r="B1215" s="70">
        <v>46172</v>
      </c>
      <c r="C1215" s="67" t="s">
        <v>1375</v>
      </c>
      <c r="D1215" s="67" t="s">
        <v>1484</v>
      </c>
      <c r="E1215" s="67" t="s">
        <v>1470</v>
      </c>
      <c r="F1215" s="67" t="s">
        <v>1462</v>
      </c>
      <c r="G1215" s="69">
        <v>114</v>
      </c>
    </row>
    <row r="1216" spans="1:7">
      <c r="A1216" s="67" t="s">
        <v>2698</v>
      </c>
      <c r="B1216" s="70">
        <v>46172</v>
      </c>
      <c r="C1216" s="67" t="s">
        <v>1378</v>
      </c>
      <c r="D1216" s="67" t="s">
        <v>1551</v>
      </c>
      <c r="E1216" s="67" t="s">
        <v>1362</v>
      </c>
      <c r="F1216" s="67" t="s">
        <v>1462</v>
      </c>
      <c r="G1216" s="69">
        <v>241</v>
      </c>
    </row>
    <row r="1217" spans="1:7">
      <c r="A1217" s="67" t="s">
        <v>2699</v>
      </c>
      <c r="B1217" s="70">
        <v>46172</v>
      </c>
      <c r="C1217" s="67" t="s">
        <v>1381</v>
      </c>
      <c r="D1217" s="67" t="s">
        <v>353</v>
      </c>
      <c r="E1217" s="67" t="s">
        <v>1368</v>
      </c>
      <c r="F1217" s="67" t="s">
        <v>1462</v>
      </c>
      <c r="G1217" s="69">
        <v>306</v>
      </c>
    </row>
    <row r="1218" spans="1:7">
      <c r="A1218" s="67" t="s">
        <v>2700</v>
      </c>
      <c r="B1218" s="70">
        <v>46172</v>
      </c>
      <c r="C1218" s="67" t="s">
        <v>1381</v>
      </c>
      <c r="D1218" s="67" t="s">
        <v>1511</v>
      </c>
      <c r="E1218" s="67" t="s">
        <v>1470</v>
      </c>
      <c r="F1218" s="67" t="s">
        <v>1462</v>
      </c>
      <c r="G1218" s="69">
        <v>504</v>
      </c>
    </row>
    <row r="1219" spans="1:7">
      <c r="A1219" s="67" t="s">
        <v>2701</v>
      </c>
      <c r="B1219" s="70">
        <v>46172</v>
      </c>
      <c r="C1219" s="67" t="s">
        <v>1381</v>
      </c>
      <c r="D1219" s="67" t="s">
        <v>1459</v>
      </c>
      <c r="E1219" s="67" t="s">
        <v>1362</v>
      </c>
      <c r="F1219" s="67" t="s">
        <v>1462</v>
      </c>
      <c r="G1219" s="69">
        <v>544</v>
      </c>
    </row>
    <row r="1220" spans="1:7">
      <c r="A1220" s="67" t="s">
        <v>2702</v>
      </c>
      <c r="B1220" s="70">
        <v>46172</v>
      </c>
      <c r="C1220" s="67" t="s">
        <v>1381</v>
      </c>
      <c r="D1220" s="67" t="s">
        <v>358</v>
      </c>
      <c r="E1220" s="67" t="s">
        <v>1368</v>
      </c>
      <c r="F1220" s="67" t="s">
        <v>1462</v>
      </c>
      <c r="G1220" s="69">
        <v>506</v>
      </c>
    </row>
    <row r="1221" spans="1:7">
      <c r="A1221" s="67" t="s">
        <v>2703</v>
      </c>
      <c r="B1221" s="70">
        <v>46172</v>
      </c>
      <c r="C1221" s="67" t="s">
        <v>1389</v>
      </c>
      <c r="D1221" s="67" t="s">
        <v>1511</v>
      </c>
      <c r="E1221" s="67" t="s">
        <v>1470</v>
      </c>
      <c r="F1221" s="67" t="s">
        <v>1460</v>
      </c>
      <c r="G1221" s="69">
        <v>8</v>
      </c>
    </row>
    <row r="1222" spans="1:7">
      <c r="A1222" s="67" t="s">
        <v>2704</v>
      </c>
      <c r="B1222" s="70">
        <v>46172</v>
      </c>
      <c r="C1222" s="67" t="s">
        <v>1393</v>
      </c>
      <c r="D1222" s="67" t="s">
        <v>356</v>
      </c>
      <c r="E1222" s="67" t="s">
        <v>1368</v>
      </c>
      <c r="F1222" s="67" t="s">
        <v>1462</v>
      </c>
      <c r="G1222" s="69">
        <v>25</v>
      </c>
    </row>
    <row r="1223" spans="1:7">
      <c r="A1223" s="67" t="s">
        <v>2705</v>
      </c>
      <c r="B1223" s="70">
        <v>46172</v>
      </c>
      <c r="C1223" s="67" t="s">
        <v>1399</v>
      </c>
      <c r="D1223" s="67" t="s">
        <v>1459</v>
      </c>
      <c r="E1223" s="67" t="s">
        <v>1362</v>
      </c>
      <c r="F1223" s="67" t="s">
        <v>1462</v>
      </c>
      <c r="G1223" s="69">
        <v>513</v>
      </c>
    </row>
    <row r="1224" spans="1:7">
      <c r="A1224" s="67" t="s">
        <v>2706</v>
      </c>
      <c r="B1224" s="70">
        <v>46172</v>
      </c>
      <c r="C1224" s="67" t="s">
        <v>1404</v>
      </c>
      <c r="D1224" s="67" t="s">
        <v>363</v>
      </c>
      <c r="E1224" s="67" t="s">
        <v>1368</v>
      </c>
      <c r="F1224" s="67" t="s">
        <v>1462</v>
      </c>
      <c r="G1224" s="69">
        <v>148</v>
      </c>
    </row>
    <row r="1225" spans="1:7">
      <c r="A1225" s="67" t="s">
        <v>2707</v>
      </c>
      <c r="B1225" s="70">
        <v>46172</v>
      </c>
      <c r="C1225" s="67" t="s">
        <v>1404</v>
      </c>
      <c r="D1225" s="67" t="s">
        <v>1484</v>
      </c>
      <c r="E1225" s="67" t="s">
        <v>1470</v>
      </c>
      <c r="F1225" s="67" t="s">
        <v>1462</v>
      </c>
      <c r="G1225" s="69">
        <v>206</v>
      </c>
    </row>
    <row r="1226" spans="1:7">
      <c r="A1226" s="67" t="s">
        <v>2708</v>
      </c>
      <c r="B1226" s="70">
        <v>46172</v>
      </c>
      <c r="C1226" s="67" t="s">
        <v>1404</v>
      </c>
      <c r="D1226" s="67" t="s">
        <v>367</v>
      </c>
      <c r="E1226" s="67" t="s">
        <v>1368</v>
      </c>
      <c r="F1226" s="67" t="s">
        <v>1462</v>
      </c>
      <c r="G1226" s="69">
        <v>201</v>
      </c>
    </row>
    <row r="1227" spans="1:7">
      <c r="A1227" s="67" t="s">
        <v>2709</v>
      </c>
      <c r="B1227" s="70">
        <v>46172</v>
      </c>
      <c r="C1227" s="67" t="s">
        <v>1408</v>
      </c>
      <c r="D1227" s="67" t="s">
        <v>1479</v>
      </c>
      <c r="E1227" s="67" t="s">
        <v>1410</v>
      </c>
      <c r="F1227" s="67" t="s">
        <v>1460</v>
      </c>
      <c r="G1227" s="69">
        <v>19</v>
      </c>
    </row>
    <row r="1228" spans="1:7">
      <c r="A1228" s="67" t="s">
        <v>2710</v>
      </c>
      <c r="B1228" s="70">
        <v>46172</v>
      </c>
      <c r="C1228" s="67" t="s">
        <v>1411</v>
      </c>
      <c r="D1228" s="67" t="s">
        <v>1481</v>
      </c>
      <c r="E1228" s="67" t="s">
        <v>1482</v>
      </c>
      <c r="F1228" s="67" t="s">
        <v>1460</v>
      </c>
      <c r="G1228" s="69">
        <v>13</v>
      </c>
    </row>
    <row r="1229" spans="1:7">
      <c r="A1229" s="67" t="s">
        <v>2711</v>
      </c>
      <c r="B1229" s="70">
        <v>46172</v>
      </c>
      <c r="C1229" s="67" t="s">
        <v>1414</v>
      </c>
      <c r="D1229" s="67" t="s">
        <v>1607</v>
      </c>
      <c r="E1229" s="67" t="s">
        <v>1470</v>
      </c>
      <c r="F1229" s="67" t="s">
        <v>1488</v>
      </c>
      <c r="G1229" s="69">
        <v>3</v>
      </c>
    </row>
    <row r="1230" spans="1:7">
      <c r="A1230" s="67" t="s">
        <v>2712</v>
      </c>
      <c r="B1230" s="70">
        <v>46172</v>
      </c>
      <c r="C1230" s="67" t="s">
        <v>1444</v>
      </c>
      <c r="D1230" s="67" t="s">
        <v>1459</v>
      </c>
      <c r="E1230" s="67" t="s">
        <v>1362</v>
      </c>
      <c r="F1230" s="67" t="s">
        <v>1462</v>
      </c>
      <c r="G1230" s="69">
        <v>181</v>
      </c>
    </row>
    <row r="1231" spans="1:7">
      <c r="A1231" s="67" t="s">
        <v>2713</v>
      </c>
      <c r="B1231" s="70">
        <v>46172</v>
      </c>
      <c r="C1231" s="67" t="s">
        <v>1446</v>
      </c>
      <c r="D1231" s="67" t="s">
        <v>1476</v>
      </c>
      <c r="E1231" s="67" t="s">
        <v>1362</v>
      </c>
      <c r="F1231" s="67" t="s">
        <v>1462</v>
      </c>
      <c r="G1231" s="69">
        <v>134</v>
      </c>
    </row>
    <row r="1232" spans="1:7">
      <c r="A1232" s="67" t="s">
        <v>2714</v>
      </c>
      <c r="B1232" s="70">
        <v>46173</v>
      </c>
      <c r="C1232" s="67" t="s">
        <v>1359</v>
      </c>
      <c r="D1232" s="67" t="s">
        <v>1551</v>
      </c>
      <c r="E1232" s="67" t="s">
        <v>1362</v>
      </c>
      <c r="F1232" s="67" t="s">
        <v>1462</v>
      </c>
      <c r="G1232" s="69">
        <v>442</v>
      </c>
    </row>
    <row r="1233" spans="1:7">
      <c r="A1233" s="67" t="s">
        <v>2715</v>
      </c>
      <c r="B1233" s="70">
        <v>46173</v>
      </c>
      <c r="C1233" s="67" t="s">
        <v>1359</v>
      </c>
      <c r="D1233" s="67" t="s">
        <v>1602</v>
      </c>
      <c r="E1233" s="67" t="s">
        <v>1386</v>
      </c>
      <c r="F1233" s="67" t="s">
        <v>1462</v>
      </c>
      <c r="G1233" s="69">
        <v>78</v>
      </c>
    </row>
    <row r="1234" spans="1:7">
      <c r="A1234" s="67" t="s">
        <v>2716</v>
      </c>
      <c r="B1234" s="70">
        <v>46173</v>
      </c>
      <c r="C1234" s="67" t="s">
        <v>1366</v>
      </c>
      <c r="D1234" s="67" t="s">
        <v>360</v>
      </c>
      <c r="E1234" s="67" t="s">
        <v>1368</v>
      </c>
      <c r="F1234" s="67" t="s">
        <v>1462</v>
      </c>
      <c r="G1234" s="69">
        <v>186</v>
      </c>
    </row>
    <row r="1235" spans="1:7">
      <c r="A1235" s="67" t="s">
        <v>2717</v>
      </c>
      <c r="B1235" s="70">
        <v>46173</v>
      </c>
      <c r="C1235" s="67" t="s">
        <v>1366</v>
      </c>
      <c r="D1235" s="67" t="s">
        <v>365</v>
      </c>
      <c r="E1235" s="67" t="s">
        <v>1368</v>
      </c>
      <c r="F1235" s="67" t="s">
        <v>1462</v>
      </c>
      <c r="G1235" s="69">
        <v>594</v>
      </c>
    </row>
    <row r="1236" spans="1:7">
      <c r="A1236" s="67" t="s">
        <v>2718</v>
      </c>
      <c r="B1236" s="70">
        <v>46173</v>
      </c>
      <c r="C1236" s="67" t="s">
        <v>1366</v>
      </c>
      <c r="D1236" s="67" t="s">
        <v>1459</v>
      </c>
      <c r="E1236" s="67" t="s">
        <v>1362</v>
      </c>
      <c r="F1236" s="67" t="s">
        <v>1462</v>
      </c>
      <c r="G1236" s="69">
        <v>436</v>
      </c>
    </row>
    <row r="1237" spans="1:7">
      <c r="A1237" s="67" t="s">
        <v>2719</v>
      </c>
      <c r="B1237" s="70">
        <v>46173</v>
      </c>
      <c r="C1237" s="67" t="s">
        <v>1371</v>
      </c>
      <c r="D1237" s="67" t="s">
        <v>1476</v>
      </c>
      <c r="E1237" s="67" t="s">
        <v>1362</v>
      </c>
      <c r="F1237" s="67" t="s">
        <v>1460</v>
      </c>
      <c r="G1237" s="69">
        <v>12</v>
      </c>
    </row>
    <row r="1238" spans="1:7">
      <c r="A1238" s="67" t="s">
        <v>2720</v>
      </c>
      <c r="B1238" s="70">
        <v>46173</v>
      </c>
      <c r="C1238" s="67" t="s">
        <v>1371</v>
      </c>
      <c r="D1238" s="67" t="s">
        <v>367</v>
      </c>
      <c r="E1238" s="67" t="s">
        <v>1368</v>
      </c>
      <c r="F1238" s="67" t="s">
        <v>1488</v>
      </c>
      <c r="G1238" s="69">
        <v>3</v>
      </c>
    </row>
    <row r="1239" spans="1:7">
      <c r="A1239" s="67" t="s">
        <v>2721</v>
      </c>
      <c r="B1239" s="70">
        <v>46173</v>
      </c>
      <c r="C1239" s="67" t="s">
        <v>1371</v>
      </c>
      <c r="D1239" s="67" t="s">
        <v>1551</v>
      </c>
      <c r="E1239" s="67" t="s">
        <v>1362</v>
      </c>
      <c r="F1239" s="67" t="s">
        <v>1462</v>
      </c>
      <c r="G1239" s="69">
        <v>320</v>
      </c>
    </row>
    <row r="1240" spans="1:7">
      <c r="A1240" s="67" t="s">
        <v>2722</v>
      </c>
      <c r="B1240" s="70">
        <v>46173</v>
      </c>
      <c r="C1240" s="67" t="s">
        <v>1375</v>
      </c>
      <c r="D1240" s="67" t="s">
        <v>353</v>
      </c>
      <c r="E1240" s="67" t="s">
        <v>1368</v>
      </c>
      <c r="F1240" s="67" t="s">
        <v>1462</v>
      </c>
      <c r="G1240" s="69">
        <v>567</v>
      </c>
    </row>
    <row r="1241" spans="1:7">
      <c r="A1241" s="67" t="s">
        <v>2723</v>
      </c>
      <c r="B1241" s="70">
        <v>46173</v>
      </c>
      <c r="C1241" s="67" t="s">
        <v>1384</v>
      </c>
      <c r="D1241" s="67" t="s">
        <v>1459</v>
      </c>
      <c r="E1241" s="67" t="s">
        <v>1362</v>
      </c>
      <c r="F1241" s="67" t="s">
        <v>1462</v>
      </c>
      <c r="G1241" s="69">
        <v>556</v>
      </c>
    </row>
    <row r="1242" spans="1:7">
      <c r="A1242" s="67" t="s">
        <v>2724</v>
      </c>
      <c r="B1242" s="70">
        <v>46173</v>
      </c>
      <c r="C1242" s="67" t="s">
        <v>1393</v>
      </c>
      <c r="D1242" s="67" t="s">
        <v>356</v>
      </c>
      <c r="E1242" s="67" t="s">
        <v>1368</v>
      </c>
      <c r="F1242" s="67" t="s">
        <v>1462</v>
      </c>
      <c r="G1242" s="69">
        <v>125</v>
      </c>
    </row>
    <row r="1243" spans="1:7">
      <c r="A1243" s="67" t="s">
        <v>2725</v>
      </c>
      <c r="B1243" s="70">
        <v>46173</v>
      </c>
      <c r="C1243" s="67" t="s">
        <v>1399</v>
      </c>
      <c r="D1243" s="67" t="s">
        <v>1551</v>
      </c>
      <c r="E1243" s="67" t="s">
        <v>1362</v>
      </c>
      <c r="F1243" s="67" t="s">
        <v>1460</v>
      </c>
      <c r="G1243" s="69">
        <v>17</v>
      </c>
    </row>
    <row r="1244" spans="1:7">
      <c r="A1244" s="67" t="s">
        <v>2726</v>
      </c>
      <c r="B1244" s="70">
        <v>46173</v>
      </c>
      <c r="C1244" s="67" t="s">
        <v>1399</v>
      </c>
      <c r="D1244" s="67" t="s">
        <v>1551</v>
      </c>
      <c r="E1244" s="67" t="s">
        <v>1362</v>
      </c>
      <c r="F1244" s="67" t="s">
        <v>1462</v>
      </c>
      <c r="G1244" s="69">
        <v>436</v>
      </c>
    </row>
    <row r="1245" spans="1:7">
      <c r="A1245" s="67" t="s">
        <v>2727</v>
      </c>
      <c r="B1245" s="70">
        <v>46173</v>
      </c>
      <c r="C1245" s="67" t="s">
        <v>1401</v>
      </c>
      <c r="D1245" s="67" t="s">
        <v>1459</v>
      </c>
      <c r="E1245" s="67" t="s">
        <v>1362</v>
      </c>
      <c r="F1245" s="67" t="s">
        <v>1462</v>
      </c>
      <c r="G1245" s="69">
        <v>339</v>
      </c>
    </row>
    <row r="1246" spans="1:7">
      <c r="A1246" s="67" t="s">
        <v>2728</v>
      </c>
      <c r="B1246" s="70">
        <v>46173</v>
      </c>
      <c r="C1246" s="67" t="s">
        <v>1404</v>
      </c>
      <c r="D1246" s="67" t="s">
        <v>356</v>
      </c>
      <c r="E1246" s="67" t="s">
        <v>1368</v>
      </c>
      <c r="F1246" s="67" t="s">
        <v>1488</v>
      </c>
      <c r="G1246" s="69">
        <v>8</v>
      </c>
    </row>
    <row r="1247" spans="1:7">
      <c r="A1247" s="67" t="s">
        <v>2729</v>
      </c>
      <c r="B1247" s="70">
        <v>46173</v>
      </c>
      <c r="C1247" s="67" t="s">
        <v>1404</v>
      </c>
      <c r="D1247" s="67" t="s">
        <v>365</v>
      </c>
      <c r="E1247" s="67" t="s">
        <v>1368</v>
      </c>
      <c r="F1247" s="67" t="s">
        <v>1462</v>
      </c>
      <c r="G1247" s="69">
        <v>116</v>
      </c>
    </row>
    <row r="1248" spans="1:7">
      <c r="A1248" s="67" t="s">
        <v>2730</v>
      </c>
      <c r="B1248" s="70">
        <v>46173</v>
      </c>
      <c r="C1248" s="67" t="s">
        <v>1411</v>
      </c>
      <c r="D1248" s="67" t="s">
        <v>1506</v>
      </c>
      <c r="E1248" s="67" t="s">
        <v>1482</v>
      </c>
      <c r="F1248" s="67" t="s">
        <v>1460</v>
      </c>
      <c r="G1248" s="69">
        <v>25</v>
      </c>
    </row>
    <row r="1249" spans="1:7">
      <c r="A1249" s="67" t="s">
        <v>2731</v>
      </c>
      <c r="B1249" s="70">
        <v>46173</v>
      </c>
      <c r="C1249" s="67" t="s">
        <v>1411</v>
      </c>
      <c r="D1249" s="67" t="s">
        <v>1506</v>
      </c>
      <c r="E1249" s="67" t="s">
        <v>1482</v>
      </c>
      <c r="F1249" s="67" t="s">
        <v>1462</v>
      </c>
      <c r="G1249" s="69">
        <v>111</v>
      </c>
    </row>
    <row r="1250" spans="1:7">
      <c r="A1250" s="67" t="s">
        <v>2732</v>
      </c>
      <c r="B1250" s="70">
        <v>46173</v>
      </c>
      <c r="C1250" s="67" t="s">
        <v>1414</v>
      </c>
      <c r="D1250" s="67" t="s">
        <v>1511</v>
      </c>
      <c r="E1250" s="67" t="s">
        <v>1470</v>
      </c>
      <c r="F1250" s="67" t="s">
        <v>1460</v>
      </c>
      <c r="G1250" s="69">
        <v>25</v>
      </c>
    </row>
    <row r="1251" spans="1:7">
      <c r="A1251" s="67" t="s">
        <v>2733</v>
      </c>
      <c r="B1251" s="70">
        <v>46173</v>
      </c>
      <c r="C1251" s="67" t="s">
        <v>1419</v>
      </c>
      <c r="D1251" s="67" t="s">
        <v>353</v>
      </c>
      <c r="E1251" s="67" t="s">
        <v>1368</v>
      </c>
      <c r="F1251" s="67" t="s">
        <v>1462</v>
      </c>
      <c r="G1251" s="69">
        <v>454</v>
      </c>
    </row>
    <row r="1252" spans="1:7">
      <c r="A1252" s="67" t="s">
        <v>2734</v>
      </c>
      <c r="B1252" s="70">
        <v>46173</v>
      </c>
      <c r="C1252" s="67" t="s">
        <v>1425</v>
      </c>
      <c r="D1252" s="67" t="s">
        <v>1511</v>
      </c>
      <c r="E1252" s="67" t="s">
        <v>1470</v>
      </c>
      <c r="F1252" s="67" t="s">
        <v>1462</v>
      </c>
      <c r="G1252" s="69">
        <v>353</v>
      </c>
    </row>
    <row r="1253" spans="1:7">
      <c r="A1253" s="67" t="s">
        <v>2735</v>
      </c>
      <c r="B1253" s="70">
        <v>46173</v>
      </c>
      <c r="C1253" s="67" t="s">
        <v>1425</v>
      </c>
      <c r="D1253" s="67" t="s">
        <v>1551</v>
      </c>
      <c r="E1253" s="67" t="s">
        <v>1362</v>
      </c>
      <c r="F1253" s="67" t="s">
        <v>1460</v>
      </c>
      <c r="G1253" s="69">
        <v>26</v>
      </c>
    </row>
    <row r="1254" spans="1:7">
      <c r="A1254" s="67" t="s">
        <v>2736</v>
      </c>
      <c r="B1254" s="70">
        <v>46173</v>
      </c>
      <c r="C1254" s="67" t="s">
        <v>1425</v>
      </c>
      <c r="D1254" s="67" t="s">
        <v>1459</v>
      </c>
      <c r="E1254" s="67" t="s">
        <v>1362</v>
      </c>
      <c r="F1254" s="67" t="s">
        <v>1460</v>
      </c>
      <c r="G1254" s="69">
        <v>25</v>
      </c>
    </row>
    <row r="1255" spans="1:7">
      <c r="A1255" s="67" t="s">
        <v>2737</v>
      </c>
      <c r="B1255" s="70">
        <v>46173</v>
      </c>
      <c r="C1255" s="67" t="s">
        <v>1444</v>
      </c>
      <c r="D1255" s="67" t="s">
        <v>1476</v>
      </c>
      <c r="E1255" s="67" t="s">
        <v>1362</v>
      </c>
      <c r="F1255" s="67" t="s">
        <v>1460</v>
      </c>
      <c r="G1255" s="69">
        <v>21</v>
      </c>
    </row>
    <row r="1256" spans="1:7">
      <c r="A1256" s="67" t="s">
        <v>2738</v>
      </c>
      <c r="B1256" s="70">
        <v>46173</v>
      </c>
      <c r="C1256" s="67" t="s">
        <v>1446</v>
      </c>
      <c r="D1256" s="67" t="s">
        <v>367</v>
      </c>
      <c r="E1256" s="67" t="s">
        <v>1368</v>
      </c>
      <c r="F1256" s="67" t="s">
        <v>1462</v>
      </c>
      <c r="G1256" s="69">
        <v>386</v>
      </c>
    </row>
    <row r="1257" spans="1:7">
      <c r="A1257" s="67" t="s">
        <v>2739</v>
      </c>
      <c r="B1257" s="70">
        <v>46173</v>
      </c>
      <c r="C1257" s="67" t="s">
        <v>1450</v>
      </c>
      <c r="D1257" s="67" t="s">
        <v>365</v>
      </c>
      <c r="E1257" s="67" t="s">
        <v>1368</v>
      </c>
      <c r="F1257" s="67" t="s">
        <v>1488</v>
      </c>
      <c r="G1257" s="69">
        <v>8</v>
      </c>
    </row>
    <row r="1258" spans="1:7">
      <c r="A1258" s="67" t="s">
        <v>2740</v>
      </c>
      <c r="B1258" s="70">
        <v>46174</v>
      </c>
      <c r="C1258" s="67" t="s">
        <v>1359</v>
      </c>
      <c r="D1258" s="67" t="s">
        <v>1476</v>
      </c>
      <c r="E1258" s="67" t="s">
        <v>1362</v>
      </c>
      <c r="F1258" s="67" t="s">
        <v>1462</v>
      </c>
      <c r="G1258" s="69">
        <v>452</v>
      </c>
    </row>
    <row r="1259" spans="1:7">
      <c r="A1259" s="67" t="s">
        <v>2741</v>
      </c>
      <c r="B1259" s="70">
        <v>46174</v>
      </c>
      <c r="C1259" s="67" t="s">
        <v>1359</v>
      </c>
      <c r="D1259" s="67" t="s">
        <v>1476</v>
      </c>
      <c r="E1259" s="67" t="s">
        <v>1362</v>
      </c>
      <c r="F1259" s="67" t="s">
        <v>1462</v>
      </c>
      <c r="G1259" s="69">
        <v>64</v>
      </c>
    </row>
    <row r="1260" spans="1:7">
      <c r="A1260" s="67" t="s">
        <v>2742</v>
      </c>
      <c r="B1260" s="70">
        <v>46174</v>
      </c>
      <c r="C1260" s="67" t="s">
        <v>1366</v>
      </c>
      <c r="D1260" s="67" t="s">
        <v>367</v>
      </c>
      <c r="E1260" s="67" t="s">
        <v>1368</v>
      </c>
      <c r="F1260" s="67" t="s">
        <v>1462</v>
      </c>
      <c r="G1260" s="69">
        <v>222</v>
      </c>
    </row>
    <row r="1261" spans="1:7">
      <c r="A1261" s="67" t="s">
        <v>2743</v>
      </c>
      <c r="B1261" s="70">
        <v>46174</v>
      </c>
      <c r="C1261" s="67" t="s">
        <v>1371</v>
      </c>
      <c r="D1261" s="67" t="s">
        <v>1476</v>
      </c>
      <c r="E1261" s="67" t="s">
        <v>1362</v>
      </c>
      <c r="F1261" s="67" t="s">
        <v>1462</v>
      </c>
      <c r="G1261" s="69">
        <v>96</v>
      </c>
    </row>
    <row r="1262" spans="1:7">
      <c r="A1262" s="67" t="s">
        <v>2744</v>
      </c>
      <c r="B1262" s="70">
        <v>46174</v>
      </c>
      <c r="C1262" s="67" t="s">
        <v>1381</v>
      </c>
      <c r="D1262" s="67" t="s">
        <v>367</v>
      </c>
      <c r="E1262" s="67" t="s">
        <v>1368</v>
      </c>
      <c r="F1262" s="67" t="s">
        <v>1462</v>
      </c>
      <c r="G1262" s="69">
        <v>483</v>
      </c>
    </row>
    <row r="1263" spans="1:7">
      <c r="A1263" s="67" t="s">
        <v>2745</v>
      </c>
      <c r="B1263" s="70">
        <v>46174</v>
      </c>
      <c r="C1263" s="67" t="s">
        <v>1381</v>
      </c>
      <c r="D1263" s="67" t="s">
        <v>1459</v>
      </c>
      <c r="E1263" s="67" t="s">
        <v>1362</v>
      </c>
      <c r="F1263" s="67" t="s">
        <v>1462</v>
      </c>
      <c r="G1263" s="69">
        <v>489</v>
      </c>
    </row>
    <row r="1264" spans="1:7">
      <c r="A1264" s="67" t="s">
        <v>2746</v>
      </c>
      <c r="B1264" s="70">
        <v>46174</v>
      </c>
      <c r="C1264" s="67" t="s">
        <v>1411</v>
      </c>
      <c r="D1264" s="67" t="s">
        <v>1506</v>
      </c>
      <c r="E1264" s="67" t="s">
        <v>1482</v>
      </c>
      <c r="F1264" s="67" t="s">
        <v>1462</v>
      </c>
      <c r="G1264" s="69">
        <v>173</v>
      </c>
    </row>
    <row r="1265" spans="1:7">
      <c r="A1265" s="67" t="s">
        <v>2747</v>
      </c>
      <c r="B1265" s="70">
        <v>46174</v>
      </c>
      <c r="C1265" s="67" t="s">
        <v>1414</v>
      </c>
      <c r="D1265" s="67" t="s">
        <v>1511</v>
      </c>
      <c r="E1265" s="67" t="s">
        <v>1470</v>
      </c>
      <c r="F1265" s="67" t="s">
        <v>1460</v>
      </c>
      <c r="G1265" s="69">
        <v>12</v>
      </c>
    </row>
    <row r="1266" spans="1:7">
      <c r="A1266" s="67" t="s">
        <v>2748</v>
      </c>
      <c r="B1266" s="70">
        <v>46174</v>
      </c>
      <c r="C1266" s="67" t="s">
        <v>1423</v>
      </c>
      <c r="D1266" s="67" t="s">
        <v>1487</v>
      </c>
      <c r="E1266" s="67" t="s">
        <v>1410</v>
      </c>
      <c r="F1266" s="67" t="s">
        <v>1462</v>
      </c>
      <c r="G1266" s="69">
        <v>447</v>
      </c>
    </row>
    <row r="1267" spans="1:7">
      <c r="A1267" s="67" t="s">
        <v>2749</v>
      </c>
      <c r="B1267" s="70">
        <v>46174</v>
      </c>
      <c r="C1267" s="67" t="s">
        <v>1423</v>
      </c>
      <c r="D1267" s="67" t="s">
        <v>365</v>
      </c>
      <c r="E1267" s="67" t="s">
        <v>1368</v>
      </c>
      <c r="F1267" s="67" t="s">
        <v>1462</v>
      </c>
      <c r="G1267" s="69">
        <v>277</v>
      </c>
    </row>
    <row r="1268" spans="1:7">
      <c r="A1268" s="67" t="s">
        <v>2750</v>
      </c>
      <c r="B1268" s="70">
        <v>46174</v>
      </c>
      <c r="C1268" s="67" t="s">
        <v>1438</v>
      </c>
      <c r="D1268" s="67" t="s">
        <v>369</v>
      </c>
      <c r="E1268" s="67" t="s">
        <v>1368</v>
      </c>
      <c r="F1268" s="67" t="s">
        <v>1462</v>
      </c>
      <c r="G1268" s="69">
        <v>336</v>
      </c>
    </row>
    <row r="1269" spans="1:7">
      <c r="A1269" s="67" t="s">
        <v>2751</v>
      </c>
      <c r="B1269" s="70">
        <v>46175</v>
      </c>
      <c r="C1269" s="67" t="s">
        <v>1359</v>
      </c>
      <c r="D1269" s="67" t="s">
        <v>1551</v>
      </c>
      <c r="E1269" s="67" t="s">
        <v>1362</v>
      </c>
      <c r="F1269" s="67" t="s">
        <v>1462</v>
      </c>
      <c r="G1269" s="69">
        <v>191</v>
      </c>
    </row>
    <row r="1270" spans="1:7">
      <c r="A1270" s="67" t="s">
        <v>2752</v>
      </c>
      <c r="B1270" s="70">
        <v>46175</v>
      </c>
      <c r="C1270" s="67" t="s">
        <v>1371</v>
      </c>
      <c r="D1270" s="67" t="s">
        <v>1466</v>
      </c>
      <c r="E1270" s="67" t="s">
        <v>1386</v>
      </c>
      <c r="F1270" s="67" t="s">
        <v>1462</v>
      </c>
      <c r="G1270" s="69">
        <v>270</v>
      </c>
    </row>
    <row r="1271" spans="1:7">
      <c r="A1271" s="67" t="s">
        <v>2753</v>
      </c>
      <c r="B1271" s="70">
        <v>46175</v>
      </c>
      <c r="C1271" s="67" t="s">
        <v>1375</v>
      </c>
      <c r="D1271" s="67" t="s">
        <v>369</v>
      </c>
      <c r="E1271" s="67" t="s">
        <v>1368</v>
      </c>
      <c r="F1271" s="67" t="s">
        <v>1460</v>
      </c>
      <c r="G1271" s="69">
        <v>27</v>
      </c>
    </row>
    <row r="1272" spans="1:7">
      <c r="A1272" s="67" t="s">
        <v>2754</v>
      </c>
      <c r="B1272" s="70">
        <v>46175</v>
      </c>
      <c r="C1272" s="67" t="s">
        <v>1381</v>
      </c>
      <c r="D1272" s="67" t="s">
        <v>1491</v>
      </c>
      <c r="E1272" s="67" t="s">
        <v>1470</v>
      </c>
      <c r="F1272" s="67" t="s">
        <v>1462</v>
      </c>
      <c r="G1272" s="69">
        <v>500</v>
      </c>
    </row>
    <row r="1273" spans="1:7">
      <c r="A1273" s="67" t="s">
        <v>2755</v>
      </c>
      <c r="B1273" s="70">
        <v>46175</v>
      </c>
      <c r="C1273" s="67" t="s">
        <v>1389</v>
      </c>
      <c r="D1273" s="67" t="s">
        <v>367</v>
      </c>
      <c r="E1273" s="67" t="s">
        <v>1368</v>
      </c>
      <c r="F1273" s="67" t="s">
        <v>1462</v>
      </c>
      <c r="G1273" s="69">
        <v>588</v>
      </c>
    </row>
    <row r="1274" spans="1:7">
      <c r="A1274" s="67" t="s">
        <v>2756</v>
      </c>
      <c r="B1274" s="70">
        <v>46175</v>
      </c>
      <c r="C1274" s="67" t="s">
        <v>1404</v>
      </c>
      <c r="D1274" s="67" t="s">
        <v>1484</v>
      </c>
      <c r="E1274" s="67" t="s">
        <v>1470</v>
      </c>
      <c r="F1274" s="67" t="s">
        <v>1462</v>
      </c>
      <c r="G1274" s="69">
        <v>103</v>
      </c>
    </row>
    <row r="1275" spans="1:7">
      <c r="A1275" s="67" t="s">
        <v>2757</v>
      </c>
      <c r="B1275" s="70">
        <v>46175</v>
      </c>
      <c r="C1275" s="67" t="s">
        <v>1404</v>
      </c>
      <c r="D1275" s="67" t="s">
        <v>367</v>
      </c>
      <c r="E1275" s="67" t="s">
        <v>1368</v>
      </c>
      <c r="F1275" s="67" t="s">
        <v>1462</v>
      </c>
      <c r="G1275" s="69">
        <v>339</v>
      </c>
    </row>
    <row r="1276" spans="1:7">
      <c r="A1276" s="67" t="s">
        <v>2758</v>
      </c>
      <c r="B1276" s="70">
        <v>46175</v>
      </c>
      <c r="C1276" s="67" t="s">
        <v>1404</v>
      </c>
      <c r="D1276" s="67" t="s">
        <v>358</v>
      </c>
      <c r="E1276" s="67" t="s">
        <v>1368</v>
      </c>
      <c r="F1276" s="67" t="s">
        <v>1460</v>
      </c>
      <c r="G1276" s="69">
        <v>17</v>
      </c>
    </row>
    <row r="1277" spans="1:7">
      <c r="A1277" s="67" t="s">
        <v>2759</v>
      </c>
      <c r="B1277" s="70">
        <v>46175</v>
      </c>
      <c r="C1277" s="67" t="s">
        <v>1408</v>
      </c>
      <c r="D1277" s="67" t="s">
        <v>1515</v>
      </c>
      <c r="E1277" s="67" t="s">
        <v>1410</v>
      </c>
      <c r="F1277" s="67" t="s">
        <v>1462</v>
      </c>
      <c r="G1277" s="69">
        <v>232</v>
      </c>
    </row>
    <row r="1278" spans="1:7">
      <c r="A1278" s="67" t="s">
        <v>2760</v>
      </c>
      <c r="B1278" s="70">
        <v>46175</v>
      </c>
      <c r="C1278" s="67" t="s">
        <v>1411</v>
      </c>
      <c r="D1278" s="67" t="s">
        <v>1506</v>
      </c>
      <c r="E1278" s="67" t="s">
        <v>1482</v>
      </c>
      <c r="F1278" s="67" t="s">
        <v>1462</v>
      </c>
      <c r="G1278" s="69">
        <v>111</v>
      </c>
    </row>
    <row r="1279" spans="1:7">
      <c r="A1279" s="67" t="s">
        <v>2761</v>
      </c>
      <c r="B1279" s="70">
        <v>46175</v>
      </c>
      <c r="C1279" s="67" t="s">
        <v>1419</v>
      </c>
      <c r="D1279" s="67" t="s">
        <v>353</v>
      </c>
      <c r="E1279" s="67" t="s">
        <v>1368</v>
      </c>
      <c r="F1279" s="67" t="s">
        <v>1462</v>
      </c>
      <c r="G1279" s="69">
        <v>27</v>
      </c>
    </row>
    <row r="1280" spans="1:7">
      <c r="A1280" s="67" t="s">
        <v>2762</v>
      </c>
      <c r="B1280" s="70">
        <v>46175</v>
      </c>
      <c r="C1280" s="67" t="s">
        <v>1423</v>
      </c>
      <c r="D1280" s="67" t="s">
        <v>1743</v>
      </c>
      <c r="E1280" s="67" t="s">
        <v>1410</v>
      </c>
      <c r="F1280" s="67" t="s">
        <v>1462</v>
      </c>
      <c r="G1280" s="69">
        <v>521</v>
      </c>
    </row>
    <row r="1281" spans="1:7">
      <c r="A1281" s="67" t="s">
        <v>2763</v>
      </c>
      <c r="B1281" s="70">
        <v>46175</v>
      </c>
      <c r="C1281" s="67" t="s">
        <v>1438</v>
      </c>
      <c r="D1281" s="67" t="s">
        <v>363</v>
      </c>
      <c r="E1281" s="67" t="s">
        <v>1368</v>
      </c>
      <c r="F1281" s="67" t="s">
        <v>1462</v>
      </c>
      <c r="G1281" s="69">
        <v>198</v>
      </c>
    </row>
    <row r="1282" spans="1:7">
      <c r="A1282" s="67" t="s">
        <v>2764</v>
      </c>
      <c r="B1282" s="70">
        <v>46175</v>
      </c>
      <c r="C1282" s="67" t="s">
        <v>1442</v>
      </c>
      <c r="D1282" s="67" t="s">
        <v>1551</v>
      </c>
      <c r="E1282" s="67" t="s">
        <v>1362</v>
      </c>
      <c r="F1282" s="67" t="s">
        <v>1462</v>
      </c>
      <c r="G1282" s="69">
        <v>36</v>
      </c>
    </row>
    <row r="1283" spans="1:7">
      <c r="A1283" s="67" t="s">
        <v>2765</v>
      </c>
      <c r="B1283" s="70">
        <v>46175</v>
      </c>
      <c r="C1283" s="67" t="s">
        <v>1444</v>
      </c>
      <c r="D1283" s="67" t="s">
        <v>1466</v>
      </c>
      <c r="E1283" s="67" t="s">
        <v>1386</v>
      </c>
      <c r="F1283" s="67" t="s">
        <v>1462</v>
      </c>
      <c r="G1283" s="69">
        <v>358</v>
      </c>
    </row>
    <row r="1284" spans="1:7">
      <c r="A1284" s="67" t="s">
        <v>2766</v>
      </c>
      <c r="B1284" s="70">
        <v>46175</v>
      </c>
      <c r="C1284" s="67" t="s">
        <v>1446</v>
      </c>
      <c r="D1284" s="67" t="s">
        <v>1466</v>
      </c>
      <c r="E1284" s="67" t="s">
        <v>1386</v>
      </c>
      <c r="F1284" s="67" t="s">
        <v>1462</v>
      </c>
      <c r="G1284" s="69">
        <v>415</v>
      </c>
    </row>
    <row r="1285" spans="1:7">
      <c r="A1285" s="67" t="s">
        <v>2767</v>
      </c>
      <c r="B1285" s="70">
        <v>46176</v>
      </c>
      <c r="C1285" s="67" t="s">
        <v>1366</v>
      </c>
      <c r="D1285" s="67" t="s">
        <v>353</v>
      </c>
      <c r="E1285" s="67" t="s">
        <v>1368</v>
      </c>
      <c r="F1285" s="67" t="s">
        <v>1462</v>
      </c>
      <c r="G1285" s="69">
        <v>563</v>
      </c>
    </row>
    <row r="1286" spans="1:7">
      <c r="A1286" s="67" t="s">
        <v>2768</v>
      </c>
      <c r="B1286" s="70">
        <v>46176</v>
      </c>
      <c r="C1286" s="67" t="s">
        <v>1366</v>
      </c>
      <c r="D1286" s="67" t="s">
        <v>353</v>
      </c>
      <c r="E1286" s="67" t="s">
        <v>1368</v>
      </c>
      <c r="F1286" s="67" t="s">
        <v>1462</v>
      </c>
      <c r="G1286" s="69">
        <v>89</v>
      </c>
    </row>
    <row r="1287" spans="1:7">
      <c r="A1287" s="67" t="s">
        <v>2769</v>
      </c>
      <c r="B1287" s="70">
        <v>46176</v>
      </c>
      <c r="C1287" s="67" t="s">
        <v>1366</v>
      </c>
      <c r="D1287" s="67" t="s">
        <v>363</v>
      </c>
      <c r="E1287" s="67" t="s">
        <v>1368</v>
      </c>
      <c r="F1287" s="67" t="s">
        <v>1462</v>
      </c>
      <c r="G1287" s="69">
        <v>231</v>
      </c>
    </row>
    <row r="1288" spans="1:7">
      <c r="A1288" s="67" t="s">
        <v>2770</v>
      </c>
      <c r="B1288" s="70">
        <v>46176</v>
      </c>
      <c r="C1288" s="67" t="s">
        <v>1371</v>
      </c>
      <c r="D1288" s="67" t="s">
        <v>1476</v>
      </c>
      <c r="E1288" s="67" t="s">
        <v>1362</v>
      </c>
      <c r="F1288" s="67" t="s">
        <v>1462</v>
      </c>
      <c r="G1288" s="69">
        <v>114</v>
      </c>
    </row>
    <row r="1289" spans="1:7">
      <c r="A1289" s="67" t="s">
        <v>2771</v>
      </c>
      <c r="B1289" s="70">
        <v>46176</v>
      </c>
      <c r="C1289" s="67" t="s">
        <v>1371</v>
      </c>
      <c r="D1289" s="67" t="s">
        <v>1466</v>
      </c>
      <c r="E1289" s="67" t="s">
        <v>1386</v>
      </c>
      <c r="F1289" s="67" t="s">
        <v>1462</v>
      </c>
      <c r="G1289" s="69">
        <v>328</v>
      </c>
    </row>
    <row r="1290" spans="1:7">
      <c r="A1290" s="67" t="s">
        <v>2772</v>
      </c>
      <c r="B1290" s="70">
        <v>46176</v>
      </c>
      <c r="C1290" s="67" t="s">
        <v>1384</v>
      </c>
      <c r="D1290" s="67" t="s">
        <v>1602</v>
      </c>
      <c r="E1290" s="67" t="s">
        <v>1386</v>
      </c>
      <c r="F1290" s="67" t="s">
        <v>1462</v>
      </c>
      <c r="G1290" s="69">
        <v>172</v>
      </c>
    </row>
    <row r="1291" spans="1:7">
      <c r="A1291" s="67" t="s">
        <v>2773</v>
      </c>
      <c r="B1291" s="70">
        <v>46176</v>
      </c>
      <c r="C1291" s="67" t="s">
        <v>1389</v>
      </c>
      <c r="D1291" s="67" t="s">
        <v>367</v>
      </c>
      <c r="E1291" s="67" t="s">
        <v>1368</v>
      </c>
      <c r="F1291" s="67" t="s">
        <v>1462</v>
      </c>
      <c r="G1291" s="69">
        <v>369</v>
      </c>
    </row>
    <row r="1292" spans="1:7">
      <c r="A1292" s="67" t="s">
        <v>2774</v>
      </c>
      <c r="B1292" s="70">
        <v>46176</v>
      </c>
      <c r="C1292" s="67" t="s">
        <v>1393</v>
      </c>
      <c r="D1292" s="67" t="s">
        <v>369</v>
      </c>
      <c r="E1292" s="67" t="s">
        <v>1368</v>
      </c>
      <c r="F1292" s="67" t="s">
        <v>1462</v>
      </c>
      <c r="G1292" s="69">
        <v>471</v>
      </c>
    </row>
    <row r="1293" spans="1:7">
      <c r="A1293" s="67" t="s">
        <v>2775</v>
      </c>
      <c r="B1293" s="70">
        <v>46176</v>
      </c>
      <c r="C1293" s="67" t="s">
        <v>1399</v>
      </c>
      <c r="D1293" s="67" t="s">
        <v>1466</v>
      </c>
      <c r="E1293" s="67" t="s">
        <v>1386</v>
      </c>
      <c r="F1293" s="67" t="s">
        <v>1488</v>
      </c>
      <c r="G1293" s="69">
        <v>9</v>
      </c>
    </row>
    <row r="1294" spans="1:7">
      <c r="A1294" s="67" t="s">
        <v>2776</v>
      </c>
      <c r="B1294" s="70">
        <v>46176</v>
      </c>
      <c r="C1294" s="67" t="s">
        <v>1399</v>
      </c>
      <c r="D1294" s="67" t="s">
        <v>1466</v>
      </c>
      <c r="E1294" s="67" t="s">
        <v>1386</v>
      </c>
      <c r="F1294" s="67" t="s">
        <v>1488</v>
      </c>
      <c r="G1294" s="69">
        <v>10</v>
      </c>
    </row>
    <row r="1295" spans="1:7">
      <c r="A1295" s="67" t="s">
        <v>2777</v>
      </c>
      <c r="B1295" s="70">
        <v>46176</v>
      </c>
      <c r="C1295" s="67" t="s">
        <v>1399</v>
      </c>
      <c r="D1295" s="67" t="s">
        <v>1459</v>
      </c>
      <c r="E1295" s="67" t="s">
        <v>1362</v>
      </c>
      <c r="F1295" s="67" t="s">
        <v>1462</v>
      </c>
      <c r="G1295" s="69">
        <v>501</v>
      </c>
    </row>
    <row r="1296" spans="1:7">
      <c r="A1296" s="67" t="s">
        <v>2778</v>
      </c>
      <c r="B1296" s="70">
        <v>46176</v>
      </c>
      <c r="C1296" s="67" t="s">
        <v>1404</v>
      </c>
      <c r="D1296" s="67" t="s">
        <v>363</v>
      </c>
      <c r="E1296" s="67" t="s">
        <v>1368</v>
      </c>
      <c r="F1296" s="67" t="s">
        <v>1488</v>
      </c>
      <c r="G1296" s="69">
        <v>7</v>
      </c>
    </row>
    <row r="1297" spans="1:7">
      <c r="A1297" s="67" t="s">
        <v>2779</v>
      </c>
      <c r="B1297" s="70">
        <v>46176</v>
      </c>
      <c r="C1297" s="67" t="s">
        <v>1404</v>
      </c>
      <c r="D1297" s="67" t="s">
        <v>369</v>
      </c>
      <c r="E1297" s="67" t="s">
        <v>1368</v>
      </c>
      <c r="F1297" s="67" t="s">
        <v>1460</v>
      </c>
      <c r="G1297" s="69">
        <v>17</v>
      </c>
    </row>
    <row r="1298" spans="1:7">
      <c r="A1298" s="67" t="s">
        <v>2780</v>
      </c>
      <c r="B1298" s="70">
        <v>46176</v>
      </c>
      <c r="C1298" s="67" t="s">
        <v>1404</v>
      </c>
      <c r="D1298" s="67" t="s">
        <v>369</v>
      </c>
      <c r="E1298" s="67" t="s">
        <v>1368</v>
      </c>
      <c r="F1298" s="67" t="s">
        <v>1462</v>
      </c>
      <c r="G1298" s="69">
        <v>92</v>
      </c>
    </row>
    <row r="1299" spans="1:7">
      <c r="A1299" s="67" t="s">
        <v>2781</v>
      </c>
      <c r="B1299" s="70">
        <v>46176</v>
      </c>
      <c r="C1299" s="67" t="s">
        <v>1406</v>
      </c>
      <c r="D1299" s="67" t="s">
        <v>1484</v>
      </c>
      <c r="E1299" s="67" t="s">
        <v>1470</v>
      </c>
      <c r="F1299" s="67" t="s">
        <v>1488</v>
      </c>
      <c r="G1299" s="69">
        <v>5</v>
      </c>
    </row>
    <row r="1300" spans="1:7">
      <c r="A1300" s="67" t="s">
        <v>2782</v>
      </c>
      <c r="B1300" s="70">
        <v>46176</v>
      </c>
      <c r="C1300" s="67" t="s">
        <v>1411</v>
      </c>
      <c r="D1300" s="67" t="s">
        <v>1506</v>
      </c>
      <c r="E1300" s="67" t="s">
        <v>1482</v>
      </c>
      <c r="F1300" s="67" t="s">
        <v>1462</v>
      </c>
      <c r="G1300" s="69">
        <v>508</v>
      </c>
    </row>
    <row r="1301" spans="1:7">
      <c r="A1301" s="67" t="s">
        <v>2783</v>
      </c>
      <c r="B1301" s="70">
        <v>46176</v>
      </c>
      <c r="C1301" s="67" t="s">
        <v>1411</v>
      </c>
      <c r="D1301" s="67" t="s">
        <v>1481</v>
      </c>
      <c r="E1301" s="67" t="s">
        <v>1482</v>
      </c>
      <c r="F1301" s="67" t="s">
        <v>1462</v>
      </c>
      <c r="G1301" s="69">
        <v>141</v>
      </c>
    </row>
    <row r="1302" spans="1:7">
      <c r="A1302" s="67" t="s">
        <v>2784</v>
      </c>
      <c r="B1302" s="70">
        <v>46176</v>
      </c>
      <c r="C1302" s="67" t="s">
        <v>1414</v>
      </c>
      <c r="D1302" s="67" t="s">
        <v>1511</v>
      </c>
      <c r="E1302" s="67" t="s">
        <v>1470</v>
      </c>
      <c r="F1302" s="67" t="s">
        <v>1462</v>
      </c>
      <c r="G1302" s="69">
        <v>444</v>
      </c>
    </row>
    <row r="1303" spans="1:7">
      <c r="A1303" s="67" t="s">
        <v>2785</v>
      </c>
      <c r="B1303" s="70">
        <v>46176</v>
      </c>
      <c r="C1303" s="67" t="s">
        <v>1414</v>
      </c>
      <c r="D1303" s="67" t="s">
        <v>1511</v>
      </c>
      <c r="E1303" s="67" t="s">
        <v>1470</v>
      </c>
      <c r="F1303" s="67" t="s">
        <v>1462</v>
      </c>
      <c r="G1303" s="69">
        <v>113</v>
      </c>
    </row>
    <row r="1304" spans="1:7">
      <c r="A1304" s="67" t="s">
        <v>2786</v>
      </c>
      <c r="B1304" s="70">
        <v>46176</v>
      </c>
      <c r="C1304" s="67" t="s">
        <v>1414</v>
      </c>
      <c r="D1304" s="67" t="s">
        <v>1484</v>
      </c>
      <c r="E1304" s="67" t="s">
        <v>1470</v>
      </c>
      <c r="F1304" s="67" t="s">
        <v>1462</v>
      </c>
      <c r="G1304" s="69">
        <v>387</v>
      </c>
    </row>
    <row r="1305" spans="1:7">
      <c r="A1305" s="67" t="s">
        <v>2787</v>
      </c>
      <c r="B1305" s="70">
        <v>46176</v>
      </c>
      <c r="C1305" s="67" t="s">
        <v>1414</v>
      </c>
      <c r="D1305" s="67" t="s">
        <v>1484</v>
      </c>
      <c r="E1305" s="67" t="s">
        <v>1470</v>
      </c>
      <c r="F1305" s="67" t="s">
        <v>1462</v>
      </c>
      <c r="G1305" s="69">
        <v>305</v>
      </c>
    </row>
    <row r="1306" spans="1:7">
      <c r="A1306" s="67" t="s">
        <v>2788</v>
      </c>
      <c r="B1306" s="70">
        <v>46176</v>
      </c>
      <c r="C1306" s="67" t="s">
        <v>1425</v>
      </c>
      <c r="D1306" s="67" t="s">
        <v>1476</v>
      </c>
      <c r="E1306" s="67" t="s">
        <v>1362</v>
      </c>
      <c r="F1306" s="67" t="s">
        <v>1462</v>
      </c>
      <c r="G1306" s="69">
        <v>342</v>
      </c>
    </row>
    <row r="1307" spans="1:7">
      <c r="A1307" s="67" t="s">
        <v>2789</v>
      </c>
      <c r="B1307" s="70">
        <v>46176</v>
      </c>
      <c r="C1307" s="67" t="s">
        <v>1425</v>
      </c>
      <c r="D1307" s="67" t="s">
        <v>1469</v>
      </c>
      <c r="E1307" s="67" t="s">
        <v>1470</v>
      </c>
      <c r="F1307" s="67" t="s">
        <v>1462</v>
      </c>
      <c r="G1307" s="69">
        <v>255</v>
      </c>
    </row>
    <row r="1308" spans="1:7">
      <c r="A1308" s="67" t="s">
        <v>2790</v>
      </c>
      <c r="B1308" s="70">
        <v>46176</v>
      </c>
      <c r="C1308" s="67" t="s">
        <v>1429</v>
      </c>
      <c r="D1308" s="67" t="s">
        <v>369</v>
      </c>
      <c r="E1308" s="67" t="s">
        <v>1368</v>
      </c>
      <c r="F1308" s="67" t="s">
        <v>1462</v>
      </c>
      <c r="G1308" s="69">
        <v>120</v>
      </c>
    </row>
    <row r="1309" spans="1:7">
      <c r="A1309" s="67" t="s">
        <v>2791</v>
      </c>
      <c r="B1309" s="70">
        <v>46176</v>
      </c>
      <c r="C1309" s="67" t="s">
        <v>1434</v>
      </c>
      <c r="D1309" s="67" t="s">
        <v>1602</v>
      </c>
      <c r="E1309" s="67" t="s">
        <v>1386</v>
      </c>
      <c r="F1309" s="67" t="s">
        <v>1460</v>
      </c>
      <c r="G1309" s="69">
        <v>12</v>
      </c>
    </row>
    <row r="1310" spans="1:7">
      <c r="A1310" s="67" t="s">
        <v>2792</v>
      </c>
      <c r="B1310" s="70">
        <v>46177</v>
      </c>
      <c r="C1310" s="67" t="s">
        <v>1366</v>
      </c>
      <c r="D1310" s="67" t="s">
        <v>1511</v>
      </c>
      <c r="E1310" s="67" t="s">
        <v>1470</v>
      </c>
      <c r="F1310" s="67" t="s">
        <v>1462</v>
      </c>
      <c r="G1310" s="69">
        <v>362</v>
      </c>
    </row>
    <row r="1311" spans="1:7">
      <c r="A1311" s="67" t="s">
        <v>2793</v>
      </c>
      <c r="B1311" s="70">
        <v>46177</v>
      </c>
      <c r="C1311" s="67" t="s">
        <v>1381</v>
      </c>
      <c r="D1311" s="67" t="s">
        <v>353</v>
      </c>
      <c r="E1311" s="67" t="s">
        <v>1368</v>
      </c>
      <c r="F1311" s="67" t="s">
        <v>1462</v>
      </c>
      <c r="G1311" s="69">
        <v>327</v>
      </c>
    </row>
    <row r="1312" spans="1:7">
      <c r="A1312" s="67" t="s">
        <v>2794</v>
      </c>
      <c r="B1312" s="70">
        <v>46177</v>
      </c>
      <c r="C1312" s="67" t="s">
        <v>1381</v>
      </c>
      <c r="D1312" s="67" t="s">
        <v>356</v>
      </c>
      <c r="E1312" s="67" t="s">
        <v>1368</v>
      </c>
      <c r="F1312" s="67" t="s">
        <v>1460</v>
      </c>
      <c r="G1312" s="69">
        <v>24</v>
      </c>
    </row>
    <row r="1313" spans="1:7">
      <c r="A1313" s="67" t="s">
        <v>2795</v>
      </c>
      <c r="B1313" s="70">
        <v>46177</v>
      </c>
      <c r="C1313" s="67" t="s">
        <v>1384</v>
      </c>
      <c r="D1313" s="67" t="s">
        <v>1476</v>
      </c>
      <c r="E1313" s="67" t="s">
        <v>1362</v>
      </c>
      <c r="F1313" s="67" t="s">
        <v>1488</v>
      </c>
      <c r="G1313" s="69">
        <v>8</v>
      </c>
    </row>
    <row r="1314" spans="1:7">
      <c r="A1314" s="67" t="s">
        <v>2796</v>
      </c>
      <c r="B1314" s="70">
        <v>46177</v>
      </c>
      <c r="C1314" s="67" t="s">
        <v>1384</v>
      </c>
      <c r="D1314" s="67" t="s">
        <v>1551</v>
      </c>
      <c r="E1314" s="67" t="s">
        <v>1362</v>
      </c>
      <c r="F1314" s="67" t="s">
        <v>1462</v>
      </c>
      <c r="G1314" s="69">
        <v>122</v>
      </c>
    </row>
    <row r="1315" spans="1:7">
      <c r="A1315" s="67" t="s">
        <v>2797</v>
      </c>
      <c r="B1315" s="70">
        <v>46177</v>
      </c>
      <c r="C1315" s="67" t="s">
        <v>1389</v>
      </c>
      <c r="D1315" s="67" t="s">
        <v>365</v>
      </c>
      <c r="E1315" s="67" t="s">
        <v>1368</v>
      </c>
      <c r="F1315" s="67" t="s">
        <v>1462</v>
      </c>
      <c r="G1315" s="69">
        <v>199</v>
      </c>
    </row>
    <row r="1316" spans="1:7">
      <c r="A1316" s="67" t="s">
        <v>2798</v>
      </c>
      <c r="B1316" s="70">
        <v>46177</v>
      </c>
      <c r="C1316" s="67" t="s">
        <v>1404</v>
      </c>
      <c r="D1316" s="67" t="s">
        <v>356</v>
      </c>
      <c r="E1316" s="67" t="s">
        <v>1368</v>
      </c>
      <c r="F1316" s="67" t="s">
        <v>1462</v>
      </c>
      <c r="G1316" s="69">
        <v>482</v>
      </c>
    </row>
    <row r="1317" spans="1:7">
      <c r="A1317" s="67" t="s">
        <v>2799</v>
      </c>
      <c r="B1317" s="70">
        <v>46177</v>
      </c>
      <c r="C1317" s="67" t="s">
        <v>1404</v>
      </c>
      <c r="D1317" s="67" t="s">
        <v>369</v>
      </c>
      <c r="E1317" s="67" t="s">
        <v>1368</v>
      </c>
      <c r="F1317" s="67" t="s">
        <v>1462</v>
      </c>
      <c r="G1317" s="69">
        <v>359</v>
      </c>
    </row>
    <row r="1318" spans="1:7">
      <c r="A1318" s="67" t="s">
        <v>2800</v>
      </c>
      <c r="B1318" s="70">
        <v>46177</v>
      </c>
      <c r="C1318" s="67" t="s">
        <v>1411</v>
      </c>
      <c r="D1318" s="67" t="s">
        <v>1506</v>
      </c>
      <c r="E1318" s="67" t="s">
        <v>1482</v>
      </c>
      <c r="F1318" s="67" t="s">
        <v>1462</v>
      </c>
      <c r="G1318" s="69">
        <v>229</v>
      </c>
    </row>
    <row r="1319" spans="1:7">
      <c r="A1319" s="67" t="s">
        <v>2801</v>
      </c>
      <c r="B1319" s="70">
        <v>46177</v>
      </c>
      <c r="C1319" s="67" t="s">
        <v>1411</v>
      </c>
      <c r="D1319" s="67" t="s">
        <v>1481</v>
      </c>
      <c r="E1319" s="67" t="s">
        <v>1482</v>
      </c>
      <c r="F1319" s="67" t="s">
        <v>1462</v>
      </c>
      <c r="G1319" s="69">
        <v>351</v>
      </c>
    </row>
    <row r="1320" spans="1:7">
      <c r="A1320" s="67" t="s">
        <v>2802</v>
      </c>
      <c r="B1320" s="70">
        <v>46177</v>
      </c>
      <c r="C1320" s="67" t="s">
        <v>1414</v>
      </c>
      <c r="D1320" s="67" t="s">
        <v>1607</v>
      </c>
      <c r="E1320" s="67" t="s">
        <v>1470</v>
      </c>
      <c r="F1320" s="67" t="s">
        <v>1460</v>
      </c>
      <c r="G1320" s="69">
        <v>29</v>
      </c>
    </row>
    <row r="1321" spans="1:7">
      <c r="A1321" s="67" t="s">
        <v>2803</v>
      </c>
      <c r="B1321" s="70">
        <v>46177</v>
      </c>
      <c r="C1321" s="67" t="s">
        <v>1414</v>
      </c>
      <c r="D1321" s="67" t="s">
        <v>1469</v>
      </c>
      <c r="E1321" s="67" t="s">
        <v>1470</v>
      </c>
      <c r="F1321" s="67" t="s">
        <v>1462</v>
      </c>
      <c r="G1321" s="69">
        <v>214</v>
      </c>
    </row>
    <row r="1322" spans="1:7">
      <c r="A1322" s="67" t="s">
        <v>2804</v>
      </c>
      <c r="B1322" s="70">
        <v>46177</v>
      </c>
      <c r="C1322" s="67" t="s">
        <v>1419</v>
      </c>
      <c r="D1322" s="67" t="s">
        <v>360</v>
      </c>
      <c r="E1322" s="67" t="s">
        <v>1368</v>
      </c>
      <c r="F1322" s="67" t="s">
        <v>1460</v>
      </c>
      <c r="G1322" s="69">
        <v>19</v>
      </c>
    </row>
    <row r="1323" spans="1:7">
      <c r="A1323" s="67" t="s">
        <v>2805</v>
      </c>
      <c r="B1323" s="70">
        <v>46177</v>
      </c>
      <c r="C1323" s="67" t="s">
        <v>1423</v>
      </c>
      <c r="D1323" s="67" t="s">
        <v>1479</v>
      </c>
      <c r="E1323" s="67" t="s">
        <v>1410</v>
      </c>
      <c r="F1323" s="67" t="s">
        <v>1462</v>
      </c>
      <c r="G1323" s="69">
        <v>26</v>
      </c>
    </row>
    <row r="1324" spans="1:7">
      <c r="A1324" s="67" t="s">
        <v>2806</v>
      </c>
      <c r="B1324" s="70">
        <v>46177</v>
      </c>
      <c r="C1324" s="67" t="s">
        <v>1448</v>
      </c>
      <c r="D1324" s="67" t="s">
        <v>1618</v>
      </c>
      <c r="E1324" s="67" t="s">
        <v>1433</v>
      </c>
      <c r="F1324" s="67" t="s">
        <v>1462</v>
      </c>
      <c r="G1324" s="69">
        <v>388</v>
      </c>
    </row>
    <row r="1325" spans="1:7">
      <c r="A1325" s="67" t="s">
        <v>2807</v>
      </c>
      <c r="B1325" s="70">
        <v>46177</v>
      </c>
      <c r="C1325" s="67" t="s">
        <v>1450</v>
      </c>
      <c r="D1325" s="67" t="s">
        <v>1481</v>
      </c>
      <c r="E1325" s="67" t="s">
        <v>1482</v>
      </c>
      <c r="F1325" s="67" t="s">
        <v>1462</v>
      </c>
      <c r="G1325" s="69">
        <v>124</v>
      </c>
    </row>
    <row r="1326" spans="1:7">
      <c r="A1326" s="67" t="s">
        <v>2808</v>
      </c>
      <c r="B1326" s="70">
        <v>46178</v>
      </c>
      <c r="C1326" s="67" t="s">
        <v>1359</v>
      </c>
      <c r="D1326" s="67" t="s">
        <v>358</v>
      </c>
      <c r="E1326" s="67" t="s">
        <v>1368</v>
      </c>
      <c r="F1326" s="67" t="s">
        <v>1460</v>
      </c>
      <c r="G1326" s="69">
        <v>27</v>
      </c>
    </row>
    <row r="1327" spans="1:7">
      <c r="A1327" s="67" t="s">
        <v>2809</v>
      </c>
      <c r="B1327" s="70">
        <v>46178</v>
      </c>
      <c r="C1327" s="67" t="s">
        <v>1366</v>
      </c>
      <c r="D1327" s="67" t="s">
        <v>356</v>
      </c>
      <c r="E1327" s="67" t="s">
        <v>1368</v>
      </c>
      <c r="F1327" s="67" t="s">
        <v>1462</v>
      </c>
      <c r="G1327" s="69">
        <v>431</v>
      </c>
    </row>
    <row r="1328" spans="1:7">
      <c r="A1328" s="67" t="s">
        <v>2810</v>
      </c>
      <c r="B1328" s="70">
        <v>46178</v>
      </c>
      <c r="C1328" s="67" t="s">
        <v>1366</v>
      </c>
      <c r="D1328" s="67" t="s">
        <v>360</v>
      </c>
      <c r="E1328" s="67" t="s">
        <v>1368</v>
      </c>
      <c r="F1328" s="67" t="s">
        <v>1460</v>
      </c>
      <c r="G1328" s="69">
        <v>25</v>
      </c>
    </row>
    <row r="1329" spans="1:7">
      <c r="A1329" s="67" t="s">
        <v>2811</v>
      </c>
      <c r="B1329" s="70">
        <v>46178</v>
      </c>
      <c r="C1329" s="67" t="s">
        <v>1366</v>
      </c>
      <c r="D1329" s="67" t="s">
        <v>363</v>
      </c>
      <c r="E1329" s="67" t="s">
        <v>1368</v>
      </c>
      <c r="F1329" s="67" t="s">
        <v>1462</v>
      </c>
      <c r="G1329" s="69">
        <v>488</v>
      </c>
    </row>
    <row r="1330" spans="1:7">
      <c r="A1330" s="67" t="s">
        <v>2812</v>
      </c>
      <c r="B1330" s="70">
        <v>46178</v>
      </c>
      <c r="C1330" s="67" t="s">
        <v>1371</v>
      </c>
      <c r="D1330" s="67" t="s">
        <v>365</v>
      </c>
      <c r="E1330" s="67" t="s">
        <v>1368</v>
      </c>
      <c r="F1330" s="67" t="s">
        <v>1462</v>
      </c>
      <c r="G1330" s="69">
        <v>106</v>
      </c>
    </row>
    <row r="1331" spans="1:7">
      <c r="A1331" s="67" t="s">
        <v>2813</v>
      </c>
      <c r="B1331" s="70">
        <v>46178</v>
      </c>
      <c r="C1331" s="67" t="s">
        <v>1371</v>
      </c>
      <c r="D1331" s="67" t="s">
        <v>1466</v>
      </c>
      <c r="E1331" s="67" t="s">
        <v>1386</v>
      </c>
      <c r="F1331" s="67" t="s">
        <v>1462</v>
      </c>
      <c r="G1331" s="69">
        <v>77</v>
      </c>
    </row>
    <row r="1332" spans="1:7">
      <c r="A1332" s="67" t="s">
        <v>2814</v>
      </c>
      <c r="B1332" s="70">
        <v>46178</v>
      </c>
      <c r="C1332" s="67" t="s">
        <v>1371</v>
      </c>
      <c r="D1332" s="67" t="s">
        <v>1459</v>
      </c>
      <c r="E1332" s="67" t="s">
        <v>1362</v>
      </c>
      <c r="F1332" s="67" t="s">
        <v>1462</v>
      </c>
      <c r="G1332" s="69">
        <v>305</v>
      </c>
    </row>
    <row r="1333" spans="1:7">
      <c r="A1333" s="67" t="s">
        <v>2815</v>
      </c>
      <c r="B1333" s="70">
        <v>46178</v>
      </c>
      <c r="C1333" s="67" t="s">
        <v>1378</v>
      </c>
      <c r="D1333" s="67" t="s">
        <v>356</v>
      </c>
      <c r="E1333" s="67" t="s">
        <v>1368</v>
      </c>
      <c r="F1333" s="67" t="s">
        <v>1462</v>
      </c>
      <c r="G1333" s="69">
        <v>422</v>
      </c>
    </row>
    <row r="1334" spans="1:7">
      <c r="A1334" s="67" t="s">
        <v>2816</v>
      </c>
      <c r="B1334" s="70">
        <v>46178</v>
      </c>
      <c r="C1334" s="67" t="s">
        <v>1381</v>
      </c>
      <c r="D1334" s="67" t="s">
        <v>363</v>
      </c>
      <c r="E1334" s="67" t="s">
        <v>1368</v>
      </c>
      <c r="F1334" s="67" t="s">
        <v>1462</v>
      </c>
      <c r="G1334" s="69">
        <v>483</v>
      </c>
    </row>
    <row r="1335" spans="1:7">
      <c r="A1335" s="67" t="s">
        <v>2817</v>
      </c>
      <c r="B1335" s="70">
        <v>46178</v>
      </c>
      <c r="C1335" s="67" t="s">
        <v>1381</v>
      </c>
      <c r="D1335" s="67" t="s">
        <v>1484</v>
      </c>
      <c r="E1335" s="67" t="s">
        <v>1470</v>
      </c>
      <c r="F1335" s="67" t="s">
        <v>1462</v>
      </c>
      <c r="G1335" s="69">
        <v>447</v>
      </c>
    </row>
    <row r="1336" spans="1:7">
      <c r="A1336" s="67" t="s">
        <v>2818</v>
      </c>
      <c r="B1336" s="70">
        <v>46178</v>
      </c>
      <c r="C1336" s="67" t="s">
        <v>1381</v>
      </c>
      <c r="D1336" s="67" t="s">
        <v>1459</v>
      </c>
      <c r="E1336" s="67" t="s">
        <v>1362</v>
      </c>
      <c r="F1336" s="67" t="s">
        <v>1462</v>
      </c>
      <c r="G1336" s="69">
        <v>492</v>
      </c>
    </row>
    <row r="1337" spans="1:7">
      <c r="A1337" s="67" t="s">
        <v>2819</v>
      </c>
      <c r="B1337" s="70">
        <v>46178</v>
      </c>
      <c r="C1337" s="67" t="s">
        <v>1389</v>
      </c>
      <c r="D1337" s="67" t="s">
        <v>365</v>
      </c>
      <c r="E1337" s="67" t="s">
        <v>1368</v>
      </c>
      <c r="F1337" s="67" t="s">
        <v>1462</v>
      </c>
      <c r="G1337" s="69">
        <v>540</v>
      </c>
    </row>
    <row r="1338" spans="1:7">
      <c r="A1338" s="67" t="s">
        <v>2820</v>
      </c>
      <c r="B1338" s="70">
        <v>46178</v>
      </c>
      <c r="C1338" s="67" t="s">
        <v>1393</v>
      </c>
      <c r="D1338" s="67" t="s">
        <v>356</v>
      </c>
      <c r="E1338" s="67" t="s">
        <v>1368</v>
      </c>
      <c r="F1338" s="67" t="s">
        <v>1462</v>
      </c>
      <c r="G1338" s="69">
        <v>282</v>
      </c>
    </row>
    <row r="1339" spans="1:7">
      <c r="A1339" s="67" t="s">
        <v>2821</v>
      </c>
      <c r="B1339" s="70">
        <v>46178</v>
      </c>
      <c r="C1339" s="67" t="s">
        <v>1393</v>
      </c>
      <c r="D1339" s="67" t="s">
        <v>356</v>
      </c>
      <c r="E1339" s="67" t="s">
        <v>1368</v>
      </c>
      <c r="F1339" s="67" t="s">
        <v>1462</v>
      </c>
      <c r="G1339" s="69">
        <v>446</v>
      </c>
    </row>
    <row r="1340" spans="1:7">
      <c r="A1340" s="67" t="s">
        <v>2822</v>
      </c>
      <c r="B1340" s="70">
        <v>46178</v>
      </c>
      <c r="C1340" s="67" t="s">
        <v>1404</v>
      </c>
      <c r="D1340" s="67" t="s">
        <v>356</v>
      </c>
      <c r="E1340" s="67" t="s">
        <v>1368</v>
      </c>
      <c r="F1340" s="67" t="s">
        <v>1488</v>
      </c>
      <c r="G1340" s="69">
        <v>9</v>
      </c>
    </row>
    <row r="1341" spans="1:7">
      <c r="A1341" s="67" t="s">
        <v>2823</v>
      </c>
      <c r="B1341" s="70">
        <v>46178</v>
      </c>
      <c r="C1341" s="67" t="s">
        <v>1404</v>
      </c>
      <c r="D1341" s="67" t="s">
        <v>363</v>
      </c>
      <c r="E1341" s="67" t="s">
        <v>1368</v>
      </c>
      <c r="F1341" s="67" t="s">
        <v>1462</v>
      </c>
      <c r="G1341" s="69">
        <v>207</v>
      </c>
    </row>
    <row r="1342" spans="1:7">
      <c r="A1342" s="67" t="s">
        <v>2824</v>
      </c>
      <c r="B1342" s="70">
        <v>46178</v>
      </c>
      <c r="C1342" s="67" t="s">
        <v>1406</v>
      </c>
      <c r="D1342" s="67" t="s">
        <v>367</v>
      </c>
      <c r="E1342" s="67" t="s">
        <v>1368</v>
      </c>
      <c r="F1342" s="67" t="s">
        <v>1462</v>
      </c>
      <c r="G1342" s="69">
        <v>585</v>
      </c>
    </row>
    <row r="1343" spans="1:7">
      <c r="A1343" s="67" t="s">
        <v>2825</v>
      </c>
      <c r="B1343" s="70">
        <v>46178</v>
      </c>
      <c r="C1343" s="67" t="s">
        <v>1406</v>
      </c>
      <c r="D1343" s="67" t="s">
        <v>369</v>
      </c>
      <c r="E1343" s="67" t="s">
        <v>1368</v>
      </c>
      <c r="F1343" s="67" t="s">
        <v>1462</v>
      </c>
      <c r="G1343" s="69">
        <v>41</v>
      </c>
    </row>
    <row r="1344" spans="1:7">
      <c r="A1344" s="67" t="s">
        <v>2826</v>
      </c>
      <c r="B1344" s="70">
        <v>46178</v>
      </c>
      <c r="C1344" s="67" t="s">
        <v>1411</v>
      </c>
      <c r="D1344" s="67" t="s">
        <v>353</v>
      </c>
      <c r="E1344" s="67" t="s">
        <v>1368</v>
      </c>
      <c r="F1344" s="67" t="s">
        <v>1462</v>
      </c>
      <c r="G1344" s="69">
        <v>255</v>
      </c>
    </row>
    <row r="1345" spans="1:7">
      <c r="A1345" s="67" t="s">
        <v>2827</v>
      </c>
      <c r="B1345" s="70">
        <v>46178</v>
      </c>
      <c r="C1345" s="67" t="s">
        <v>1414</v>
      </c>
      <c r="D1345" s="67" t="s">
        <v>1551</v>
      </c>
      <c r="E1345" s="67" t="s">
        <v>1362</v>
      </c>
      <c r="F1345" s="67" t="s">
        <v>1462</v>
      </c>
      <c r="G1345" s="69">
        <v>543</v>
      </c>
    </row>
    <row r="1346" spans="1:7">
      <c r="A1346" s="67" t="s">
        <v>2828</v>
      </c>
      <c r="B1346" s="70">
        <v>46178</v>
      </c>
      <c r="C1346" s="67" t="s">
        <v>1414</v>
      </c>
      <c r="D1346" s="67" t="s">
        <v>1551</v>
      </c>
      <c r="E1346" s="67" t="s">
        <v>1362</v>
      </c>
      <c r="F1346" s="67" t="s">
        <v>1462</v>
      </c>
      <c r="G1346" s="69">
        <v>305</v>
      </c>
    </row>
    <row r="1347" spans="1:7">
      <c r="A1347" s="67" t="s">
        <v>2829</v>
      </c>
      <c r="B1347" s="70">
        <v>46178</v>
      </c>
      <c r="C1347" s="67" t="s">
        <v>1423</v>
      </c>
      <c r="D1347" s="67" t="s">
        <v>1479</v>
      </c>
      <c r="E1347" s="67" t="s">
        <v>1410</v>
      </c>
      <c r="F1347" s="67" t="s">
        <v>1462</v>
      </c>
      <c r="G1347" s="69">
        <v>376</v>
      </c>
    </row>
    <row r="1348" spans="1:7">
      <c r="A1348" s="67" t="s">
        <v>2830</v>
      </c>
      <c r="B1348" s="70">
        <v>46178</v>
      </c>
      <c r="C1348" s="67" t="s">
        <v>1423</v>
      </c>
      <c r="D1348" s="67" t="s">
        <v>1479</v>
      </c>
      <c r="E1348" s="67" t="s">
        <v>1410</v>
      </c>
      <c r="F1348" s="67" t="s">
        <v>1462</v>
      </c>
      <c r="G1348" s="69">
        <v>485</v>
      </c>
    </row>
    <row r="1349" spans="1:7">
      <c r="A1349" s="67" t="s">
        <v>2831</v>
      </c>
      <c r="B1349" s="70">
        <v>46178</v>
      </c>
      <c r="C1349" s="67" t="s">
        <v>1423</v>
      </c>
      <c r="D1349" s="67" t="s">
        <v>1743</v>
      </c>
      <c r="E1349" s="67" t="s">
        <v>1410</v>
      </c>
      <c r="F1349" s="67" t="s">
        <v>1462</v>
      </c>
      <c r="G1349" s="69">
        <v>47</v>
      </c>
    </row>
    <row r="1350" spans="1:7">
      <c r="A1350" s="67" t="s">
        <v>2832</v>
      </c>
      <c r="B1350" s="70">
        <v>46178</v>
      </c>
      <c r="C1350" s="67" t="s">
        <v>1444</v>
      </c>
      <c r="D1350" s="67" t="s">
        <v>1551</v>
      </c>
      <c r="E1350" s="67" t="s">
        <v>1362</v>
      </c>
      <c r="F1350" s="67" t="s">
        <v>1462</v>
      </c>
      <c r="G1350" s="69">
        <v>390</v>
      </c>
    </row>
    <row r="1351" spans="1:7">
      <c r="A1351" s="67" t="s">
        <v>2833</v>
      </c>
      <c r="B1351" s="70">
        <v>46178</v>
      </c>
      <c r="C1351" s="67" t="s">
        <v>1446</v>
      </c>
      <c r="D1351" s="67" t="s">
        <v>363</v>
      </c>
      <c r="E1351" s="67" t="s">
        <v>1368</v>
      </c>
      <c r="F1351" s="67" t="s">
        <v>1462</v>
      </c>
      <c r="G1351" s="69">
        <v>456</v>
      </c>
    </row>
    <row r="1352" spans="1:7">
      <c r="A1352" s="67" t="s">
        <v>2834</v>
      </c>
      <c r="B1352" s="70">
        <v>46179</v>
      </c>
      <c r="C1352" s="67" t="s">
        <v>1359</v>
      </c>
      <c r="D1352" s="67" t="s">
        <v>1551</v>
      </c>
      <c r="E1352" s="67" t="s">
        <v>1362</v>
      </c>
      <c r="F1352" s="67" t="s">
        <v>1462</v>
      </c>
      <c r="G1352" s="69">
        <v>291</v>
      </c>
    </row>
    <row r="1353" spans="1:7">
      <c r="A1353" s="67" t="s">
        <v>2835</v>
      </c>
      <c r="B1353" s="70">
        <v>46179</v>
      </c>
      <c r="C1353" s="67" t="s">
        <v>1359</v>
      </c>
      <c r="D1353" s="67" t="s">
        <v>1459</v>
      </c>
      <c r="E1353" s="67" t="s">
        <v>1362</v>
      </c>
      <c r="F1353" s="67" t="s">
        <v>1462</v>
      </c>
      <c r="G1353" s="69">
        <v>561</v>
      </c>
    </row>
    <row r="1354" spans="1:7">
      <c r="A1354" s="67" t="s">
        <v>2836</v>
      </c>
      <c r="B1354" s="70">
        <v>46179</v>
      </c>
      <c r="C1354" s="67" t="s">
        <v>1359</v>
      </c>
      <c r="D1354" s="67" t="s">
        <v>1459</v>
      </c>
      <c r="E1354" s="67" t="s">
        <v>1362</v>
      </c>
      <c r="F1354" s="67" t="s">
        <v>1462</v>
      </c>
      <c r="G1354" s="69">
        <v>511</v>
      </c>
    </row>
    <row r="1355" spans="1:7">
      <c r="A1355" s="67" t="s">
        <v>2837</v>
      </c>
      <c r="B1355" s="70">
        <v>46179</v>
      </c>
      <c r="C1355" s="67" t="s">
        <v>1359</v>
      </c>
      <c r="D1355" s="67" t="s">
        <v>1459</v>
      </c>
      <c r="E1355" s="67" t="s">
        <v>1362</v>
      </c>
      <c r="F1355" s="67" t="s">
        <v>1462</v>
      </c>
      <c r="G1355" s="69">
        <v>20</v>
      </c>
    </row>
    <row r="1356" spans="1:7">
      <c r="A1356" s="67" t="s">
        <v>2838</v>
      </c>
      <c r="B1356" s="70">
        <v>46179</v>
      </c>
      <c r="C1356" s="67" t="s">
        <v>1366</v>
      </c>
      <c r="D1356" s="67" t="s">
        <v>356</v>
      </c>
      <c r="E1356" s="67" t="s">
        <v>1368</v>
      </c>
      <c r="F1356" s="67" t="s">
        <v>1462</v>
      </c>
      <c r="G1356" s="69">
        <v>170</v>
      </c>
    </row>
    <row r="1357" spans="1:7">
      <c r="A1357" s="67" t="s">
        <v>2839</v>
      </c>
      <c r="B1357" s="70">
        <v>46179</v>
      </c>
      <c r="C1357" s="67" t="s">
        <v>1366</v>
      </c>
      <c r="D1357" s="67" t="s">
        <v>365</v>
      </c>
      <c r="E1357" s="67" t="s">
        <v>1368</v>
      </c>
      <c r="F1357" s="67" t="s">
        <v>1460</v>
      </c>
      <c r="G1357" s="69">
        <v>8</v>
      </c>
    </row>
    <row r="1358" spans="1:7">
      <c r="A1358" s="67" t="s">
        <v>2840</v>
      </c>
      <c r="B1358" s="70">
        <v>46179</v>
      </c>
      <c r="C1358" s="67" t="s">
        <v>1375</v>
      </c>
      <c r="D1358" s="67" t="s">
        <v>356</v>
      </c>
      <c r="E1358" s="67" t="s">
        <v>1368</v>
      </c>
      <c r="F1358" s="67" t="s">
        <v>1462</v>
      </c>
      <c r="G1358" s="69">
        <v>317</v>
      </c>
    </row>
    <row r="1359" spans="1:7">
      <c r="A1359" s="67" t="s">
        <v>2841</v>
      </c>
      <c r="B1359" s="70">
        <v>46179</v>
      </c>
      <c r="C1359" s="67" t="s">
        <v>1381</v>
      </c>
      <c r="D1359" s="67" t="s">
        <v>365</v>
      </c>
      <c r="E1359" s="67" t="s">
        <v>1368</v>
      </c>
      <c r="F1359" s="67" t="s">
        <v>1460</v>
      </c>
      <c r="G1359" s="69">
        <v>29</v>
      </c>
    </row>
    <row r="1360" spans="1:7">
      <c r="A1360" s="67" t="s">
        <v>2842</v>
      </c>
      <c r="B1360" s="70">
        <v>46179</v>
      </c>
      <c r="C1360" s="67" t="s">
        <v>1399</v>
      </c>
      <c r="D1360" s="67" t="s">
        <v>1551</v>
      </c>
      <c r="E1360" s="67" t="s">
        <v>1362</v>
      </c>
      <c r="F1360" s="67" t="s">
        <v>1462</v>
      </c>
      <c r="G1360" s="69">
        <v>153</v>
      </c>
    </row>
    <row r="1361" spans="1:7">
      <c r="A1361" s="67" t="s">
        <v>2843</v>
      </c>
      <c r="B1361" s="70">
        <v>46179</v>
      </c>
      <c r="C1361" s="67" t="s">
        <v>1404</v>
      </c>
      <c r="D1361" s="67" t="s">
        <v>353</v>
      </c>
      <c r="E1361" s="67" t="s">
        <v>1368</v>
      </c>
      <c r="F1361" s="67" t="s">
        <v>1462</v>
      </c>
      <c r="G1361" s="69">
        <v>310</v>
      </c>
    </row>
    <row r="1362" spans="1:7">
      <c r="A1362" s="67" t="s">
        <v>2844</v>
      </c>
      <c r="B1362" s="70">
        <v>46179</v>
      </c>
      <c r="C1362" s="67" t="s">
        <v>1404</v>
      </c>
      <c r="D1362" s="67" t="s">
        <v>353</v>
      </c>
      <c r="E1362" s="67" t="s">
        <v>1368</v>
      </c>
      <c r="F1362" s="67" t="s">
        <v>1462</v>
      </c>
      <c r="G1362" s="69">
        <v>233</v>
      </c>
    </row>
    <row r="1363" spans="1:7">
      <c r="A1363" s="67" t="s">
        <v>2845</v>
      </c>
      <c r="B1363" s="70">
        <v>46179</v>
      </c>
      <c r="C1363" s="67" t="s">
        <v>1404</v>
      </c>
      <c r="D1363" s="67" t="s">
        <v>1511</v>
      </c>
      <c r="E1363" s="67" t="s">
        <v>1470</v>
      </c>
      <c r="F1363" s="67" t="s">
        <v>1462</v>
      </c>
      <c r="G1363" s="69">
        <v>328</v>
      </c>
    </row>
    <row r="1364" spans="1:7">
      <c r="A1364" s="67" t="s">
        <v>2846</v>
      </c>
      <c r="B1364" s="70">
        <v>46179</v>
      </c>
      <c r="C1364" s="67" t="s">
        <v>1404</v>
      </c>
      <c r="D1364" s="67" t="s">
        <v>365</v>
      </c>
      <c r="E1364" s="67" t="s">
        <v>1368</v>
      </c>
      <c r="F1364" s="67" t="s">
        <v>1488</v>
      </c>
      <c r="G1364" s="69">
        <v>6</v>
      </c>
    </row>
    <row r="1365" spans="1:7">
      <c r="A1365" s="67" t="s">
        <v>2847</v>
      </c>
      <c r="B1365" s="70">
        <v>46179</v>
      </c>
      <c r="C1365" s="67" t="s">
        <v>1404</v>
      </c>
      <c r="D1365" s="67" t="s">
        <v>369</v>
      </c>
      <c r="E1365" s="67" t="s">
        <v>1368</v>
      </c>
      <c r="F1365" s="67" t="s">
        <v>1462</v>
      </c>
      <c r="G1365" s="69">
        <v>128</v>
      </c>
    </row>
    <row r="1366" spans="1:7">
      <c r="A1366" s="67" t="s">
        <v>2848</v>
      </c>
      <c r="B1366" s="70">
        <v>46179</v>
      </c>
      <c r="C1366" s="67" t="s">
        <v>1411</v>
      </c>
      <c r="D1366" s="67" t="s">
        <v>1506</v>
      </c>
      <c r="E1366" s="67" t="s">
        <v>1482</v>
      </c>
      <c r="F1366" s="67" t="s">
        <v>1488</v>
      </c>
      <c r="G1366" s="69">
        <v>3</v>
      </c>
    </row>
    <row r="1367" spans="1:7">
      <c r="A1367" s="67" t="s">
        <v>2849</v>
      </c>
      <c r="B1367" s="70">
        <v>46179</v>
      </c>
      <c r="C1367" s="67" t="s">
        <v>1411</v>
      </c>
      <c r="D1367" s="67" t="s">
        <v>358</v>
      </c>
      <c r="E1367" s="67" t="s">
        <v>1368</v>
      </c>
      <c r="F1367" s="67" t="s">
        <v>1462</v>
      </c>
      <c r="G1367" s="69">
        <v>324</v>
      </c>
    </row>
    <row r="1368" spans="1:7">
      <c r="A1368" s="67" t="s">
        <v>2850</v>
      </c>
      <c r="B1368" s="70">
        <v>46179</v>
      </c>
      <c r="C1368" s="67" t="s">
        <v>1414</v>
      </c>
      <c r="D1368" s="67" t="s">
        <v>1511</v>
      </c>
      <c r="E1368" s="67" t="s">
        <v>1470</v>
      </c>
      <c r="F1368" s="67" t="s">
        <v>1462</v>
      </c>
      <c r="G1368" s="69">
        <v>554</v>
      </c>
    </row>
    <row r="1369" spans="1:7">
      <c r="A1369" s="67" t="s">
        <v>2851</v>
      </c>
      <c r="B1369" s="70">
        <v>46179</v>
      </c>
      <c r="C1369" s="67" t="s">
        <v>1414</v>
      </c>
      <c r="D1369" s="67" t="s">
        <v>1511</v>
      </c>
      <c r="E1369" s="67" t="s">
        <v>1470</v>
      </c>
      <c r="F1369" s="67" t="s">
        <v>1462</v>
      </c>
      <c r="G1369" s="69">
        <v>209</v>
      </c>
    </row>
    <row r="1370" spans="1:7">
      <c r="A1370" s="67" t="s">
        <v>2852</v>
      </c>
      <c r="B1370" s="70">
        <v>46179</v>
      </c>
      <c r="C1370" s="67" t="s">
        <v>1414</v>
      </c>
      <c r="D1370" s="67" t="s">
        <v>1511</v>
      </c>
      <c r="E1370" s="67" t="s">
        <v>1470</v>
      </c>
      <c r="F1370" s="67" t="s">
        <v>1488</v>
      </c>
      <c r="G1370" s="69">
        <v>9</v>
      </c>
    </row>
    <row r="1371" spans="1:7">
      <c r="A1371" s="67" t="s">
        <v>2853</v>
      </c>
      <c r="B1371" s="70">
        <v>46179</v>
      </c>
      <c r="C1371" s="67" t="s">
        <v>1414</v>
      </c>
      <c r="D1371" s="67" t="s">
        <v>1511</v>
      </c>
      <c r="E1371" s="67" t="s">
        <v>1470</v>
      </c>
      <c r="F1371" s="67" t="s">
        <v>1462</v>
      </c>
      <c r="G1371" s="69">
        <v>397</v>
      </c>
    </row>
    <row r="1372" spans="1:7">
      <c r="A1372" s="67" t="s">
        <v>2854</v>
      </c>
      <c r="B1372" s="70">
        <v>46179</v>
      </c>
      <c r="C1372" s="67" t="s">
        <v>1414</v>
      </c>
      <c r="D1372" s="67" t="s">
        <v>1484</v>
      </c>
      <c r="E1372" s="67" t="s">
        <v>1470</v>
      </c>
      <c r="F1372" s="67" t="s">
        <v>1462</v>
      </c>
      <c r="G1372" s="69">
        <v>304</v>
      </c>
    </row>
    <row r="1373" spans="1:7">
      <c r="A1373" s="67" t="s">
        <v>2855</v>
      </c>
      <c r="B1373" s="70">
        <v>46179</v>
      </c>
      <c r="C1373" s="67" t="s">
        <v>1423</v>
      </c>
      <c r="D1373" s="67" t="s">
        <v>1743</v>
      </c>
      <c r="E1373" s="67" t="s">
        <v>1410</v>
      </c>
      <c r="F1373" s="67" t="s">
        <v>1462</v>
      </c>
      <c r="G1373" s="69">
        <v>324</v>
      </c>
    </row>
    <row r="1374" spans="1:7">
      <c r="A1374" s="67" t="s">
        <v>2856</v>
      </c>
      <c r="B1374" s="70">
        <v>46179</v>
      </c>
      <c r="C1374" s="67" t="s">
        <v>1427</v>
      </c>
      <c r="D1374" s="67" t="s">
        <v>353</v>
      </c>
      <c r="E1374" s="67" t="s">
        <v>1368</v>
      </c>
      <c r="F1374" s="67" t="s">
        <v>1462</v>
      </c>
      <c r="G1374" s="69">
        <v>541</v>
      </c>
    </row>
    <row r="1375" spans="1:7">
      <c r="A1375" s="67" t="s">
        <v>2857</v>
      </c>
      <c r="B1375" s="70">
        <v>46179</v>
      </c>
      <c r="C1375" s="67" t="s">
        <v>1429</v>
      </c>
      <c r="D1375" s="67" t="s">
        <v>369</v>
      </c>
      <c r="E1375" s="67" t="s">
        <v>1368</v>
      </c>
      <c r="F1375" s="67" t="s">
        <v>1462</v>
      </c>
      <c r="G1375" s="69">
        <v>322</v>
      </c>
    </row>
    <row r="1376" spans="1:7">
      <c r="A1376" s="67" t="s">
        <v>2858</v>
      </c>
      <c r="B1376" s="70">
        <v>46179</v>
      </c>
      <c r="C1376" s="67" t="s">
        <v>1431</v>
      </c>
      <c r="D1376" s="67" t="s">
        <v>1520</v>
      </c>
      <c r="E1376" s="67" t="s">
        <v>1433</v>
      </c>
      <c r="F1376" s="67" t="s">
        <v>1460</v>
      </c>
      <c r="G1376" s="69">
        <v>29</v>
      </c>
    </row>
    <row r="1377" spans="1:7">
      <c r="A1377" s="67" t="s">
        <v>2859</v>
      </c>
      <c r="B1377" s="70">
        <v>46179</v>
      </c>
      <c r="C1377" s="67" t="s">
        <v>1444</v>
      </c>
      <c r="D1377" s="67" t="s">
        <v>1459</v>
      </c>
      <c r="E1377" s="67" t="s">
        <v>1362</v>
      </c>
      <c r="F1377" s="67" t="s">
        <v>1462</v>
      </c>
      <c r="G1377" s="69">
        <v>40</v>
      </c>
    </row>
    <row r="1378" spans="1:7">
      <c r="A1378" s="67" t="s">
        <v>2860</v>
      </c>
      <c r="B1378" s="70">
        <v>46179</v>
      </c>
      <c r="C1378" s="67" t="s">
        <v>1450</v>
      </c>
      <c r="D1378" s="67" t="s">
        <v>367</v>
      </c>
      <c r="E1378" s="67" t="s">
        <v>1368</v>
      </c>
      <c r="F1378" s="67" t="s">
        <v>1462</v>
      </c>
      <c r="G1378" s="69">
        <v>331</v>
      </c>
    </row>
    <row r="1379" spans="1:7">
      <c r="A1379" s="67" t="s">
        <v>2861</v>
      </c>
      <c r="B1379" s="70">
        <v>46180</v>
      </c>
      <c r="C1379" s="67" t="s">
        <v>1359</v>
      </c>
      <c r="D1379" s="67" t="s">
        <v>1466</v>
      </c>
      <c r="E1379" s="67" t="s">
        <v>1386</v>
      </c>
      <c r="F1379" s="67" t="s">
        <v>1488</v>
      </c>
      <c r="G1379" s="69">
        <v>9</v>
      </c>
    </row>
    <row r="1380" spans="1:7">
      <c r="A1380" s="67" t="s">
        <v>2862</v>
      </c>
      <c r="B1380" s="70">
        <v>46180</v>
      </c>
      <c r="C1380" s="67" t="s">
        <v>1359</v>
      </c>
      <c r="D1380" s="67" t="s">
        <v>1551</v>
      </c>
      <c r="E1380" s="67" t="s">
        <v>1362</v>
      </c>
      <c r="F1380" s="67" t="s">
        <v>1462</v>
      </c>
      <c r="G1380" s="69">
        <v>258</v>
      </c>
    </row>
    <row r="1381" spans="1:7">
      <c r="A1381" s="67" t="s">
        <v>2863</v>
      </c>
      <c r="B1381" s="70">
        <v>46180</v>
      </c>
      <c r="C1381" s="67" t="s">
        <v>1371</v>
      </c>
      <c r="D1381" s="67" t="s">
        <v>1551</v>
      </c>
      <c r="E1381" s="67" t="s">
        <v>1362</v>
      </c>
      <c r="F1381" s="67" t="s">
        <v>1462</v>
      </c>
      <c r="G1381" s="69">
        <v>364</v>
      </c>
    </row>
    <row r="1382" spans="1:7">
      <c r="A1382" s="67" t="s">
        <v>2864</v>
      </c>
      <c r="B1382" s="70">
        <v>46180</v>
      </c>
      <c r="C1382" s="67" t="s">
        <v>1371</v>
      </c>
      <c r="D1382" s="67" t="s">
        <v>1551</v>
      </c>
      <c r="E1382" s="67" t="s">
        <v>1362</v>
      </c>
      <c r="F1382" s="67" t="s">
        <v>1462</v>
      </c>
      <c r="G1382" s="69">
        <v>227</v>
      </c>
    </row>
    <row r="1383" spans="1:7">
      <c r="A1383" s="67" t="s">
        <v>2865</v>
      </c>
      <c r="B1383" s="70">
        <v>46180</v>
      </c>
      <c r="C1383" s="67" t="s">
        <v>1375</v>
      </c>
      <c r="D1383" s="67" t="s">
        <v>353</v>
      </c>
      <c r="E1383" s="67" t="s">
        <v>1368</v>
      </c>
      <c r="F1383" s="67" t="s">
        <v>1462</v>
      </c>
      <c r="G1383" s="69">
        <v>42</v>
      </c>
    </row>
    <row r="1384" spans="1:7">
      <c r="A1384" s="67" t="s">
        <v>2866</v>
      </c>
      <c r="B1384" s="70">
        <v>46180</v>
      </c>
      <c r="C1384" s="67" t="s">
        <v>1384</v>
      </c>
      <c r="D1384" s="67" t="s">
        <v>1466</v>
      </c>
      <c r="E1384" s="67" t="s">
        <v>1386</v>
      </c>
      <c r="F1384" s="67" t="s">
        <v>1460</v>
      </c>
      <c r="G1384" s="69">
        <v>16</v>
      </c>
    </row>
    <row r="1385" spans="1:7">
      <c r="A1385" s="67" t="s">
        <v>2867</v>
      </c>
      <c r="B1385" s="70">
        <v>46180</v>
      </c>
      <c r="C1385" s="67" t="s">
        <v>1404</v>
      </c>
      <c r="D1385" s="67" t="s">
        <v>353</v>
      </c>
      <c r="E1385" s="67" t="s">
        <v>1368</v>
      </c>
      <c r="F1385" s="67" t="s">
        <v>1462</v>
      </c>
      <c r="G1385" s="69">
        <v>285</v>
      </c>
    </row>
    <row r="1386" spans="1:7">
      <c r="A1386" s="67" t="s">
        <v>2868</v>
      </c>
      <c r="B1386" s="70">
        <v>46180</v>
      </c>
      <c r="C1386" s="67" t="s">
        <v>1404</v>
      </c>
      <c r="D1386" s="67" t="s">
        <v>353</v>
      </c>
      <c r="E1386" s="67" t="s">
        <v>1368</v>
      </c>
      <c r="F1386" s="67" t="s">
        <v>1462</v>
      </c>
      <c r="G1386" s="69">
        <v>217</v>
      </c>
    </row>
    <row r="1387" spans="1:7">
      <c r="A1387" s="67" t="s">
        <v>2869</v>
      </c>
      <c r="B1387" s="70">
        <v>46180</v>
      </c>
      <c r="C1387" s="67" t="s">
        <v>1411</v>
      </c>
      <c r="D1387" s="67" t="s">
        <v>369</v>
      </c>
      <c r="E1387" s="67" t="s">
        <v>1368</v>
      </c>
      <c r="F1387" s="67" t="s">
        <v>1462</v>
      </c>
      <c r="G1387" s="69">
        <v>42</v>
      </c>
    </row>
    <row r="1388" spans="1:7">
      <c r="A1388" s="67" t="s">
        <v>2870</v>
      </c>
      <c r="B1388" s="70">
        <v>46180</v>
      </c>
      <c r="C1388" s="67" t="s">
        <v>1411</v>
      </c>
      <c r="D1388" s="67" t="s">
        <v>1506</v>
      </c>
      <c r="E1388" s="67" t="s">
        <v>1482</v>
      </c>
      <c r="F1388" s="67" t="s">
        <v>1488</v>
      </c>
      <c r="G1388" s="69">
        <v>6</v>
      </c>
    </row>
    <row r="1389" spans="1:7">
      <c r="A1389" s="67" t="s">
        <v>2871</v>
      </c>
      <c r="B1389" s="70">
        <v>46180</v>
      </c>
      <c r="C1389" s="67" t="s">
        <v>1411</v>
      </c>
      <c r="D1389" s="67" t="s">
        <v>1506</v>
      </c>
      <c r="E1389" s="67" t="s">
        <v>1482</v>
      </c>
      <c r="F1389" s="67" t="s">
        <v>1460</v>
      </c>
      <c r="G1389" s="69">
        <v>27</v>
      </c>
    </row>
    <row r="1390" spans="1:7">
      <c r="A1390" s="67" t="s">
        <v>2872</v>
      </c>
      <c r="B1390" s="70">
        <v>46180</v>
      </c>
      <c r="C1390" s="67" t="s">
        <v>1411</v>
      </c>
      <c r="D1390" s="67" t="s">
        <v>1481</v>
      </c>
      <c r="E1390" s="67" t="s">
        <v>1482</v>
      </c>
      <c r="F1390" s="67" t="s">
        <v>1462</v>
      </c>
      <c r="G1390" s="69">
        <v>125</v>
      </c>
    </row>
    <row r="1391" spans="1:7">
      <c r="A1391" s="67" t="s">
        <v>2873</v>
      </c>
      <c r="B1391" s="70">
        <v>46180</v>
      </c>
      <c r="C1391" s="67" t="s">
        <v>1411</v>
      </c>
      <c r="D1391" s="67" t="s">
        <v>1481</v>
      </c>
      <c r="E1391" s="67" t="s">
        <v>1482</v>
      </c>
      <c r="F1391" s="67" t="s">
        <v>1462</v>
      </c>
      <c r="G1391" s="69">
        <v>542</v>
      </c>
    </row>
    <row r="1392" spans="1:7">
      <c r="A1392" s="67" t="s">
        <v>2874</v>
      </c>
      <c r="B1392" s="70">
        <v>46180</v>
      </c>
      <c r="C1392" s="67" t="s">
        <v>1438</v>
      </c>
      <c r="D1392" s="67" t="s">
        <v>1459</v>
      </c>
      <c r="E1392" s="67" t="s">
        <v>1362</v>
      </c>
      <c r="F1392" s="67" t="s">
        <v>1462</v>
      </c>
      <c r="G1392" s="69">
        <v>205</v>
      </c>
    </row>
    <row r="1393" spans="1:7">
      <c r="A1393" s="67" t="s">
        <v>2875</v>
      </c>
      <c r="B1393" s="70">
        <v>46180</v>
      </c>
      <c r="C1393" s="67" t="s">
        <v>1442</v>
      </c>
      <c r="D1393" s="67" t="s">
        <v>1466</v>
      </c>
      <c r="E1393" s="67" t="s">
        <v>1386</v>
      </c>
      <c r="F1393" s="67" t="s">
        <v>1462</v>
      </c>
      <c r="G1393" s="69">
        <v>593</v>
      </c>
    </row>
    <row r="1394" spans="1:7">
      <c r="A1394" s="67" t="s">
        <v>2876</v>
      </c>
      <c r="B1394" s="70">
        <v>46180</v>
      </c>
      <c r="C1394" s="67" t="s">
        <v>1444</v>
      </c>
      <c r="D1394" s="67" t="s">
        <v>1602</v>
      </c>
      <c r="E1394" s="67" t="s">
        <v>1386</v>
      </c>
      <c r="F1394" s="67" t="s">
        <v>1462</v>
      </c>
      <c r="G1394" s="69">
        <v>205</v>
      </c>
    </row>
    <row r="1395" spans="1:7">
      <c r="A1395" s="67" t="s">
        <v>2877</v>
      </c>
      <c r="B1395" s="70">
        <v>46180</v>
      </c>
      <c r="C1395" s="67" t="s">
        <v>1446</v>
      </c>
      <c r="D1395" s="67" t="s">
        <v>1602</v>
      </c>
      <c r="E1395" s="67" t="s">
        <v>1386</v>
      </c>
      <c r="F1395" s="67" t="s">
        <v>1462</v>
      </c>
      <c r="G1395" s="69">
        <v>411</v>
      </c>
    </row>
    <row r="1396" spans="1:7">
      <c r="A1396" s="67" t="s">
        <v>2878</v>
      </c>
      <c r="B1396" s="70">
        <v>46181</v>
      </c>
      <c r="C1396" s="67" t="s">
        <v>1359</v>
      </c>
      <c r="D1396" s="67" t="s">
        <v>1466</v>
      </c>
      <c r="E1396" s="67" t="s">
        <v>1386</v>
      </c>
      <c r="F1396" s="67" t="s">
        <v>1460</v>
      </c>
      <c r="G1396" s="69">
        <v>10</v>
      </c>
    </row>
    <row r="1397" spans="1:7">
      <c r="A1397" s="67" t="s">
        <v>2879</v>
      </c>
      <c r="B1397" s="70">
        <v>46181</v>
      </c>
      <c r="C1397" s="67" t="s">
        <v>1359</v>
      </c>
      <c r="D1397" s="67" t="s">
        <v>1551</v>
      </c>
      <c r="E1397" s="67" t="s">
        <v>1362</v>
      </c>
      <c r="F1397" s="67" t="s">
        <v>1488</v>
      </c>
      <c r="G1397" s="69">
        <v>9</v>
      </c>
    </row>
    <row r="1398" spans="1:7">
      <c r="A1398" s="67" t="s">
        <v>2880</v>
      </c>
      <c r="B1398" s="70">
        <v>46181</v>
      </c>
      <c r="C1398" s="67" t="s">
        <v>1359</v>
      </c>
      <c r="D1398" s="67" t="s">
        <v>1551</v>
      </c>
      <c r="E1398" s="67" t="s">
        <v>1362</v>
      </c>
      <c r="F1398" s="67" t="s">
        <v>1460</v>
      </c>
      <c r="G1398" s="69">
        <v>10</v>
      </c>
    </row>
    <row r="1399" spans="1:7">
      <c r="A1399" s="67" t="s">
        <v>2881</v>
      </c>
      <c r="B1399" s="70">
        <v>46181</v>
      </c>
      <c r="C1399" s="67" t="s">
        <v>1359</v>
      </c>
      <c r="D1399" s="67" t="s">
        <v>1551</v>
      </c>
      <c r="E1399" s="67" t="s">
        <v>1362</v>
      </c>
      <c r="F1399" s="67" t="s">
        <v>1462</v>
      </c>
      <c r="G1399" s="69">
        <v>35</v>
      </c>
    </row>
    <row r="1400" spans="1:7">
      <c r="A1400" s="67" t="s">
        <v>2882</v>
      </c>
      <c r="B1400" s="70">
        <v>46181</v>
      </c>
      <c r="C1400" s="67" t="s">
        <v>1366</v>
      </c>
      <c r="D1400" s="67" t="s">
        <v>1459</v>
      </c>
      <c r="E1400" s="67" t="s">
        <v>1362</v>
      </c>
      <c r="F1400" s="67" t="s">
        <v>1462</v>
      </c>
      <c r="G1400" s="69">
        <v>312</v>
      </c>
    </row>
    <row r="1401" spans="1:7">
      <c r="A1401" s="67" t="s">
        <v>2883</v>
      </c>
      <c r="B1401" s="70">
        <v>46181</v>
      </c>
      <c r="C1401" s="67" t="s">
        <v>1384</v>
      </c>
      <c r="D1401" s="67" t="s">
        <v>1466</v>
      </c>
      <c r="E1401" s="67" t="s">
        <v>1386</v>
      </c>
      <c r="F1401" s="67" t="s">
        <v>1462</v>
      </c>
      <c r="G1401" s="69">
        <v>437</v>
      </c>
    </row>
    <row r="1402" spans="1:7">
      <c r="A1402" s="67" t="s">
        <v>2884</v>
      </c>
      <c r="B1402" s="70">
        <v>46181</v>
      </c>
      <c r="C1402" s="67" t="s">
        <v>1384</v>
      </c>
      <c r="D1402" s="67" t="s">
        <v>1466</v>
      </c>
      <c r="E1402" s="67" t="s">
        <v>1386</v>
      </c>
      <c r="F1402" s="67" t="s">
        <v>1462</v>
      </c>
      <c r="G1402" s="69">
        <v>190</v>
      </c>
    </row>
    <row r="1403" spans="1:7">
      <c r="A1403" s="67" t="s">
        <v>2885</v>
      </c>
      <c r="B1403" s="70">
        <v>46181</v>
      </c>
      <c r="C1403" s="67" t="s">
        <v>1399</v>
      </c>
      <c r="D1403" s="67" t="s">
        <v>1476</v>
      </c>
      <c r="E1403" s="67" t="s">
        <v>1362</v>
      </c>
      <c r="F1403" s="67" t="s">
        <v>1462</v>
      </c>
      <c r="G1403" s="69">
        <v>552</v>
      </c>
    </row>
    <row r="1404" spans="1:7">
      <c r="A1404" s="67" t="s">
        <v>2886</v>
      </c>
      <c r="B1404" s="70">
        <v>46181</v>
      </c>
      <c r="C1404" s="67" t="s">
        <v>1401</v>
      </c>
      <c r="D1404" s="67" t="s">
        <v>1551</v>
      </c>
      <c r="E1404" s="67" t="s">
        <v>1362</v>
      </c>
      <c r="F1404" s="67" t="s">
        <v>1462</v>
      </c>
      <c r="G1404" s="69">
        <v>487</v>
      </c>
    </row>
    <row r="1405" spans="1:7">
      <c r="A1405" s="67" t="s">
        <v>2887</v>
      </c>
      <c r="B1405" s="70">
        <v>46181</v>
      </c>
      <c r="C1405" s="67" t="s">
        <v>1404</v>
      </c>
      <c r="D1405" s="67" t="s">
        <v>365</v>
      </c>
      <c r="E1405" s="67" t="s">
        <v>1368</v>
      </c>
      <c r="F1405" s="67" t="s">
        <v>1462</v>
      </c>
      <c r="G1405" s="69">
        <v>482</v>
      </c>
    </row>
    <row r="1406" spans="1:7">
      <c r="A1406" s="67" t="s">
        <v>2888</v>
      </c>
      <c r="B1406" s="70">
        <v>46181</v>
      </c>
      <c r="C1406" s="67" t="s">
        <v>1404</v>
      </c>
      <c r="D1406" s="67" t="s">
        <v>358</v>
      </c>
      <c r="E1406" s="67" t="s">
        <v>1368</v>
      </c>
      <c r="F1406" s="67" t="s">
        <v>1462</v>
      </c>
      <c r="G1406" s="69">
        <v>39</v>
      </c>
    </row>
    <row r="1407" spans="1:7">
      <c r="A1407" s="67" t="s">
        <v>2889</v>
      </c>
      <c r="B1407" s="70">
        <v>46181</v>
      </c>
      <c r="C1407" s="67" t="s">
        <v>1411</v>
      </c>
      <c r="D1407" s="67" t="s">
        <v>1506</v>
      </c>
      <c r="E1407" s="67" t="s">
        <v>1482</v>
      </c>
      <c r="F1407" s="67" t="s">
        <v>1462</v>
      </c>
      <c r="G1407" s="69">
        <v>178</v>
      </c>
    </row>
    <row r="1408" spans="1:7">
      <c r="A1408" s="67" t="s">
        <v>2890</v>
      </c>
      <c r="B1408" s="70">
        <v>46181</v>
      </c>
      <c r="C1408" s="67" t="s">
        <v>1411</v>
      </c>
      <c r="D1408" s="67" t="s">
        <v>1506</v>
      </c>
      <c r="E1408" s="67" t="s">
        <v>1482</v>
      </c>
      <c r="F1408" s="67" t="s">
        <v>1460</v>
      </c>
      <c r="G1408" s="69">
        <v>6</v>
      </c>
    </row>
    <row r="1409" spans="1:7">
      <c r="A1409" s="67" t="s">
        <v>2891</v>
      </c>
      <c r="B1409" s="70">
        <v>46181</v>
      </c>
      <c r="C1409" s="67" t="s">
        <v>1414</v>
      </c>
      <c r="D1409" s="67" t="s">
        <v>1469</v>
      </c>
      <c r="E1409" s="67" t="s">
        <v>1470</v>
      </c>
      <c r="F1409" s="67" t="s">
        <v>1462</v>
      </c>
      <c r="G1409" s="69">
        <v>338</v>
      </c>
    </row>
    <row r="1410" spans="1:7">
      <c r="A1410" s="67" t="s">
        <v>2892</v>
      </c>
      <c r="B1410" s="70">
        <v>46181</v>
      </c>
      <c r="C1410" s="67" t="s">
        <v>1423</v>
      </c>
      <c r="D1410" s="67" t="s">
        <v>353</v>
      </c>
      <c r="E1410" s="67" t="s">
        <v>1368</v>
      </c>
      <c r="F1410" s="67" t="s">
        <v>1462</v>
      </c>
      <c r="G1410" s="69">
        <v>361</v>
      </c>
    </row>
    <row r="1411" spans="1:7">
      <c r="A1411" s="67" t="s">
        <v>2893</v>
      </c>
      <c r="B1411" s="70">
        <v>46181</v>
      </c>
      <c r="C1411" s="67" t="s">
        <v>1425</v>
      </c>
      <c r="D1411" s="67" t="s">
        <v>1484</v>
      </c>
      <c r="E1411" s="67" t="s">
        <v>1470</v>
      </c>
      <c r="F1411" s="67" t="s">
        <v>1460</v>
      </c>
      <c r="G1411" s="69">
        <v>14</v>
      </c>
    </row>
    <row r="1412" spans="1:7">
      <c r="A1412" s="67" t="s">
        <v>2894</v>
      </c>
      <c r="B1412" s="70">
        <v>46181</v>
      </c>
      <c r="C1412" s="67" t="s">
        <v>1425</v>
      </c>
      <c r="D1412" s="67" t="s">
        <v>1484</v>
      </c>
      <c r="E1412" s="67" t="s">
        <v>1470</v>
      </c>
      <c r="F1412" s="67" t="s">
        <v>1460</v>
      </c>
      <c r="G1412" s="69">
        <v>11</v>
      </c>
    </row>
    <row r="1413" spans="1:7">
      <c r="A1413" s="67" t="s">
        <v>2895</v>
      </c>
      <c r="B1413" s="70">
        <v>46181</v>
      </c>
      <c r="C1413" s="67" t="s">
        <v>1429</v>
      </c>
      <c r="D1413" s="67" t="s">
        <v>353</v>
      </c>
      <c r="E1413" s="67" t="s">
        <v>1368</v>
      </c>
      <c r="F1413" s="67" t="s">
        <v>1462</v>
      </c>
      <c r="G1413" s="69">
        <v>249</v>
      </c>
    </row>
    <row r="1414" spans="1:7">
      <c r="A1414" s="67" t="s">
        <v>2896</v>
      </c>
      <c r="B1414" s="70">
        <v>46181</v>
      </c>
      <c r="C1414" s="67" t="s">
        <v>1429</v>
      </c>
      <c r="D1414" s="67" t="s">
        <v>369</v>
      </c>
      <c r="E1414" s="67" t="s">
        <v>1368</v>
      </c>
      <c r="F1414" s="67" t="s">
        <v>1460</v>
      </c>
      <c r="G1414" s="69">
        <v>5</v>
      </c>
    </row>
    <row r="1415" spans="1:7">
      <c r="A1415" s="67" t="s">
        <v>2897</v>
      </c>
      <c r="B1415" s="70">
        <v>46182</v>
      </c>
      <c r="C1415" s="67" t="s">
        <v>1359</v>
      </c>
      <c r="D1415" s="67" t="s">
        <v>1459</v>
      </c>
      <c r="E1415" s="67" t="s">
        <v>1362</v>
      </c>
      <c r="F1415" s="67" t="s">
        <v>1462</v>
      </c>
      <c r="G1415" s="69">
        <v>40</v>
      </c>
    </row>
    <row r="1416" spans="1:7">
      <c r="A1416" s="67" t="s">
        <v>2898</v>
      </c>
      <c r="B1416" s="70">
        <v>46182</v>
      </c>
      <c r="C1416" s="67" t="s">
        <v>1359</v>
      </c>
      <c r="D1416" s="67" t="s">
        <v>1459</v>
      </c>
      <c r="E1416" s="67" t="s">
        <v>1362</v>
      </c>
      <c r="F1416" s="67" t="s">
        <v>1462</v>
      </c>
      <c r="G1416" s="69">
        <v>129</v>
      </c>
    </row>
    <row r="1417" spans="1:7">
      <c r="A1417" s="67" t="s">
        <v>2899</v>
      </c>
      <c r="B1417" s="70">
        <v>46182</v>
      </c>
      <c r="C1417" s="67" t="s">
        <v>1371</v>
      </c>
      <c r="D1417" s="67" t="s">
        <v>353</v>
      </c>
      <c r="E1417" s="67" t="s">
        <v>1368</v>
      </c>
      <c r="F1417" s="67" t="s">
        <v>1462</v>
      </c>
      <c r="G1417" s="69">
        <v>399</v>
      </c>
    </row>
    <row r="1418" spans="1:7">
      <c r="A1418" s="67" t="s">
        <v>2900</v>
      </c>
      <c r="B1418" s="70">
        <v>46182</v>
      </c>
      <c r="C1418" s="67" t="s">
        <v>1375</v>
      </c>
      <c r="D1418" s="67" t="s">
        <v>356</v>
      </c>
      <c r="E1418" s="67" t="s">
        <v>1368</v>
      </c>
      <c r="F1418" s="67" t="s">
        <v>1462</v>
      </c>
      <c r="G1418" s="69">
        <v>117</v>
      </c>
    </row>
    <row r="1419" spans="1:7">
      <c r="A1419" s="67" t="s">
        <v>2901</v>
      </c>
      <c r="B1419" s="70">
        <v>46182</v>
      </c>
      <c r="C1419" s="67" t="s">
        <v>1375</v>
      </c>
      <c r="D1419" s="67" t="s">
        <v>1551</v>
      </c>
      <c r="E1419" s="67" t="s">
        <v>1362</v>
      </c>
      <c r="F1419" s="67" t="s">
        <v>1460</v>
      </c>
      <c r="G1419" s="69">
        <v>17</v>
      </c>
    </row>
    <row r="1420" spans="1:7">
      <c r="A1420" s="67" t="s">
        <v>2902</v>
      </c>
      <c r="B1420" s="70">
        <v>46182</v>
      </c>
      <c r="C1420" s="67" t="s">
        <v>1381</v>
      </c>
      <c r="D1420" s="67" t="s">
        <v>367</v>
      </c>
      <c r="E1420" s="67" t="s">
        <v>1368</v>
      </c>
      <c r="F1420" s="67" t="s">
        <v>1462</v>
      </c>
      <c r="G1420" s="69">
        <v>110</v>
      </c>
    </row>
    <row r="1421" spans="1:7">
      <c r="A1421" s="67" t="s">
        <v>2903</v>
      </c>
      <c r="B1421" s="70">
        <v>46182</v>
      </c>
      <c r="C1421" s="67" t="s">
        <v>1391</v>
      </c>
      <c r="D1421" s="67" t="s">
        <v>2005</v>
      </c>
      <c r="E1421" s="67" t="s">
        <v>5</v>
      </c>
      <c r="F1421" s="67" t="s">
        <v>1462</v>
      </c>
      <c r="G1421" s="69">
        <v>532</v>
      </c>
    </row>
    <row r="1422" spans="1:7">
      <c r="A1422" s="67" t="s">
        <v>2904</v>
      </c>
      <c r="B1422" s="70">
        <v>46182</v>
      </c>
      <c r="C1422" s="67" t="s">
        <v>1393</v>
      </c>
      <c r="D1422" s="67" t="s">
        <v>369</v>
      </c>
      <c r="E1422" s="67" t="s">
        <v>1368</v>
      </c>
      <c r="F1422" s="67" t="s">
        <v>1462</v>
      </c>
      <c r="G1422" s="69">
        <v>335</v>
      </c>
    </row>
    <row r="1423" spans="1:7">
      <c r="A1423" s="67" t="s">
        <v>2905</v>
      </c>
      <c r="B1423" s="70">
        <v>46182</v>
      </c>
      <c r="C1423" s="67" t="s">
        <v>1399</v>
      </c>
      <c r="D1423" s="67" t="s">
        <v>365</v>
      </c>
      <c r="E1423" s="67" t="s">
        <v>1368</v>
      </c>
      <c r="F1423" s="67" t="s">
        <v>1462</v>
      </c>
      <c r="G1423" s="69">
        <v>492</v>
      </c>
    </row>
    <row r="1424" spans="1:7">
      <c r="A1424" s="67" t="s">
        <v>2906</v>
      </c>
      <c r="B1424" s="70">
        <v>46182</v>
      </c>
      <c r="C1424" s="67" t="s">
        <v>1399</v>
      </c>
      <c r="D1424" s="67" t="s">
        <v>1466</v>
      </c>
      <c r="E1424" s="67" t="s">
        <v>1386</v>
      </c>
      <c r="F1424" s="67" t="s">
        <v>1462</v>
      </c>
      <c r="G1424" s="69">
        <v>189</v>
      </c>
    </row>
    <row r="1425" spans="1:7">
      <c r="A1425" s="67" t="s">
        <v>2907</v>
      </c>
      <c r="B1425" s="70">
        <v>46182</v>
      </c>
      <c r="C1425" s="67" t="s">
        <v>1411</v>
      </c>
      <c r="D1425" s="67" t="s">
        <v>1481</v>
      </c>
      <c r="E1425" s="67" t="s">
        <v>1482</v>
      </c>
      <c r="F1425" s="67" t="s">
        <v>1462</v>
      </c>
      <c r="G1425" s="69">
        <v>518</v>
      </c>
    </row>
    <row r="1426" spans="1:7">
      <c r="A1426" s="67" t="s">
        <v>2908</v>
      </c>
      <c r="B1426" s="70">
        <v>46182</v>
      </c>
      <c r="C1426" s="67" t="s">
        <v>1414</v>
      </c>
      <c r="D1426" s="67" t="s">
        <v>1551</v>
      </c>
      <c r="E1426" s="67" t="s">
        <v>1362</v>
      </c>
      <c r="F1426" s="67" t="s">
        <v>1462</v>
      </c>
      <c r="G1426" s="69">
        <v>532</v>
      </c>
    </row>
    <row r="1427" spans="1:7">
      <c r="A1427" s="67" t="s">
        <v>2909</v>
      </c>
      <c r="B1427" s="70">
        <v>46182</v>
      </c>
      <c r="C1427" s="67" t="s">
        <v>1444</v>
      </c>
      <c r="D1427" s="67" t="s">
        <v>356</v>
      </c>
      <c r="E1427" s="67" t="s">
        <v>1368</v>
      </c>
      <c r="F1427" s="67" t="s">
        <v>1462</v>
      </c>
      <c r="G1427" s="69">
        <v>323</v>
      </c>
    </row>
    <row r="1428" spans="1:7">
      <c r="A1428" s="67" t="s">
        <v>2910</v>
      </c>
      <c r="B1428" s="70">
        <v>46182</v>
      </c>
      <c r="C1428" s="67" t="s">
        <v>1446</v>
      </c>
      <c r="D1428" s="67" t="s">
        <v>1476</v>
      </c>
      <c r="E1428" s="67" t="s">
        <v>1362</v>
      </c>
      <c r="F1428" s="67" t="s">
        <v>1460</v>
      </c>
      <c r="G1428" s="69">
        <v>7</v>
      </c>
    </row>
    <row r="1429" spans="1:7">
      <c r="A1429" s="67" t="s">
        <v>2911</v>
      </c>
      <c r="B1429" s="70">
        <v>46182</v>
      </c>
      <c r="C1429" s="67" t="s">
        <v>1446</v>
      </c>
      <c r="D1429" s="67" t="s">
        <v>1466</v>
      </c>
      <c r="E1429" s="67" t="s">
        <v>1386</v>
      </c>
      <c r="F1429" s="67" t="s">
        <v>1462</v>
      </c>
      <c r="G1429" s="69">
        <v>409</v>
      </c>
    </row>
    <row r="1430" spans="1:7">
      <c r="A1430" s="67" t="s">
        <v>2912</v>
      </c>
      <c r="B1430" s="70">
        <v>46182</v>
      </c>
      <c r="C1430" s="67" t="s">
        <v>1446</v>
      </c>
      <c r="D1430" s="67" t="s">
        <v>358</v>
      </c>
      <c r="E1430" s="67" t="s">
        <v>1368</v>
      </c>
      <c r="F1430" s="67" t="s">
        <v>1462</v>
      </c>
      <c r="G1430" s="69">
        <v>143</v>
      </c>
    </row>
    <row r="1431" spans="1:7">
      <c r="A1431" s="67" t="s">
        <v>2913</v>
      </c>
      <c r="B1431" s="70">
        <v>46183</v>
      </c>
      <c r="C1431" s="67" t="s">
        <v>1359</v>
      </c>
      <c r="D1431" s="67" t="s">
        <v>367</v>
      </c>
      <c r="E1431" s="67" t="s">
        <v>1368</v>
      </c>
      <c r="F1431" s="67" t="s">
        <v>1460</v>
      </c>
      <c r="G1431" s="69">
        <v>26</v>
      </c>
    </row>
    <row r="1432" spans="1:7">
      <c r="A1432" s="67" t="s">
        <v>2914</v>
      </c>
      <c r="B1432" s="70">
        <v>46183</v>
      </c>
      <c r="C1432" s="67" t="s">
        <v>1359</v>
      </c>
      <c r="D1432" s="67" t="s">
        <v>1551</v>
      </c>
      <c r="E1432" s="67" t="s">
        <v>1362</v>
      </c>
      <c r="F1432" s="67" t="s">
        <v>1462</v>
      </c>
      <c r="G1432" s="69">
        <v>96</v>
      </c>
    </row>
    <row r="1433" spans="1:7">
      <c r="A1433" s="67" t="s">
        <v>2915</v>
      </c>
      <c r="B1433" s="70">
        <v>46183</v>
      </c>
      <c r="C1433" s="67" t="s">
        <v>1366</v>
      </c>
      <c r="D1433" s="67" t="s">
        <v>363</v>
      </c>
      <c r="E1433" s="67" t="s">
        <v>1368</v>
      </c>
      <c r="F1433" s="67" t="s">
        <v>1488</v>
      </c>
      <c r="G1433" s="69">
        <v>3</v>
      </c>
    </row>
    <row r="1434" spans="1:7">
      <c r="A1434" s="67" t="s">
        <v>2916</v>
      </c>
      <c r="B1434" s="70">
        <v>46183</v>
      </c>
      <c r="C1434" s="67" t="s">
        <v>1366</v>
      </c>
      <c r="D1434" s="67" t="s">
        <v>365</v>
      </c>
      <c r="E1434" s="67" t="s">
        <v>1368</v>
      </c>
      <c r="F1434" s="67" t="s">
        <v>1462</v>
      </c>
      <c r="G1434" s="69">
        <v>262</v>
      </c>
    </row>
    <row r="1435" spans="1:7">
      <c r="A1435" s="67" t="s">
        <v>2917</v>
      </c>
      <c r="B1435" s="70">
        <v>46183</v>
      </c>
      <c r="C1435" s="67" t="s">
        <v>1366</v>
      </c>
      <c r="D1435" s="67" t="s">
        <v>365</v>
      </c>
      <c r="E1435" s="67" t="s">
        <v>1368</v>
      </c>
      <c r="F1435" s="67" t="s">
        <v>1462</v>
      </c>
      <c r="G1435" s="69">
        <v>405</v>
      </c>
    </row>
    <row r="1436" spans="1:7">
      <c r="A1436" s="67" t="s">
        <v>2918</v>
      </c>
      <c r="B1436" s="70">
        <v>46183</v>
      </c>
      <c r="C1436" s="67" t="s">
        <v>1371</v>
      </c>
      <c r="D1436" s="67" t="s">
        <v>1476</v>
      </c>
      <c r="E1436" s="67" t="s">
        <v>1362</v>
      </c>
      <c r="F1436" s="67" t="s">
        <v>1462</v>
      </c>
      <c r="G1436" s="69">
        <v>145</v>
      </c>
    </row>
    <row r="1437" spans="1:7">
      <c r="A1437" s="67" t="s">
        <v>2919</v>
      </c>
      <c r="B1437" s="70">
        <v>46183</v>
      </c>
      <c r="C1437" s="67" t="s">
        <v>1375</v>
      </c>
      <c r="D1437" s="67" t="s">
        <v>369</v>
      </c>
      <c r="E1437" s="67" t="s">
        <v>1368</v>
      </c>
      <c r="F1437" s="67" t="s">
        <v>1462</v>
      </c>
      <c r="G1437" s="69">
        <v>219</v>
      </c>
    </row>
    <row r="1438" spans="1:7">
      <c r="A1438" s="67" t="s">
        <v>2920</v>
      </c>
      <c r="B1438" s="70">
        <v>46183</v>
      </c>
      <c r="C1438" s="67" t="s">
        <v>1384</v>
      </c>
      <c r="D1438" s="67" t="s">
        <v>1466</v>
      </c>
      <c r="E1438" s="67" t="s">
        <v>1386</v>
      </c>
      <c r="F1438" s="67" t="s">
        <v>1460</v>
      </c>
      <c r="G1438" s="69">
        <v>27</v>
      </c>
    </row>
    <row r="1439" spans="1:7">
      <c r="A1439" s="67" t="s">
        <v>2921</v>
      </c>
      <c r="B1439" s="70">
        <v>46183</v>
      </c>
      <c r="C1439" s="67" t="s">
        <v>1399</v>
      </c>
      <c r="D1439" s="67" t="s">
        <v>1459</v>
      </c>
      <c r="E1439" s="67" t="s">
        <v>1362</v>
      </c>
      <c r="F1439" s="67" t="s">
        <v>1460</v>
      </c>
      <c r="G1439" s="69">
        <v>15</v>
      </c>
    </row>
    <row r="1440" spans="1:7">
      <c r="A1440" s="67" t="s">
        <v>2922</v>
      </c>
      <c r="B1440" s="70">
        <v>46183</v>
      </c>
      <c r="C1440" s="67" t="s">
        <v>1399</v>
      </c>
      <c r="D1440" s="67" t="s">
        <v>1459</v>
      </c>
      <c r="E1440" s="67" t="s">
        <v>1362</v>
      </c>
      <c r="F1440" s="67" t="s">
        <v>1460</v>
      </c>
      <c r="G1440" s="69">
        <v>30</v>
      </c>
    </row>
    <row r="1441" spans="1:7">
      <c r="A1441" s="67" t="s">
        <v>2923</v>
      </c>
      <c r="B1441" s="70">
        <v>46183</v>
      </c>
      <c r="C1441" s="67" t="s">
        <v>1399</v>
      </c>
      <c r="D1441" s="67" t="s">
        <v>358</v>
      </c>
      <c r="E1441" s="67" t="s">
        <v>1368</v>
      </c>
      <c r="F1441" s="67" t="s">
        <v>1462</v>
      </c>
      <c r="G1441" s="69">
        <v>253</v>
      </c>
    </row>
    <row r="1442" spans="1:7">
      <c r="A1442" s="67" t="s">
        <v>2924</v>
      </c>
      <c r="B1442" s="70">
        <v>46183</v>
      </c>
      <c r="C1442" s="67" t="s">
        <v>1404</v>
      </c>
      <c r="D1442" s="67" t="s">
        <v>365</v>
      </c>
      <c r="E1442" s="67" t="s">
        <v>1368</v>
      </c>
      <c r="F1442" s="67" t="s">
        <v>1462</v>
      </c>
      <c r="G1442" s="69">
        <v>412</v>
      </c>
    </row>
    <row r="1443" spans="1:7">
      <c r="A1443" s="67" t="s">
        <v>2925</v>
      </c>
      <c r="B1443" s="70">
        <v>46183</v>
      </c>
      <c r="C1443" s="67" t="s">
        <v>1404</v>
      </c>
      <c r="D1443" s="67" t="s">
        <v>1459</v>
      </c>
      <c r="E1443" s="67" t="s">
        <v>1362</v>
      </c>
      <c r="F1443" s="67" t="s">
        <v>1462</v>
      </c>
      <c r="G1443" s="69">
        <v>39</v>
      </c>
    </row>
    <row r="1444" spans="1:7">
      <c r="A1444" s="67" t="s">
        <v>2926</v>
      </c>
      <c r="B1444" s="70">
        <v>46183</v>
      </c>
      <c r="C1444" s="67" t="s">
        <v>1404</v>
      </c>
      <c r="D1444" s="67" t="s">
        <v>358</v>
      </c>
      <c r="E1444" s="67" t="s">
        <v>1368</v>
      </c>
      <c r="F1444" s="67" t="s">
        <v>1460</v>
      </c>
      <c r="G1444" s="69">
        <v>23</v>
      </c>
    </row>
    <row r="1445" spans="1:7">
      <c r="A1445" s="67" t="s">
        <v>2927</v>
      </c>
      <c r="B1445" s="70">
        <v>46183</v>
      </c>
      <c r="C1445" s="67" t="s">
        <v>1411</v>
      </c>
      <c r="D1445" s="67" t="s">
        <v>1506</v>
      </c>
      <c r="E1445" s="67" t="s">
        <v>1482</v>
      </c>
      <c r="F1445" s="67" t="s">
        <v>1462</v>
      </c>
      <c r="G1445" s="69">
        <v>379</v>
      </c>
    </row>
    <row r="1446" spans="1:7">
      <c r="A1446" s="67" t="s">
        <v>2928</v>
      </c>
      <c r="B1446" s="70">
        <v>46183</v>
      </c>
      <c r="C1446" s="67" t="s">
        <v>1411</v>
      </c>
      <c r="D1446" s="67" t="s">
        <v>1506</v>
      </c>
      <c r="E1446" s="67" t="s">
        <v>1482</v>
      </c>
      <c r="F1446" s="67" t="s">
        <v>1462</v>
      </c>
      <c r="G1446" s="69">
        <v>517</v>
      </c>
    </row>
    <row r="1447" spans="1:7">
      <c r="A1447" s="67" t="s">
        <v>2929</v>
      </c>
      <c r="B1447" s="70">
        <v>46183</v>
      </c>
      <c r="C1447" s="67" t="s">
        <v>1411</v>
      </c>
      <c r="D1447" s="67" t="s">
        <v>1481</v>
      </c>
      <c r="E1447" s="67" t="s">
        <v>1482</v>
      </c>
      <c r="F1447" s="67" t="s">
        <v>1460</v>
      </c>
      <c r="G1447" s="69">
        <v>8</v>
      </c>
    </row>
    <row r="1448" spans="1:7">
      <c r="A1448" s="67" t="s">
        <v>2930</v>
      </c>
      <c r="B1448" s="70">
        <v>46183</v>
      </c>
      <c r="C1448" s="67" t="s">
        <v>1411</v>
      </c>
      <c r="D1448" s="67" t="s">
        <v>1481</v>
      </c>
      <c r="E1448" s="67" t="s">
        <v>1482</v>
      </c>
      <c r="F1448" s="67" t="s">
        <v>1462</v>
      </c>
      <c r="G1448" s="69">
        <v>135</v>
      </c>
    </row>
    <row r="1449" spans="1:7">
      <c r="A1449" s="67" t="s">
        <v>2931</v>
      </c>
      <c r="B1449" s="70">
        <v>46183</v>
      </c>
      <c r="C1449" s="67" t="s">
        <v>1414</v>
      </c>
      <c r="D1449" s="67" t="s">
        <v>1484</v>
      </c>
      <c r="E1449" s="67" t="s">
        <v>1470</v>
      </c>
      <c r="F1449" s="67" t="s">
        <v>1462</v>
      </c>
      <c r="G1449" s="69">
        <v>290</v>
      </c>
    </row>
    <row r="1450" spans="1:7">
      <c r="A1450" s="67" t="s">
        <v>2932</v>
      </c>
      <c r="B1450" s="70">
        <v>46183</v>
      </c>
      <c r="C1450" s="67" t="s">
        <v>1429</v>
      </c>
      <c r="D1450" s="67" t="s">
        <v>356</v>
      </c>
      <c r="E1450" s="67" t="s">
        <v>1368</v>
      </c>
      <c r="F1450" s="67" t="s">
        <v>1462</v>
      </c>
      <c r="G1450" s="69">
        <v>91</v>
      </c>
    </row>
    <row r="1451" spans="1:7">
      <c r="A1451" s="67" t="s">
        <v>2933</v>
      </c>
      <c r="B1451" s="70">
        <v>46184</v>
      </c>
      <c r="C1451" s="67" t="s">
        <v>1359</v>
      </c>
      <c r="D1451" s="67" t="s">
        <v>1551</v>
      </c>
      <c r="E1451" s="67" t="s">
        <v>1362</v>
      </c>
      <c r="F1451" s="67" t="s">
        <v>1462</v>
      </c>
      <c r="G1451" s="69">
        <v>371</v>
      </c>
    </row>
    <row r="1452" spans="1:7">
      <c r="A1452" s="67" t="s">
        <v>2934</v>
      </c>
      <c r="B1452" s="70">
        <v>46184</v>
      </c>
      <c r="C1452" s="67" t="s">
        <v>1359</v>
      </c>
      <c r="D1452" s="67" t="s">
        <v>1459</v>
      </c>
      <c r="E1452" s="67" t="s">
        <v>1362</v>
      </c>
      <c r="F1452" s="67" t="s">
        <v>1488</v>
      </c>
      <c r="G1452" s="69">
        <v>5</v>
      </c>
    </row>
    <row r="1453" spans="1:7">
      <c r="A1453" s="67" t="s">
        <v>2935</v>
      </c>
      <c r="B1453" s="70">
        <v>46184</v>
      </c>
      <c r="C1453" s="67" t="s">
        <v>1359</v>
      </c>
      <c r="D1453" s="67" t="s">
        <v>358</v>
      </c>
      <c r="E1453" s="67" t="s">
        <v>1368</v>
      </c>
      <c r="F1453" s="67" t="s">
        <v>1460</v>
      </c>
      <c r="G1453" s="69">
        <v>26</v>
      </c>
    </row>
    <row r="1454" spans="1:7">
      <c r="A1454" s="67" t="s">
        <v>2936</v>
      </c>
      <c r="B1454" s="70">
        <v>46184</v>
      </c>
      <c r="C1454" s="67" t="s">
        <v>1366</v>
      </c>
      <c r="D1454" s="67" t="s">
        <v>1484</v>
      </c>
      <c r="E1454" s="67" t="s">
        <v>1470</v>
      </c>
      <c r="F1454" s="67" t="s">
        <v>1462</v>
      </c>
      <c r="G1454" s="69">
        <v>288</v>
      </c>
    </row>
    <row r="1455" spans="1:7">
      <c r="A1455" s="67" t="s">
        <v>2937</v>
      </c>
      <c r="B1455" s="70">
        <v>46184</v>
      </c>
      <c r="C1455" s="67" t="s">
        <v>1371</v>
      </c>
      <c r="D1455" s="67" t="s">
        <v>1476</v>
      </c>
      <c r="E1455" s="67" t="s">
        <v>1362</v>
      </c>
      <c r="F1455" s="67" t="s">
        <v>1462</v>
      </c>
      <c r="G1455" s="69">
        <v>582</v>
      </c>
    </row>
    <row r="1456" spans="1:7">
      <c r="A1456" s="67" t="s">
        <v>2938</v>
      </c>
      <c r="B1456" s="70">
        <v>46184</v>
      </c>
      <c r="C1456" s="67" t="s">
        <v>1381</v>
      </c>
      <c r="D1456" s="67" t="s">
        <v>1551</v>
      </c>
      <c r="E1456" s="67" t="s">
        <v>1362</v>
      </c>
      <c r="F1456" s="67" t="s">
        <v>1462</v>
      </c>
      <c r="G1456" s="69">
        <v>151</v>
      </c>
    </row>
    <row r="1457" spans="1:7">
      <c r="A1457" s="67" t="s">
        <v>2939</v>
      </c>
      <c r="B1457" s="70">
        <v>46184</v>
      </c>
      <c r="C1457" s="67" t="s">
        <v>1404</v>
      </c>
      <c r="D1457" s="67" t="s">
        <v>369</v>
      </c>
      <c r="E1457" s="67" t="s">
        <v>1368</v>
      </c>
      <c r="F1457" s="67" t="s">
        <v>1460</v>
      </c>
      <c r="G1457" s="69">
        <v>28</v>
      </c>
    </row>
    <row r="1458" spans="1:7">
      <c r="A1458" s="67" t="s">
        <v>2940</v>
      </c>
      <c r="B1458" s="70">
        <v>46184</v>
      </c>
      <c r="C1458" s="67" t="s">
        <v>1404</v>
      </c>
      <c r="D1458" s="67" t="s">
        <v>1491</v>
      </c>
      <c r="E1458" s="67" t="s">
        <v>1470</v>
      </c>
      <c r="F1458" s="67" t="s">
        <v>1460</v>
      </c>
      <c r="G1458" s="69">
        <v>16</v>
      </c>
    </row>
    <row r="1459" spans="1:7">
      <c r="A1459" s="67" t="s">
        <v>2941</v>
      </c>
      <c r="B1459" s="70">
        <v>46184</v>
      </c>
      <c r="C1459" s="67" t="s">
        <v>1406</v>
      </c>
      <c r="D1459" s="67" t="s">
        <v>356</v>
      </c>
      <c r="E1459" s="67" t="s">
        <v>1368</v>
      </c>
      <c r="F1459" s="67" t="s">
        <v>1462</v>
      </c>
      <c r="G1459" s="69">
        <v>545</v>
      </c>
    </row>
    <row r="1460" spans="1:7">
      <c r="A1460" s="67" t="s">
        <v>2942</v>
      </c>
      <c r="B1460" s="70">
        <v>46184</v>
      </c>
      <c r="C1460" s="67" t="s">
        <v>1408</v>
      </c>
      <c r="D1460" s="67" t="s">
        <v>1479</v>
      </c>
      <c r="E1460" s="67" t="s">
        <v>1410</v>
      </c>
      <c r="F1460" s="67" t="s">
        <v>1462</v>
      </c>
      <c r="G1460" s="69">
        <v>518</v>
      </c>
    </row>
    <row r="1461" spans="1:7">
      <c r="A1461" s="67" t="s">
        <v>2943</v>
      </c>
      <c r="B1461" s="70">
        <v>46184</v>
      </c>
      <c r="C1461" s="67" t="s">
        <v>1414</v>
      </c>
      <c r="D1461" s="67" t="s">
        <v>1607</v>
      </c>
      <c r="E1461" s="67" t="s">
        <v>1470</v>
      </c>
      <c r="F1461" s="67" t="s">
        <v>1462</v>
      </c>
      <c r="G1461" s="69">
        <v>230</v>
      </c>
    </row>
    <row r="1462" spans="1:7">
      <c r="A1462" s="67" t="s">
        <v>2944</v>
      </c>
      <c r="B1462" s="70">
        <v>46184</v>
      </c>
      <c r="C1462" s="67" t="s">
        <v>1414</v>
      </c>
      <c r="D1462" s="67" t="s">
        <v>1484</v>
      </c>
      <c r="E1462" s="67" t="s">
        <v>1470</v>
      </c>
      <c r="F1462" s="67" t="s">
        <v>1462</v>
      </c>
      <c r="G1462" s="69">
        <v>324</v>
      </c>
    </row>
    <row r="1463" spans="1:7">
      <c r="A1463" s="67" t="s">
        <v>2945</v>
      </c>
      <c r="B1463" s="70">
        <v>46184</v>
      </c>
      <c r="C1463" s="67" t="s">
        <v>1427</v>
      </c>
      <c r="D1463" s="67" t="s">
        <v>1459</v>
      </c>
      <c r="E1463" s="67" t="s">
        <v>1362</v>
      </c>
      <c r="F1463" s="67" t="s">
        <v>1462</v>
      </c>
      <c r="G1463" s="69">
        <v>513</v>
      </c>
    </row>
    <row r="1464" spans="1:7">
      <c r="A1464" s="67" t="s">
        <v>2946</v>
      </c>
      <c r="B1464" s="70">
        <v>46184</v>
      </c>
      <c r="C1464" s="67" t="s">
        <v>1427</v>
      </c>
      <c r="D1464" s="67" t="s">
        <v>1459</v>
      </c>
      <c r="E1464" s="67" t="s">
        <v>1362</v>
      </c>
      <c r="F1464" s="67" t="s">
        <v>1460</v>
      </c>
      <c r="G1464" s="69">
        <v>30</v>
      </c>
    </row>
    <row r="1465" spans="1:7">
      <c r="A1465" s="67" t="s">
        <v>2947</v>
      </c>
      <c r="B1465" s="70">
        <v>46184</v>
      </c>
      <c r="C1465" s="67" t="s">
        <v>1438</v>
      </c>
      <c r="D1465" s="67" t="s">
        <v>369</v>
      </c>
      <c r="E1465" s="67" t="s">
        <v>1368</v>
      </c>
      <c r="F1465" s="67" t="s">
        <v>1462</v>
      </c>
      <c r="G1465" s="69">
        <v>415</v>
      </c>
    </row>
    <row r="1466" spans="1:7">
      <c r="A1466" s="67" t="s">
        <v>2948</v>
      </c>
      <c r="B1466" s="70">
        <v>46185</v>
      </c>
      <c r="C1466" s="67" t="s">
        <v>1359</v>
      </c>
      <c r="D1466" s="67" t="s">
        <v>1476</v>
      </c>
      <c r="E1466" s="67" t="s">
        <v>1362</v>
      </c>
      <c r="F1466" s="67" t="s">
        <v>1488</v>
      </c>
      <c r="G1466" s="69">
        <v>10</v>
      </c>
    </row>
    <row r="1467" spans="1:7">
      <c r="A1467" s="67" t="s">
        <v>2949</v>
      </c>
      <c r="B1467" s="70">
        <v>46185</v>
      </c>
      <c r="C1467" s="67" t="s">
        <v>1366</v>
      </c>
      <c r="D1467" s="67" t="s">
        <v>1511</v>
      </c>
      <c r="E1467" s="67" t="s">
        <v>1470</v>
      </c>
      <c r="F1467" s="67" t="s">
        <v>1462</v>
      </c>
      <c r="G1467" s="69">
        <v>370</v>
      </c>
    </row>
    <row r="1468" spans="1:7">
      <c r="A1468" s="67" t="s">
        <v>2950</v>
      </c>
      <c r="B1468" s="70">
        <v>46185</v>
      </c>
      <c r="C1468" s="67" t="s">
        <v>1366</v>
      </c>
      <c r="D1468" s="67" t="s">
        <v>356</v>
      </c>
      <c r="E1468" s="67" t="s">
        <v>1368</v>
      </c>
      <c r="F1468" s="67" t="s">
        <v>1462</v>
      </c>
      <c r="G1468" s="69">
        <v>223</v>
      </c>
    </row>
    <row r="1469" spans="1:7">
      <c r="A1469" s="67" t="s">
        <v>2951</v>
      </c>
      <c r="B1469" s="70">
        <v>46185</v>
      </c>
      <c r="C1469" s="67" t="s">
        <v>1366</v>
      </c>
      <c r="D1469" s="67" t="s">
        <v>369</v>
      </c>
      <c r="E1469" s="67" t="s">
        <v>1368</v>
      </c>
      <c r="F1469" s="67" t="s">
        <v>1462</v>
      </c>
      <c r="G1469" s="69">
        <v>67</v>
      </c>
    </row>
    <row r="1470" spans="1:7">
      <c r="A1470" s="67" t="s">
        <v>2952</v>
      </c>
      <c r="B1470" s="70">
        <v>46185</v>
      </c>
      <c r="C1470" s="67" t="s">
        <v>1366</v>
      </c>
      <c r="D1470" s="67" t="s">
        <v>358</v>
      </c>
      <c r="E1470" s="67" t="s">
        <v>1368</v>
      </c>
      <c r="F1470" s="67" t="s">
        <v>1460</v>
      </c>
      <c r="G1470" s="69">
        <v>6</v>
      </c>
    </row>
    <row r="1471" spans="1:7">
      <c r="A1471" s="67" t="s">
        <v>2953</v>
      </c>
      <c r="B1471" s="70">
        <v>46185</v>
      </c>
      <c r="C1471" s="67" t="s">
        <v>1371</v>
      </c>
      <c r="D1471" s="67" t="s">
        <v>363</v>
      </c>
      <c r="E1471" s="67" t="s">
        <v>1368</v>
      </c>
      <c r="F1471" s="67" t="s">
        <v>1462</v>
      </c>
      <c r="G1471" s="69">
        <v>145</v>
      </c>
    </row>
    <row r="1472" spans="1:7">
      <c r="A1472" s="67" t="s">
        <v>2954</v>
      </c>
      <c r="B1472" s="70">
        <v>46185</v>
      </c>
      <c r="C1472" s="67" t="s">
        <v>1371</v>
      </c>
      <c r="D1472" s="67" t="s">
        <v>1551</v>
      </c>
      <c r="E1472" s="67" t="s">
        <v>1362</v>
      </c>
      <c r="F1472" s="67" t="s">
        <v>1460</v>
      </c>
      <c r="G1472" s="69">
        <v>15</v>
      </c>
    </row>
    <row r="1473" spans="1:7">
      <c r="A1473" s="67" t="s">
        <v>2955</v>
      </c>
      <c r="B1473" s="70">
        <v>46185</v>
      </c>
      <c r="C1473" s="67" t="s">
        <v>1375</v>
      </c>
      <c r="D1473" s="67" t="s">
        <v>1459</v>
      </c>
      <c r="E1473" s="67" t="s">
        <v>1362</v>
      </c>
      <c r="F1473" s="67" t="s">
        <v>1460</v>
      </c>
      <c r="G1473" s="69">
        <v>22</v>
      </c>
    </row>
    <row r="1474" spans="1:7">
      <c r="A1474" s="67" t="s">
        <v>2956</v>
      </c>
      <c r="B1474" s="70">
        <v>46185</v>
      </c>
      <c r="C1474" s="67" t="s">
        <v>1381</v>
      </c>
      <c r="D1474" s="67" t="s">
        <v>353</v>
      </c>
      <c r="E1474" s="67" t="s">
        <v>1368</v>
      </c>
      <c r="F1474" s="67" t="s">
        <v>1462</v>
      </c>
      <c r="G1474" s="69">
        <v>324</v>
      </c>
    </row>
    <row r="1475" spans="1:7">
      <c r="A1475" s="67" t="s">
        <v>2957</v>
      </c>
      <c r="B1475" s="70">
        <v>46185</v>
      </c>
      <c r="C1475" s="67" t="s">
        <v>1381</v>
      </c>
      <c r="D1475" s="67" t="s">
        <v>369</v>
      </c>
      <c r="E1475" s="67" t="s">
        <v>1368</v>
      </c>
      <c r="F1475" s="67" t="s">
        <v>1462</v>
      </c>
      <c r="G1475" s="69">
        <v>183</v>
      </c>
    </row>
    <row r="1476" spans="1:7">
      <c r="A1476" s="67" t="s">
        <v>2958</v>
      </c>
      <c r="B1476" s="70">
        <v>46185</v>
      </c>
      <c r="C1476" s="67" t="s">
        <v>1389</v>
      </c>
      <c r="D1476" s="67" t="s">
        <v>353</v>
      </c>
      <c r="E1476" s="67" t="s">
        <v>1368</v>
      </c>
      <c r="F1476" s="67" t="s">
        <v>1462</v>
      </c>
      <c r="G1476" s="69">
        <v>195</v>
      </c>
    </row>
    <row r="1477" spans="1:7">
      <c r="A1477" s="67" t="s">
        <v>2959</v>
      </c>
      <c r="B1477" s="70">
        <v>46185</v>
      </c>
      <c r="C1477" s="67" t="s">
        <v>1399</v>
      </c>
      <c r="D1477" s="67" t="s">
        <v>353</v>
      </c>
      <c r="E1477" s="67" t="s">
        <v>1368</v>
      </c>
      <c r="F1477" s="67" t="s">
        <v>1460</v>
      </c>
      <c r="G1477" s="69">
        <v>14</v>
      </c>
    </row>
    <row r="1478" spans="1:7">
      <c r="A1478" s="67" t="s">
        <v>2960</v>
      </c>
      <c r="B1478" s="70">
        <v>46185</v>
      </c>
      <c r="C1478" s="67" t="s">
        <v>1404</v>
      </c>
      <c r="D1478" s="67" t="s">
        <v>358</v>
      </c>
      <c r="E1478" s="67" t="s">
        <v>1368</v>
      </c>
      <c r="F1478" s="67" t="s">
        <v>1462</v>
      </c>
      <c r="G1478" s="69">
        <v>531</v>
      </c>
    </row>
    <row r="1479" spans="1:7">
      <c r="A1479" s="67" t="s">
        <v>2961</v>
      </c>
      <c r="B1479" s="70">
        <v>46185</v>
      </c>
      <c r="C1479" s="67" t="s">
        <v>1411</v>
      </c>
      <c r="D1479" s="67" t="s">
        <v>1506</v>
      </c>
      <c r="E1479" s="67" t="s">
        <v>1482</v>
      </c>
      <c r="F1479" s="67" t="s">
        <v>1462</v>
      </c>
      <c r="G1479" s="69">
        <v>229</v>
      </c>
    </row>
    <row r="1480" spans="1:7">
      <c r="A1480" s="67" t="s">
        <v>2962</v>
      </c>
      <c r="B1480" s="70">
        <v>46185</v>
      </c>
      <c r="C1480" s="67" t="s">
        <v>1414</v>
      </c>
      <c r="D1480" s="67" t="s">
        <v>1511</v>
      </c>
      <c r="E1480" s="67" t="s">
        <v>1470</v>
      </c>
      <c r="F1480" s="67" t="s">
        <v>1488</v>
      </c>
      <c r="G1480" s="69">
        <v>7</v>
      </c>
    </row>
    <row r="1481" spans="1:7">
      <c r="A1481" s="67" t="s">
        <v>2963</v>
      </c>
      <c r="B1481" s="70">
        <v>46185</v>
      </c>
      <c r="C1481" s="67" t="s">
        <v>1414</v>
      </c>
      <c r="D1481" s="67" t="s">
        <v>1484</v>
      </c>
      <c r="E1481" s="67" t="s">
        <v>1470</v>
      </c>
      <c r="F1481" s="67" t="s">
        <v>1462</v>
      </c>
      <c r="G1481" s="69">
        <v>81</v>
      </c>
    </row>
    <row r="1482" spans="1:7">
      <c r="A1482" s="67" t="s">
        <v>2964</v>
      </c>
      <c r="B1482" s="70">
        <v>46185</v>
      </c>
      <c r="C1482" s="67" t="s">
        <v>1414</v>
      </c>
      <c r="D1482" s="67" t="s">
        <v>1491</v>
      </c>
      <c r="E1482" s="67" t="s">
        <v>1470</v>
      </c>
      <c r="F1482" s="67" t="s">
        <v>1460</v>
      </c>
      <c r="G1482" s="69">
        <v>28</v>
      </c>
    </row>
    <row r="1483" spans="1:7">
      <c r="A1483" s="67" t="s">
        <v>2965</v>
      </c>
      <c r="B1483" s="70">
        <v>46185</v>
      </c>
      <c r="C1483" s="67" t="s">
        <v>1425</v>
      </c>
      <c r="D1483" s="67" t="s">
        <v>1607</v>
      </c>
      <c r="E1483" s="67" t="s">
        <v>1470</v>
      </c>
      <c r="F1483" s="67" t="s">
        <v>1462</v>
      </c>
      <c r="G1483" s="69">
        <v>449</v>
      </c>
    </row>
    <row r="1484" spans="1:7">
      <c r="A1484" s="67" t="s">
        <v>2966</v>
      </c>
      <c r="B1484" s="70">
        <v>46185</v>
      </c>
      <c r="C1484" s="67" t="s">
        <v>1427</v>
      </c>
      <c r="D1484" s="67" t="s">
        <v>1602</v>
      </c>
      <c r="E1484" s="67" t="s">
        <v>1386</v>
      </c>
      <c r="F1484" s="67" t="s">
        <v>1462</v>
      </c>
      <c r="G1484" s="69">
        <v>474</v>
      </c>
    </row>
    <row r="1485" spans="1:7">
      <c r="A1485" s="67" t="s">
        <v>2967</v>
      </c>
      <c r="B1485" s="70">
        <v>46185</v>
      </c>
      <c r="C1485" s="67" t="s">
        <v>1429</v>
      </c>
      <c r="D1485" s="67" t="s">
        <v>365</v>
      </c>
      <c r="E1485" s="67" t="s">
        <v>1368</v>
      </c>
      <c r="F1485" s="67" t="s">
        <v>1462</v>
      </c>
      <c r="G1485" s="69">
        <v>331</v>
      </c>
    </row>
    <row r="1486" spans="1:7">
      <c r="A1486" s="67" t="s">
        <v>2968</v>
      </c>
      <c r="B1486" s="70">
        <v>46185</v>
      </c>
      <c r="C1486" s="67" t="s">
        <v>1429</v>
      </c>
      <c r="D1486" s="67" t="s">
        <v>1459</v>
      </c>
      <c r="E1486" s="67" t="s">
        <v>1362</v>
      </c>
      <c r="F1486" s="67" t="s">
        <v>1462</v>
      </c>
      <c r="G1486" s="69">
        <v>281</v>
      </c>
    </row>
    <row r="1487" spans="1:7">
      <c r="A1487" s="67" t="s">
        <v>2969</v>
      </c>
      <c r="B1487" s="70">
        <v>46185</v>
      </c>
      <c r="C1487" s="67" t="s">
        <v>1446</v>
      </c>
      <c r="D1487" s="67" t="s">
        <v>1459</v>
      </c>
      <c r="E1487" s="67" t="s">
        <v>1362</v>
      </c>
      <c r="F1487" s="67" t="s">
        <v>1462</v>
      </c>
      <c r="G1487" s="69">
        <v>78</v>
      </c>
    </row>
    <row r="1488" spans="1:7">
      <c r="A1488" s="67" t="s">
        <v>2970</v>
      </c>
      <c r="B1488" s="70">
        <v>46186</v>
      </c>
      <c r="C1488" s="67" t="s">
        <v>1359</v>
      </c>
      <c r="D1488" s="67" t="s">
        <v>1476</v>
      </c>
      <c r="E1488" s="67" t="s">
        <v>1362</v>
      </c>
      <c r="F1488" s="67" t="s">
        <v>1460</v>
      </c>
      <c r="G1488" s="69">
        <v>25</v>
      </c>
    </row>
    <row r="1489" spans="1:7">
      <c r="A1489" s="67" t="s">
        <v>2971</v>
      </c>
      <c r="B1489" s="70">
        <v>46186</v>
      </c>
      <c r="C1489" s="67" t="s">
        <v>1359</v>
      </c>
      <c r="D1489" s="67" t="s">
        <v>1466</v>
      </c>
      <c r="E1489" s="67" t="s">
        <v>1386</v>
      </c>
      <c r="F1489" s="67" t="s">
        <v>1462</v>
      </c>
      <c r="G1489" s="69">
        <v>74</v>
      </c>
    </row>
    <row r="1490" spans="1:7">
      <c r="A1490" s="67" t="s">
        <v>2972</v>
      </c>
      <c r="B1490" s="70">
        <v>46186</v>
      </c>
      <c r="C1490" s="67" t="s">
        <v>1359</v>
      </c>
      <c r="D1490" s="67" t="s">
        <v>1551</v>
      </c>
      <c r="E1490" s="67" t="s">
        <v>1362</v>
      </c>
      <c r="F1490" s="67" t="s">
        <v>1462</v>
      </c>
      <c r="G1490" s="69">
        <v>68</v>
      </c>
    </row>
    <row r="1491" spans="1:7">
      <c r="A1491" s="67" t="s">
        <v>2973</v>
      </c>
      <c r="B1491" s="70">
        <v>46186</v>
      </c>
      <c r="C1491" s="67" t="s">
        <v>1359</v>
      </c>
      <c r="D1491" s="67" t="s">
        <v>1459</v>
      </c>
      <c r="E1491" s="67" t="s">
        <v>1362</v>
      </c>
      <c r="F1491" s="67" t="s">
        <v>1462</v>
      </c>
      <c r="G1491" s="69">
        <v>265</v>
      </c>
    </row>
    <row r="1492" spans="1:7">
      <c r="A1492" s="67" t="s">
        <v>2974</v>
      </c>
      <c r="B1492" s="70">
        <v>46186</v>
      </c>
      <c r="C1492" s="67" t="s">
        <v>1366</v>
      </c>
      <c r="D1492" s="67" t="s">
        <v>365</v>
      </c>
      <c r="E1492" s="67" t="s">
        <v>1368</v>
      </c>
      <c r="F1492" s="67" t="s">
        <v>1462</v>
      </c>
      <c r="G1492" s="69">
        <v>268</v>
      </c>
    </row>
    <row r="1493" spans="1:7">
      <c r="A1493" s="67" t="s">
        <v>2975</v>
      </c>
      <c r="B1493" s="70">
        <v>46186</v>
      </c>
      <c r="C1493" s="67" t="s">
        <v>1366</v>
      </c>
      <c r="D1493" s="67" t="s">
        <v>1476</v>
      </c>
      <c r="E1493" s="67" t="s">
        <v>1362</v>
      </c>
      <c r="F1493" s="67" t="s">
        <v>1462</v>
      </c>
      <c r="G1493" s="69">
        <v>426</v>
      </c>
    </row>
    <row r="1494" spans="1:7">
      <c r="A1494" s="67" t="s">
        <v>2976</v>
      </c>
      <c r="B1494" s="70">
        <v>46186</v>
      </c>
      <c r="C1494" s="67" t="s">
        <v>1371</v>
      </c>
      <c r="D1494" s="67" t="s">
        <v>1551</v>
      </c>
      <c r="E1494" s="67" t="s">
        <v>1362</v>
      </c>
      <c r="F1494" s="67" t="s">
        <v>1462</v>
      </c>
      <c r="G1494" s="69">
        <v>530</v>
      </c>
    </row>
    <row r="1495" spans="1:7">
      <c r="A1495" s="67" t="s">
        <v>2977</v>
      </c>
      <c r="B1495" s="70">
        <v>46186</v>
      </c>
      <c r="C1495" s="67" t="s">
        <v>1371</v>
      </c>
      <c r="D1495" s="67" t="s">
        <v>358</v>
      </c>
      <c r="E1495" s="67" t="s">
        <v>1368</v>
      </c>
      <c r="F1495" s="67" t="s">
        <v>1462</v>
      </c>
      <c r="G1495" s="69">
        <v>429</v>
      </c>
    </row>
    <row r="1496" spans="1:7">
      <c r="A1496" s="67" t="s">
        <v>2978</v>
      </c>
      <c r="B1496" s="70">
        <v>46186</v>
      </c>
      <c r="C1496" s="67" t="s">
        <v>1381</v>
      </c>
      <c r="D1496" s="67" t="s">
        <v>356</v>
      </c>
      <c r="E1496" s="67" t="s">
        <v>1368</v>
      </c>
      <c r="F1496" s="67" t="s">
        <v>1462</v>
      </c>
      <c r="G1496" s="69">
        <v>302</v>
      </c>
    </row>
    <row r="1497" spans="1:7">
      <c r="A1497" s="67" t="s">
        <v>2979</v>
      </c>
      <c r="B1497" s="70">
        <v>46186</v>
      </c>
      <c r="C1497" s="67" t="s">
        <v>1391</v>
      </c>
      <c r="D1497" s="67" t="s">
        <v>1582</v>
      </c>
      <c r="E1497" s="67" t="s">
        <v>5</v>
      </c>
      <c r="F1497" s="67" t="s">
        <v>1462</v>
      </c>
      <c r="G1497" s="69">
        <v>240</v>
      </c>
    </row>
    <row r="1498" spans="1:7">
      <c r="A1498" s="67" t="s">
        <v>2980</v>
      </c>
      <c r="B1498" s="70">
        <v>46186</v>
      </c>
      <c r="C1498" s="67" t="s">
        <v>1393</v>
      </c>
      <c r="D1498" s="67" t="s">
        <v>356</v>
      </c>
      <c r="E1498" s="67" t="s">
        <v>1368</v>
      </c>
      <c r="F1498" s="67" t="s">
        <v>1462</v>
      </c>
      <c r="G1498" s="69">
        <v>535</v>
      </c>
    </row>
    <row r="1499" spans="1:7">
      <c r="A1499" s="67" t="s">
        <v>2981</v>
      </c>
      <c r="B1499" s="70">
        <v>46186</v>
      </c>
      <c r="C1499" s="67" t="s">
        <v>1399</v>
      </c>
      <c r="D1499" s="67" t="s">
        <v>1459</v>
      </c>
      <c r="E1499" s="67" t="s">
        <v>1362</v>
      </c>
      <c r="F1499" s="67" t="s">
        <v>1462</v>
      </c>
      <c r="G1499" s="69">
        <v>495</v>
      </c>
    </row>
    <row r="1500" spans="1:7">
      <c r="A1500" s="67" t="s">
        <v>2982</v>
      </c>
      <c r="B1500" s="70">
        <v>46186</v>
      </c>
      <c r="C1500" s="67" t="s">
        <v>1404</v>
      </c>
      <c r="D1500" s="67" t="s">
        <v>1551</v>
      </c>
      <c r="E1500" s="67" t="s">
        <v>1362</v>
      </c>
      <c r="F1500" s="67" t="s">
        <v>1462</v>
      </c>
      <c r="G1500" s="69">
        <v>150</v>
      </c>
    </row>
    <row r="1501" spans="1:7">
      <c r="A1501" s="67" t="s">
        <v>2983</v>
      </c>
      <c r="B1501" s="70">
        <v>46186</v>
      </c>
      <c r="C1501" s="67" t="s">
        <v>1411</v>
      </c>
      <c r="D1501" s="67" t="s">
        <v>363</v>
      </c>
      <c r="E1501" s="67" t="s">
        <v>1368</v>
      </c>
      <c r="F1501" s="67" t="s">
        <v>1460</v>
      </c>
      <c r="G1501" s="69">
        <v>28</v>
      </c>
    </row>
    <row r="1502" spans="1:7">
      <c r="A1502" s="67" t="s">
        <v>2984</v>
      </c>
      <c r="B1502" s="70">
        <v>46186</v>
      </c>
      <c r="C1502" s="67" t="s">
        <v>1411</v>
      </c>
      <c r="D1502" s="67" t="s">
        <v>1506</v>
      </c>
      <c r="E1502" s="67" t="s">
        <v>1482</v>
      </c>
      <c r="F1502" s="67" t="s">
        <v>1462</v>
      </c>
      <c r="G1502" s="69">
        <v>377</v>
      </c>
    </row>
    <row r="1503" spans="1:7">
      <c r="A1503" s="67" t="s">
        <v>2985</v>
      </c>
      <c r="B1503" s="70">
        <v>46186</v>
      </c>
      <c r="C1503" s="67" t="s">
        <v>1411</v>
      </c>
      <c r="D1503" s="67" t="s">
        <v>1506</v>
      </c>
      <c r="E1503" s="67" t="s">
        <v>1482</v>
      </c>
      <c r="F1503" s="67" t="s">
        <v>1460</v>
      </c>
      <c r="G1503" s="69">
        <v>27</v>
      </c>
    </row>
    <row r="1504" spans="1:7">
      <c r="A1504" s="67" t="s">
        <v>2986</v>
      </c>
      <c r="B1504" s="70">
        <v>46186</v>
      </c>
      <c r="C1504" s="67" t="s">
        <v>1414</v>
      </c>
      <c r="D1504" s="67" t="s">
        <v>1491</v>
      </c>
      <c r="E1504" s="67" t="s">
        <v>1470</v>
      </c>
      <c r="F1504" s="67" t="s">
        <v>1460</v>
      </c>
      <c r="G1504" s="69">
        <v>14</v>
      </c>
    </row>
    <row r="1505" spans="1:7">
      <c r="A1505" s="67" t="s">
        <v>2987</v>
      </c>
      <c r="B1505" s="70">
        <v>46186</v>
      </c>
      <c r="C1505" s="67" t="s">
        <v>1423</v>
      </c>
      <c r="D1505" s="67" t="s">
        <v>1743</v>
      </c>
      <c r="E1505" s="67" t="s">
        <v>1410</v>
      </c>
      <c r="F1505" s="67" t="s">
        <v>1462</v>
      </c>
      <c r="G1505" s="69">
        <v>83</v>
      </c>
    </row>
    <row r="1506" spans="1:7">
      <c r="A1506" s="67" t="s">
        <v>2988</v>
      </c>
      <c r="B1506" s="70">
        <v>46186</v>
      </c>
      <c r="C1506" s="67" t="s">
        <v>1429</v>
      </c>
      <c r="D1506" s="67" t="s">
        <v>356</v>
      </c>
      <c r="E1506" s="67" t="s">
        <v>1368</v>
      </c>
      <c r="F1506" s="67" t="s">
        <v>1462</v>
      </c>
      <c r="G1506" s="69">
        <v>117</v>
      </c>
    </row>
    <row r="1507" spans="1:7">
      <c r="A1507" s="67" t="s">
        <v>2989</v>
      </c>
      <c r="B1507" s="70">
        <v>46186</v>
      </c>
      <c r="C1507" s="67" t="s">
        <v>1429</v>
      </c>
      <c r="D1507" s="67" t="s">
        <v>356</v>
      </c>
      <c r="E1507" s="67" t="s">
        <v>1368</v>
      </c>
      <c r="F1507" s="67" t="s">
        <v>1460</v>
      </c>
      <c r="G1507" s="69">
        <v>19</v>
      </c>
    </row>
    <row r="1508" spans="1:7">
      <c r="A1508" s="67" t="s">
        <v>2990</v>
      </c>
      <c r="B1508" s="70">
        <v>46186</v>
      </c>
      <c r="C1508" s="67" t="s">
        <v>1442</v>
      </c>
      <c r="D1508" s="67" t="s">
        <v>1551</v>
      </c>
      <c r="E1508" s="67" t="s">
        <v>1362</v>
      </c>
      <c r="F1508" s="67" t="s">
        <v>1462</v>
      </c>
      <c r="G1508" s="69">
        <v>107</v>
      </c>
    </row>
    <row r="1509" spans="1:7">
      <c r="A1509" s="67" t="s">
        <v>2991</v>
      </c>
      <c r="B1509" s="70">
        <v>46186</v>
      </c>
      <c r="C1509" s="67" t="s">
        <v>1442</v>
      </c>
      <c r="D1509" s="67" t="s">
        <v>1602</v>
      </c>
      <c r="E1509" s="67" t="s">
        <v>1386</v>
      </c>
      <c r="F1509" s="67" t="s">
        <v>1460</v>
      </c>
      <c r="G1509" s="69">
        <v>5</v>
      </c>
    </row>
    <row r="1510" spans="1:7">
      <c r="A1510" s="67" t="s">
        <v>2992</v>
      </c>
      <c r="B1510" s="70">
        <v>46186</v>
      </c>
      <c r="C1510" s="67" t="s">
        <v>1444</v>
      </c>
      <c r="D1510" s="67" t="s">
        <v>1459</v>
      </c>
      <c r="E1510" s="67" t="s">
        <v>1362</v>
      </c>
      <c r="F1510" s="67" t="s">
        <v>1462</v>
      </c>
      <c r="G1510" s="69">
        <v>600</v>
      </c>
    </row>
    <row r="1511" spans="1:7">
      <c r="A1511" s="67" t="s">
        <v>2993</v>
      </c>
      <c r="B1511" s="70">
        <v>46187</v>
      </c>
      <c r="C1511" s="67" t="s">
        <v>1359</v>
      </c>
      <c r="D1511" s="67" t="s">
        <v>1466</v>
      </c>
      <c r="E1511" s="67" t="s">
        <v>1386</v>
      </c>
      <c r="F1511" s="67" t="s">
        <v>1462</v>
      </c>
      <c r="G1511" s="69">
        <v>480</v>
      </c>
    </row>
    <row r="1512" spans="1:7">
      <c r="A1512" s="67" t="s">
        <v>2994</v>
      </c>
      <c r="B1512" s="70">
        <v>46187</v>
      </c>
      <c r="C1512" s="67" t="s">
        <v>1359</v>
      </c>
      <c r="D1512" s="67" t="s">
        <v>1459</v>
      </c>
      <c r="E1512" s="67" t="s">
        <v>1362</v>
      </c>
      <c r="F1512" s="67" t="s">
        <v>1460</v>
      </c>
      <c r="G1512" s="69">
        <v>11</v>
      </c>
    </row>
    <row r="1513" spans="1:7">
      <c r="A1513" s="67" t="s">
        <v>2995</v>
      </c>
      <c r="B1513" s="70">
        <v>46187</v>
      </c>
      <c r="C1513" s="67" t="s">
        <v>1366</v>
      </c>
      <c r="D1513" s="67" t="s">
        <v>369</v>
      </c>
      <c r="E1513" s="67" t="s">
        <v>1368</v>
      </c>
      <c r="F1513" s="67" t="s">
        <v>1462</v>
      </c>
      <c r="G1513" s="69">
        <v>509</v>
      </c>
    </row>
    <row r="1514" spans="1:7">
      <c r="A1514" s="67" t="s">
        <v>2996</v>
      </c>
      <c r="B1514" s="70">
        <v>46187</v>
      </c>
      <c r="C1514" s="67" t="s">
        <v>1371</v>
      </c>
      <c r="D1514" s="67" t="s">
        <v>1476</v>
      </c>
      <c r="E1514" s="67" t="s">
        <v>1362</v>
      </c>
      <c r="F1514" s="67" t="s">
        <v>1462</v>
      </c>
      <c r="G1514" s="69">
        <v>489</v>
      </c>
    </row>
    <row r="1515" spans="1:7">
      <c r="A1515" s="67" t="s">
        <v>2997</v>
      </c>
      <c r="B1515" s="70">
        <v>46187</v>
      </c>
      <c r="C1515" s="67" t="s">
        <v>1371</v>
      </c>
      <c r="D1515" s="67" t="s">
        <v>1476</v>
      </c>
      <c r="E1515" s="67" t="s">
        <v>1362</v>
      </c>
      <c r="F1515" s="67" t="s">
        <v>1462</v>
      </c>
      <c r="G1515" s="69">
        <v>326</v>
      </c>
    </row>
    <row r="1516" spans="1:7">
      <c r="A1516" s="67" t="s">
        <v>2998</v>
      </c>
      <c r="B1516" s="70">
        <v>46187</v>
      </c>
      <c r="C1516" s="67" t="s">
        <v>1371</v>
      </c>
      <c r="D1516" s="67" t="s">
        <v>1466</v>
      </c>
      <c r="E1516" s="67" t="s">
        <v>1386</v>
      </c>
      <c r="F1516" s="67" t="s">
        <v>1462</v>
      </c>
      <c r="G1516" s="69">
        <v>490</v>
      </c>
    </row>
    <row r="1517" spans="1:7">
      <c r="A1517" s="67" t="s">
        <v>2999</v>
      </c>
      <c r="B1517" s="70">
        <v>46187</v>
      </c>
      <c r="C1517" s="67" t="s">
        <v>1371</v>
      </c>
      <c r="D1517" s="67" t="s">
        <v>1551</v>
      </c>
      <c r="E1517" s="67" t="s">
        <v>1362</v>
      </c>
      <c r="F1517" s="67" t="s">
        <v>1462</v>
      </c>
      <c r="G1517" s="69">
        <v>451</v>
      </c>
    </row>
    <row r="1518" spans="1:7">
      <c r="A1518" s="67" t="s">
        <v>3000</v>
      </c>
      <c r="B1518" s="70">
        <v>46187</v>
      </c>
      <c r="C1518" s="67" t="s">
        <v>1371</v>
      </c>
      <c r="D1518" s="67" t="s">
        <v>1602</v>
      </c>
      <c r="E1518" s="67" t="s">
        <v>1386</v>
      </c>
      <c r="F1518" s="67" t="s">
        <v>1462</v>
      </c>
      <c r="G1518" s="69">
        <v>319</v>
      </c>
    </row>
    <row r="1519" spans="1:7">
      <c r="A1519" s="67" t="s">
        <v>3001</v>
      </c>
      <c r="B1519" s="70">
        <v>46187</v>
      </c>
      <c r="C1519" s="67" t="s">
        <v>1381</v>
      </c>
      <c r="D1519" s="67" t="s">
        <v>353</v>
      </c>
      <c r="E1519" s="67" t="s">
        <v>1368</v>
      </c>
      <c r="F1519" s="67" t="s">
        <v>1462</v>
      </c>
      <c r="G1519" s="69">
        <v>247</v>
      </c>
    </row>
    <row r="1520" spans="1:7">
      <c r="A1520" s="67" t="s">
        <v>3002</v>
      </c>
      <c r="B1520" s="70">
        <v>46187</v>
      </c>
      <c r="C1520" s="67" t="s">
        <v>1384</v>
      </c>
      <c r="D1520" s="67" t="s">
        <v>1459</v>
      </c>
      <c r="E1520" s="67" t="s">
        <v>1362</v>
      </c>
      <c r="F1520" s="67" t="s">
        <v>1462</v>
      </c>
      <c r="G1520" s="69">
        <v>122</v>
      </c>
    </row>
    <row r="1521" spans="1:7">
      <c r="A1521" s="67" t="s">
        <v>3003</v>
      </c>
      <c r="B1521" s="70">
        <v>46187</v>
      </c>
      <c r="C1521" s="67" t="s">
        <v>1384</v>
      </c>
      <c r="D1521" s="67" t="s">
        <v>1602</v>
      </c>
      <c r="E1521" s="67" t="s">
        <v>1386</v>
      </c>
      <c r="F1521" s="67" t="s">
        <v>1460</v>
      </c>
      <c r="G1521" s="69">
        <v>12</v>
      </c>
    </row>
    <row r="1522" spans="1:7">
      <c r="A1522" s="67" t="s">
        <v>3004</v>
      </c>
      <c r="B1522" s="70">
        <v>46187</v>
      </c>
      <c r="C1522" s="67" t="s">
        <v>1389</v>
      </c>
      <c r="D1522" s="67" t="s">
        <v>369</v>
      </c>
      <c r="E1522" s="67" t="s">
        <v>1368</v>
      </c>
      <c r="F1522" s="67" t="s">
        <v>1462</v>
      </c>
      <c r="G1522" s="69">
        <v>146</v>
      </c>
    </row>
    <row r="1523" spans="1:7">
      <c r="A1523" s="67" t="s">
        <v>3005</v>
      </c>
      <c r="B1523" s="70">
        <v>46187</v>
      </c>
      <c r="C1523" s="67" t="s">
        <v>1391</v>
      </c>
      <c r="D1523" s="67" t="s">
        <v>1582</v>
      </c>
      <c r="E1523" s="67" t="s">
        <v>5</v>
      </c>
      <c r="F1523" s="67" t="s">
        <v>1462</v>
      </c>
      <c r="G1523" s="69">
        <v>518</v>
      </c>
    </row>
    <row r="1524" spans="1:7">
      <c r="A1524" s="67" t="s">
        <v>3006</v>
      </c>
      <c r="B1524" s="70">
        <v>46187</v>
      </c>
      <c r="C1524" s="67" t="s">
        <v>1393</v>
      </c>
      <c r="D1524" s="67" t="s">
        <v>1520</v>
      </c>
      <c r="E1524" s="67" t="s">
        <v>1433</v>
      </c>
      <c r="F1524" s="67" t="s">
        <v>1460</v>
      </c>
      <c r="G1524" s="69">
        <v>17</v>
      </c>
    </row>
    <row r="1525" spans="1:7">
      <c r="A1525" s="67" t="s">
        <v>3007</v>
      </c>
      <c r="B1525" s="70">
        <v>46187</v>
      </c>
      <c r="C1525" s="67" t="s">
        <v>1404</v>
      </c>
      <c r="D1525" s="67" t="s">
        <v>353</v>
      </c>
      <c r="E1525" s="67" t="s">
        <v>1368</v>
      </c>
      <c r="F1525" s="67" t="s">
        <v>1462</v>
      </c>
      <c r="G1525" s="69">
        <v>243</v>
      </c>
    </row>
    <row r="1526" spans="1:7">
      <c r="A1526" s="67" t="s">
        <v>3008</v>
      </c>
      <c r="B1526" s="70">
        <v>46187</v>
      </c>
      <c r="C1526" s="67" t="s">
        <v>1404</v>
      </c>
      <c r="D1526" s="67" t="s">
        <v>1469</v>
      </c>
      <c r="E1526" s="67" t="s">
        <v>1470</v>
      </c>
      <c r="F1526" s="67" t="s">
        <v>1462</v>
      </c>
      <c r="G1526" s="69">
        <v>453</v>
      </c>
    </row>
    <row r="1527" spans="1:7">
      <c r="A1527" s="67" t="s">
        <v>3009</v>
      </c>
      <c r="B1527" s="70">
        <v>46187</v>
      </c>
      <c r="C1527" s="67" t="s">
        <v>1406</v>
      </c>
      <c r="D1527" s="67" t="s">
        <v>1484</v>
      </c>
      <c r="E1527" s="67" t="s">
        <v>1470</v>
      </c>
      <c r="F1527" s="67" t="s">
        <v>1462</v>
      </c>
      <c r="G1527" s="69">
        <v>299</v>
      </c>
    </row>
    <row r="1528" spans="1:7">
      <c r="A1528" s="67" t="s">
        <v>3010</v>
      </c>
      <c r="B1528" s="70">
        <v>46187</v>
      </c>
      <c r="C1528" s="67" t="s">
        <v>1411</v>
      </c>
      <c r="D1528" s="67" t="s">
        <v>1506</v>
      </c>
      <c r="E1528" s="67" t="s">
        <v>1482</v>
      </c>
      <c r="F1528" s="67" t="s">
        <v>1462</v>
      </c>
      <c r="G1528" s="69">
        <v>521</v>
      </c>
    </row>
    <row r="1529" spans="1:7">
      <c r="A1529" s="67" t="s">
        <v>3011</v>
      </c>
      <c r="B1529" s="70">
        <v>46187</v>
      </c>
      <c r="C1529" s="67" t="s">
        <v>1411</v>
      </c>
      <c r="D1529" s="67" t="s">
        <v>1481</v>
      </c>
      <c r="E1529" s="67" t="s">
        <v>1482</v>
      </c>
      <c r="F1529" s="67" t="s">
        <v>1462</v>
      </c>
      <c r="G1529" s="69">
        <v>471</v>
      </c>
    </row>
    <row r="1530" spans="1:7">
      <c r="A1530" s="67" t="s">
        <v>3012</v>
      </c>
      <c r="B1530" s="70">
        <v>46187</v>
      </c>
      <c r="C1530" s="67" t="s">
        <v>1414</v>
      </c>
      <c r="D1530" s="67" t="s">
        <v>1484</v>
      </c>
      <c r="E1530" s="67" t="s">
        <v>1470</v>
      </c>
      <c r="F1530" s="67" t="s">
        <v>1462</v>
      </c>
      <c r="G1530" s="69">
        <v>154</v>
      </c>
    </row>
    <row r="1531" spans="1:7">
      <c r="A1531" s="67" t="s">
        <v>3013</v>
      </c>
      <c r="B1531" s="70">
        <v>46187</v>
      </c>
      <c r="C1531" s="67" t="s">
        <v>1414</v>
      </c>
      <c r="D1531" s="67" t="s">
        <v>1459</v>
      </c>
      <c r="E1531" s="67" t="s">
        <v>1362</v>
      </c>
      <c r="F1531" s="67" t="s">
        <v>1462</v>
      </c>
      <c r="G1531" s="69">
        <v>364</v>
      </c>
    </row>
    <row r="1532" spans="1:7">
      <c r="A1532" s="67" t="s">
        <v>3014</v>
      </c>
      <c r="B1532" s="70">
        <v>46187</v>
      </c>
      <c r="C1532" s="67" t="s">
        <v>1423</v>
      </c>
      <c r="D1532" s="67" t="s">
        <v>356</v>
      </c>
      <c r="E1532" s="67" t="s">
        <v>1368</v>
      </c>
      <c r="F1532" s="67" t="s">
        <v>1488</v>
      </c>
      <c r="G1532" s="69">
        <v>6</v>
      </c>
    </row>
    <row r="1533" spans="1:7">
      <c r="A1533" s="67" t="s">
        <v>3015</v>
      </c>
      <c r="B1533" s="70">
        <v>46187</v>
      </c>
      <c r="C1533" s="67" t="s">
        <v>1448</v>
      </c>
      <c r="D1533" s="67" t="s">
        <v>1520</v>
      </c>
      <c r="E1533" s="67" t="s">
        <v>1433</v>
      </c>
      <c r="F1533" s="67" t="s">
        <v>1462</v>
      </c>
      <c r="G1533" s="69">
        <v>287</v>
      </c>
    </row>
    <row r="1534" spans="1:7">
      <c r="A1534" s="67" t="s">
        <v>3016</v>
      </c>
      <c r="B1534" s="70">
        <v>46188</v>
      </c>
      <c r="C1534" s="67" t="s">
        <v>1359</v>
      </c>
      <c r="D1534" s="67" t="s">
        <v>363</v>
      </c>
      <c r="E1534" s="67" t="s">
        <v>1368</v>
      </c>
      <c r="F1534" s="67" t="s">
        <v>1462</v>
      </c>
      <c r="G1534" s="69">
        <v>122</v>
      </c>
    </row>
    <row r="1535" spans="1:7">
      <c r="A1535" s="67" t="s">
        <v>3017</v>
      </c>
      <c r="B1535" s="70">
        <v>46188</v>
      </c>
      <c r="C1535" s="67" t="s">
        <v>1366</v>
      </c>
      <c r="D1535" s="67" t="s">
        <v>1459</v>
      </c>
      <c r="E1535" s="67" t="s">
        <v>1362</v>
      </c>
      <c r="F1535" s="67" t="s">
        <v>1460</v>
      </c>
      <c r="G1535" s="69">
        <v>25</v>
      </c>
    </row>
    <row r="1536" spans="1:7">
      <c r="A1536" s="67" t="s">
        <v>3018</v>
      </c>
      <c r="B1536" s="70">
        <v>46188</v>
      </c>
      <c r="C1536" s="67" t="s">
        <v>1371</v>
      </c>
      <c r="D1536" s="67" t="s">
        <v>1466</v>
      </c>
      <c r="E1536" s="67" t="s">
        <v>1386</v>
      </c>
      <c r="F1536" s="67" t="s">
        <v>1460</v>
      </c>
      <c r="G1536" s="69">
        <v>5</v>
      </c>
    </row>
    <row r="1537" spans="1:7">
      <c r="A1537" s="67" t="s">
        <v>3019</v>
      </c>
      <c r="B1537" s="70">
        <v>46188</v>
      </c>
      <c r="C1537" s="67" t="s">
        <v>1378</v>
      </c>
      <c r="D1537" s="67" t="s">
        <v>1551</v>
      </c>
      <c r="E1537" s="67" t="s">
        <v>1362</v>
      </c>
      <c r="F1537" s="67" t="s">
        <v>1462</v>
      </c>
      <c r="G1537" s="69">
        <v>288</v>
      </c>
    </row>
    <row r="1538" spans="1:7">
      <c r="A1538" s="67" t="s">
        <v>3020</v>
      </c>
      <c r="B1538" s="70">
        <v>46188</v>
      </c>
      <c r="C1538" s="67" t="s">
        <v>1381</v>
      </c>
      <c r="D1538" s="67" t="s">
        <v>356</v>
      </c>
      <c r="E1538" s="67" t="s">
        <v>1368</v>
      </c>
      <c r="F1538" s="67" t="s">
        <v>1462</v>
      </c>
      <c r="G1538" s="69">
        <v>126</v>
      </c>
    </row>
    <row r="1539" spans="1:7">
      <c r="A1539" s="67" t="s">
        <v>3021</v>
      </c>
      <c r="B1539" s="70">
        <v>46188</v>
      </c>
      <c r="C1539" s="67" t="s">
        <v>1381</v>
      </c>
      <c r="D1539" s="67" t="s">
        <v>356</v>
      </c>
      <c r="E1539" s="67" t="s">
        <v>1368</v>
      </c>
      <c r="F1539" s="67" t="s">
        <v>1488</v>
      </c>
      <c r="G1539" s="69">
        <v>4</v>
      </c>
    </row>
    <row r="1540" spans="1:7">
      <c r="A1540" s="67" t="s">
        <v>3022</v>
      </c>
      <c r="B1540" s="70">
        <v>46188</v>
      </c>
      <c r="C1540" s="67" t="s">
        <v>1381</v>
      </c>
      <c r="D1540" s="67" t="s">
        <v>356</v>
      </c>
      <c r="E1540" s="67" t="s">
        <v>1368</v>
      </c>
      <c r="F1540" s="67" t="s">
        <v>1462</v>
      </c>
      <c r="G1540" s="69">
        <v>395</v>
      </c>
    </row>
    <row r="1541" spans="1:7">
      <c r="A1541" s="67" t="s">
        <v>3023</v>
      </c>
      <c r="B1541" s="70">
        <v>46188</v>
      </c>
      <c r="C1541" s="67" t="s">
        <v>1381</v>
      </c>
      <c r="D1541" s="67" t="s">
        <v>363</v>
      </c>
      <c r="E1541" s="67" t="s">
        <v>1368</v>
      </c>
      <c r="F1541" s="67" t="s">
        <v>1462</v>
      </c>
      <c r="G1541" s="69">
        <v>265</v>
      </c>
    </row>
    <row r="1542" spans="1:7">
      <c r="A1542" s="67" t="s">
        <v>3024</v>
      </c>
      <c r="B1542" s="70">
        <v>46188</v>
      </c>
      <c r="C1542" s="67" t="s">
        <v>1404</v>
      </c>
      <c r="D1542" s="67" t="s">
        <v>356</v>
      </c>
      <c r="E1542" s="67" t="s">
        <v>1368</v>
      </c>
      <c r="F1542" s="67" t="s">
        <v>1462</v>
      </c>
      <c r="G1542" s="69">
        <v>358</v>
      </c>
    </row>
    <row r="1543" spans="1:7">
      <c r="A1543" s="67" t="s">
        <v>3025</v>
      </c>
      <c r="B1543" s="70">
        <v>46188</v>
      </c>
      <c r="C1543" s="67" t="s">
        <v>1404</v>
      </c>
      <c r="D1543" s="67" t="s">
        <v>356</v>
      </c>
      <c r="E1543" s="67" t="s">
        <v>1368</v>
      </c>
      <c r="F1543" s="67" t="s">
        <v>1462</v>
      </c>
      <c r="G1543" s="69">
        <v>92</v>
      </c>
    </row>
    <row r="1544" spans="1:7">
      <c r="A1544" s="67" t="s">
        <v>3026</v>
      </c>
      <c r="B1544" s="70">
        <v>46188</v>
      </c>
      <c r="C1544" s="67" t="s">
        <v>1411</v>
      </c>
      <c r="D1544" s="67" t="s">
        <v>1506</v>
      </c>
      <c r="E1544" s="67" t="s">
        <v>1482</v>
      </c>
      <c r="F1544" s="67" t="s">
        <v>1462</v>
      </c>
      <c r="G1544" s="69">
        <v>70</v>
      </c>
    </row>
    <row r="1545" spans="1:7">
      <c r="A1545" s="67" t="s">
        <v>3027</v>
      </c>
      <c r="B1545" s="70">
        <v>46188</v>
      </c>
      <c r="C1545" s="67" t="s">
        <v>1411</v>
      </c>
      <c r="D1545" s="67" t="s">
        <v>1481</v>
      </c>
      <c r="E1545" s="67" t="s">
        <v>1482</v>
      </c>
      <c r="F1545" s="67" t="s">
        <v>1462</v>
      </c>
      <c r="G1545" s="69">
        <v>210</v>
      </c>
    </row>
    <row r="1546" spans="1:7">
      <c r="A1546" s="67" t="s">
        <v>3028</v>
      </c>
      <c r="B1546" s="70">
        <v>46188</v>
      </c>
      <c r="C1546" s="67" t="s">
        <v>1411</v>
      </c>
      <c r="D1546" s="67" t="s">
        <v>1481</v>
      </c>
      <c r="E1546" s="67" t="s">
        <v>1482</v>
      </c>
      <c r="F1546" s="67" t="s">
        <v>1460</v>
      </c>
      <c r="G1546" s="69">
        <v>19</v>
      </c>
    </row>
    <row r="1547" spans="1:7">
      <c r="A1547" s="67" t="s">
        <v>3029</v>
      </c>
      <c r="B1547" s="70">
        <v>46188</v>
      </c>
      <c r="C1547" s="67" t="s">
        <v>1421</v>
      </c>
      <c r="D1547" s="67" t="s">
        <v>2005</v>
      </c>
      <c r="E1547" s="67" t="s">
        <v>5</v>
      </c>
      <c r="F1547" s="67" t="s">
        <v>1462</v>
      </c>
      <c r="G1547" s="69">
        <v>66</v>
      </c>
    </row>
    <row r="1548" spans="1:7">
      <c r="A1548" s="67" t="s">
        <v>3030</v>
      </c>
      <c r="B1548" s="70">
        <v>46188</v>
      </c>
      <c r="C1548" s="67" t="s">
        <v>1423</v>
      </c>
      <c r="D1548" s="67" t="s">
        <v>1487</v>
      </c>
      <c r="E1548" s="67" t="s">
        <v>1410</v>
      </c>
      <c r="F1548" s="67" t="s">
        <v>1462</v>
      </c>
      <c r="G1548" s="69">
        <v>366</v>
      </c>
    </row>
    <row r="1549" spans="1:7">
      <c r="A1549" s="67" t="s">
        <v>3031</v>
      </c>
      <c r="B1549" s="70">
        <v>46188</v>
      </c>
      <c r="C1549" s="67" t="s">
        <v>1423</v>
      </c>
      <c r="D1549" s="67" t="s">
        <v>1743</v>
      </c>
      <c r="E1549" s="67" t="s">
        <v>1410</v>
      </c>
      <c r="F1549" s="67" t="s">
        <v>1462</v>
      </c>
      <c r="G1549" s="69">
        <v>552</v>
      </c>
    </row>
    <row r="1550" spans="1:7">
      <c r="A1550" s="67" t="s">
        <v>3032</v>
      </c>
      <c r="B1550" s="70">
        <v>46188</v>
      </c>
      <c r="C1550" s="67" t="s">
        <v>1425</v>
      </c>
      <c r="D1550" s="67" t="s">
        <v>1484</v>
      </c>
      <c r="E1550" s="67" t="s">
        <v>1470</v>
      </c>
      <c r="F1550" s="67" t="s">
        <v>1462</v>
      </c>
      <c r="G1550" s="69">
        <v>336</v>
      </c>
    </row>
    <row r="1551" spans="1:7">
      <c r="A1551" s="67" t="s">
        <v>3033</v>
      </c>
      <c r="B1551" s="70">
        <v>46188</v>
      </c>
      <c r="C1551" s="67" t="s">
        <v>1429</v>
      </c>
      <c r="D1551" s="67" t="s">
        <v>1459</v>
      </c>
      <c r="E1551" s="67" t="s">
        <v>1362</v>
      </c>
      <c r="F1551" s="67" t="s">
        <v>1462</v>
      </c>
      <c r="G1551" s="69">
        <v>310</v>
      </c>
    </row>
    <row r="1552" spans="1:7">
      <c r="A1552" s="67" t="s">
        <v>3034</v>
      </c>
      <c r="B1552" s="70">
        <v>46188</v>
      </c>
      <c r="C1552" s="67" t="s">
        <v>1434</v>
      </c>
      <c r="D1552" s="67" t="s">
        <v>358</v>
      </c>
      <c r="E1552" s="67" t="s">
        <v>1368</v>
      </c>
      <c r="F1552" s="67" t="s">
        <v>1462</v>
      </c>
      <c r="G1552" s="69">
        <v>561</v>
      </c>
    </row>
    <row r="1553" spans="1:7">
      <c r="A1553" s="67" t="s">
        <v>3035</v>
      </c>
      <c r="B1553" s="70">
        <v>46188</v>
      </c>
      <c r="C1553" s="67" t="s">
        <v>1442</v>
      </c>
      <c r="D1553" s="67" t="s">
        <v>1466</v>
      </c>
      <c r="E1553" s="67" t="s">
        <v>1386</v>
      </c>
      <c r="F1553" s="67" t="s">
        <v>1462</v>
      </c>
      <c r="G1553" s="69">
        <v>130</v>
      </c>
    </row>
    <row r="1554" spans="1:7">
      <c r="A1554" s="67" t="s">
        <v>3036</v>
      </c>
      <c r="B1554" s="70">
        <v>46188</v>
      </c>
      <c r="C1554" s="67" t="s">
        <v>1442</v>
      </c>
      <c r="D1554" s="67" t="s">
        <v>1602</v>
      </c>
      <c r="E1554" s="67" t="s">
        <v>1386</v>
      </c>
      <c r="F1554" s="67" t="s">
        <v>1460</v>
      </c>
      <c r="G1554" s="69">
        <v>16</v>
      </c>
    </row>
    <row r="1555" spans="1:7">
      <c r="A1555" s="67" t="s">
        <v>3037</v>
      </c>
      <c r="B1555" s="70">
        <v>46188</v>
      </c>
      <c r="C1555" s="67" t="s">
        <v>1446</v>
      </c>
      <c r="D1555" s="67" t="s">
        <v>353</v>
      </c>
      <c r="E1555" s="67" t="s">
        <v>1368</v>
      </c>
      <c r="F1555" s="67" t="s">
        <v>1462</v>
      </c>
      <c r="G1555" s="69">
        <v>391</v>
      </c>
    </row>
    <row r="1556" spans="1:7">
      <c r="A1556" s="67" t="s">
        <v>3038</v>
      </c>
      <c r="B1556" s="70">
        <v>46189</v>
      </c>
      <c r="C1556" s="67" t="s">
        <v>1359</v>
      </c>
      <c r="D1556" s="67" t="s">
        <v>1602</v>
      </c>
      <c r="E1556" s="67" t="s">
        <v>1386</v>
      </c>
      <c r="F1556" s="67" t="s">
        <v>1462</v>
      </c>
      <c r="G1556" s="69">
        <v>218</v>
      </c>
    </row>
    <row r="1557" spans="1:7">
      <c r="A1557" s="67" t="s">
        <v>3039</v>
      </c>
      <c r="B1557" s="70">
        <v>46189</v>
      </c>
      <c r="C1557" s="67" t="s">
        <v>1375</v>
      </c>
      <c r="D1557" s="67" t="s">
        <v>356</v>
      </c>
      <c r="E1557" s="67" t="s">
        <v>1368</v>
      </c>
      <c r="F1557" s="67" t="s">
        <v>1462</v>
      </c>
      <c r="G1557" s="69">
        <v>160</v>
      </c>
    </row>
    <row r="1558" spans="1:7">
      <c r="A1558" s="67" t="s">
        <v>3040</v>
      </c>
      <c r="B1558" s="70">
        <v>46189</v>
      </c>
      <c r="C1558" s="67" t="s">
        <v>1381</v>
      </c>
      <c r="D1558" s="67" t="s">
        <v>356</v>
      </c>
      <c r="E1558" s="67" t="s">
        <v>1368</v>
      </c>
      <c r="F1558" s="67" t="s">
        <v>1462</v>
      </c>
      <c r="G1558" s="69">
        <v>233</v>
      </c>
    </row>
    <row r="1559" spans="1:7">
      <c r="A1559" s="67" t="s">
        <v>3041</v>
      </c>
      <c r="B1559" s="70">
        <v>46189</v>
      </c>
      <c r="C1559" s="67" t="s">
        <v>1381</v>
      </c>
      <c r="D1559" s="67" t="s">
        <v>356</v>
      </c>
      <c r="E1559" s="67" t="s">
        <v>1368</v>
      </c>
      <c r="F1559" s="67" t="s">
        <v>1462</v>
      </c>
      <c r="G1559" s="69">
        <v>583</v>
      </c>
    </row>
    <row r="1560" spans="1:7">
      <c r="A1560" s="67" t="s">
        <v>3042</v>
      </c>
      <c r="B1560" s="70">
        <v>46189</v>
      </c>
      <c r="C1560" s="67" t="s">
        <v>1381</v>
      </c>
      <c r="D1560" s="67" t="s">
        <v>1476</v>
      </c>
      <c r="E1560" s="67" t="s">
        <v>1362</v>
      </c>
      <c r="F1560" s="67" t="s">
        <v>1462</v>
      </c>
      <c r="G1560" s="69">
        <v>541</v>
      </c>
    </row>
    <row r="1561" spans="1:7">
      <c r="A1561" s="67" t="s">
        <v>3043</v>
      </c>
      <c r="B1561" s="70">
        <v>46189</v>
      </c>
      <c r="C1561" s="67" t="s">
        <v>1389</v>
      </c>
      <c r="D1561" s="67" t="s">
        <v>1484</v>
      </c>
      <c r="E1561" s="67" t="s">
        <v>1470</v>
      </c>
      <c r="F1561" s="67" t="s">
        <v>1462</v>
      </c>
      <c r="G1561" s="69">
        <v>313</v>
      </c>
    </row>
    <row r="1562" spans="1:7">
      <c r="A1562" s="67" t="s">
        <v>3044</v>
      </c>
      <c r="B1562" s="70">
        <v>46189</v>
      </c>
      <c r="C1562" s="67" t="s">
        <v>1391</v>
      </c>
      <c r="D1562" s="67" t="s">
        <v>1582</v>
      </c>
      <c r="E1562" s="67" t="s">
        <v>5</v>
      </c>
      <c r="F1562" s="67" t="s">
        <v>1462</v>
      </c>
      <c r="G1562" s="69">
        <v>210</v>
      </c>
    </row>
    <row r="1563" spans="1:7">
      <c r="A1563" s="67" t="s">
        <v>3045</v>
      </c>
      <c r="B1563" s="70">
        <v>46189</v>
      </c>
      <c r="C1563" s="67" t="s">
        <v>1406</v>
      </c>
      <c r="D1563" s="67" t="s">
        <v>365</v>
      </c>
      <c r="E1563" s="67" t="s">
        <v>1368</v>
      </c>
      <c r="F1563" s="67" t="s">
        <v>1462</v>
      </c>
      <c r="G1563" s="69">
        <v>327</v>
      </c>
    </row>
    <row r="1564" spans="1:7">
      <c r="A1564" s="67" t="s">
        <v>3046</v>
      </c>
      <c r="B1564" s="70">
        <v>46189</v>
      </c>
      <c r="C1564" s="67" t="s">
        <v>1411</v>
      </c>
      <c r="D1564" s="67" t="s">
        <v>1506</v>
      </c>
      <c r="E1564" s="67" t="s">
        <v>1482</v>
      </c>
      <c r="F1564" s="67" t="s">
        <v>1462</v>
      </c>
      <c r="G1564" s="69">
        <v>65</v>
      </c>
    </row>
    <row r="1565" spans="1:7">
      <c r="A1565" s="67" t="s">
        <v>3047</v>
      </c>
      <c r="B1565" s="70">
        <v>46189</v>
      </c>
      <c r="C1565" s="67" t="s">
        <v>1411</v>
      </c>
      <c r="D1565" s="67" t="s">
        <v>1506</v>
      </c>
      <c r="E1565" s="67" t="s">
        <v>1482</v>
      </c>
      <c r="F1565" s="67" t="s">
        <v>1462</v>
      </c>
      <c r="G1565" s="69">
        <v>416</v>
      </c>
    </row>
    <row r="1566" spans="1:7">
      <c r="A1566" s="67" t="s">
        <v>3048</v>
      </c>
      <c r="B1566" s="70">
        <v>46189</v>
      </c>
      <c r="C1566" s="67" t="s">
        <v>1414</v>
      </c>
      <c r="D1566" s="67" t="s">
        <v>1511</v>
      </c>
      <c r="E1566" s="67" t="s">
        <v>1470</v>
      </c>
      <c r="F1566" s="67" t="s">
        <v>1462</v>
      </c>
      <c r="G1566" s="69">
        <v>367</v>
      </c>
    </row>
    <row r="1567" spans="1:7">
      <c r="A1567" s="67" t="s">
        <v>3049</v>
      </c>
      <c r="B1567" s="70">
        <v>46189</v>
      </c>
      <c r="C1567" s="67" t="s">
        <v>1414</v>
      </c>
      <c r="D1567" s="67" t="s">
        <v>1484</v>
      </c>
      <c r="E1567" s="67" t="s">
        <v>1470</v>
      </c>
      <c r="F1567" s="67" t="s">
        <v>1462</v>
      </c>
      <c r="G1567" s="69">
        <v>337</v>
      </c>
    </row>
    <row r="1568" spans="1:7">
      <c r="A1568" s="67" t="s">
        <v>3050</v>
      </c>
      <c r="B1568" s="70">
        <v>46189</v>
      </c>
      <c r="C1568" s="67" t="s">
        <v>1423</v>
      </c>
      <c r="D1568" s="67" t="s">
        <v>1743</v>
      </c>
      <c r="E1568" s="67" t="s">
        <v>1410</v>
      </c>
      <c r="F1568" s="67" t="s">
        <v>1462</v>
      </c>
      <c r="G1568" s="69">
        <v>561</v>
      </c>
    </row>
    <row r="1569" spans="1:7">
      <c r="A1569" s="67" t="s">
        <v>3051</v>
      </c>
      <c r="B1569" s="70">
        <v>46189</v>
      </c>
      <c r="C1569" s="67" t="s">
        <v>1429</v>
      </c>
      <c r="D1569" s="67" t="s">
        <v>353</v>
      </c>
      <c r="E1569" s="67" t="s">
        <v>1368</v>
      </c>
      <c r="F1569" s="67" t="s">
        <v>1462</v>
      </c>
      <c r="G1569" s="69">
        <v>73</v>
      </c>
    </row>
    <row r="1570" spans="1:7">
      <c r="A1570" s="67" t="s">
        <v>3052</v>
      </c>
      <c r="B1570" s="70">
        <v>46190</v>
      </c>
      <c r="C1570" s="67" t="s">
        <v>1366</v>
      </c>
      <c r="D1570" s="67" t="s">
        <v>363</v>
      </c>
      <c r="E1570" s="67" t="s">
        <v>1368</v>
      </c>
      <c r="F1570" s="67" t="s">
        <v>1462</v>
      </c>
      <c r="G1570" s="69">
        <v>138</v>
      </c>
    </row>
    <row r="1571" spans="1:7">
      <c r="A1571" s="67" t="s">
        <v>3053</v>
      </c>
      <c r="B1571" s="70">
        <v>46190</v>
      </c>
      <c r="C1571" s="67" t="s">
        <v>1366</v>
      </c>
      <c r="D1571" s="67" t="s">
        <v>1484</v>
      </c>
      <c r="E1571" s="67" t="s">
        <v>1470</v>
      </c>
      <c r="F1571" s="67" t="s">
        <v>1462</v>
      </c>
      <c r="G1571" s="69">
        <v>572</v>
      </c>
    </row>
    <row r="1572" spans="1:7">
      <c r="A1572" s="67" t="s">
        <v>3054</v>
      </c>
      <c r="B1572" s="70">
        <v>46190</v>
      </c>
      <c r="C1572" s="67" t="s">
        <v>1371</v>
      </c>
      <c r="D1572" s="67" t="s">
        <v>1459</v>
      </c>
      <c r="E1572" s="67" t="s">
        <v>1362</v>
      </c>
      <c r="F1572" s="67" t="s">
        <v>1460</v>
      </c>
      <c r="G1572" s="69">
        <v>17</v>
      </c>
    </row>
    <row r="1573" spans="1:7">
      <c r="A1573" s="67" t="s">
        <v>3055</v>
      </c>
      <c r="B1573" s="70">
        <v>46190</v>
      </c>
      <c r="C1573" s="67" t="s">
        <v>1375</v>
      </c>
      <c r="D1573" s="67" t="s">
        <v>367</v>
      </c>
      <c r="E1573" s="67" t="s">
        <v>1368</v>
      </c>
      <c r="F1573" s="67" t="s">
        <v>1462</v>
      </c>
      <c r="G1573" s="69">
        <v>156</v>
      </c>
    </row>
    <row r="1574" spans="1:7">
      <c r="A1574" s="67" t="s">
        <v>3056</v>
      </c>
      <c r="B1574" s="70">
        <v>46190</v>
      </c>
      <c r="C1574" s="67" t="s">
        <v>1378</v>
      </c>
      <c r="D1574" s="67" t="s">
        <v>365</v>
      </c>
      <c r="E1574" s="67" t="s">
        <v>1368</v>
      </c>
      <c r="F1574" s="67" t="s">
        <v>1462</v>
      </c>
      <c r="G1574" s="69">
        <v>490</v>
      </c>
    </row>
    <row r="1575" spans="1:7">
      <c r="A1575" s="67" t="s">
        <v>3057</v>
      </c>
      <c r="B1575" s="70">
        <v>46190</v>
      </c>
      <c r="C1575" s="67" t="s">
        <v>1381</v>
      </c>
      <c r="D1575" s="67" t="s">
        <v>1511</v>
      </c>
      <c r="E1575" s="67" t="s">
        <v>1470</v>
      </c>
      <c r="F1575" s="67" t="s">
        <v>1462</v>
      </c>
      <c r="G1575" s="69">
        <v>24</v>
      </c>
    </row>
    <row r="1576" spans="1:7">
      <c r="A1576" s="67" t="s">
        <v>3058</v>
      </c>
      <c r="B1576" s="70">
        <v>46190</v>
      </c>
      <c r="C1576" s="67" t="s">
        <v>1381</v>
      </c>
      <c r="D1576" s="67" t="s">
        <v>365</v>
      </c>
      <c r="E1576" s="67" t="s">
        <v>1368</v>
      </c>
      <c r="F1576" s="67" t="s">
        <v>1462</v>
      </c>
      <c r="G1576" s="69">
        <v>85</v>
      </c>
    </row>
    <row r="1577" spans="1:7">
      <c r="A1577" s="67" t="s">
        <v>3059</v>
      </c>
      <c r="B1577" s="70">
        <v>46190</v>
      </c>
      <c r="C1577" s="67" t="s">
        <v>1381</v>
      </c>
      <c r="D1577" s="67" t="s">
        <v>369</v>
      </c>
      <c r="E1577" s="67" t="s">
        <v>1368</v>
      </c>
      <c r="F1577" s="67" t="s">
        <v>1462</v>
      </c>
      <c r="G1577" s="69">
        <v>105</v>
      </c>
    </row>
    <row r="1578" spans="1:7">
      <c r="A1578" s="67" t="s">
        <v>3060</v>
      </c>
      <c r="B1578" s="70">
        <v>46190</v>
      </c>
      <c r="C1578" s="67" t="s">
        <v>1381</v>
      </c>
      <c r="D1578" s="67" t="s">
        <v>1551</v>
      </c>
      <c r="E1578" s="67" t="s">
        <v>1362</v>
      </c>
      <c r="F1578" s="67" t="s">
        <v>1460</v>
      </c>
      <c r="G1578" s="69">
        <v>8</v>
      </c>
    </row>
    <row r="1579" spans="1:7">
      <c r="A1579" s="67" t="s">
        <v>3061</v>
      </c>
      <c r="B1579" s="70">
        <v>46190</v>
      </c>
      <c r="C1579" s="67" t="s">
        <v>1397</v>
      </c>
      <c r="D1579" s="67" t="s">
        <v>356</v>
      </c>
      <c r="E1579" s="67" t="s">
        <v>1368</v>
      </c>
      <c r="F1579" s="67" t="s">
        <v>1488</v>
      </c>
      <c r="G1579" s="69">
        <v>6</v>
      </c>
    </row>
    <row r="1580" spans="1:7">
      <c r="A1580" s="67" t="s">
        <v>3062</v>
      </c>
      <c r="B1580" s="70">
        <v>46190</v>
      </c>
      <c r="C1580" s="67" t="s">
        <v>1399</v>
      </c>
      <c r="D1580" s="67" t="s">
        <v>1602</v>
      </c>
      <c r="E1580" s="67" t="s">
        <v>1386</v>
      </c>
      <c r="F1580" s="67" t="s">
        <v>1462</v>
      </c>
      <c r="G1580" s="69">
        <v>76</v>
      </c>
    </row>
    <row r="1581" spans="1:7">
      <c r="A1581" s="67" t="s">
        <v>3063</v>
      </c>
      <c r="B1581" s="70">
        <v>46190</v>
      </c>
      <c r="C1581" s="67" t="s">
        <v>1404</v>
      </c>
      <c r="D1581" s="67" t="s">
        <v>367</v>
      </c>
      <c r="E1581" s="67" t="s">
        <v>1368</v>
      </c>
      <c r="F1581" s="67" t="s">
        <v>1462</v>
      </c>
      <c r="G1581" s="69">
        <v>94</v>
      </c>
    </row>
    <row r="1582" spans="1:7">
      <c r="A1582" s="67" t="s">
        <v>3064</v>
      </c>
      <c r="B1582" s="70">
        <v>46190</v>
      </c>
      <c r="C1582" s="67" t="s">
        <v>1404</v>
      </c>
      <c r="D1582" s="67" t="s">
        <v>358</v>
      </c>
      <c r="E1582" s="67" t="s">
        <v>1368</v>
      </c>
      <c r="F1582" s="67" t="s">
        <v>1462</v>
      </c>
      <c r="G1582" s="69">
        <v>82</v>
      </c>
    </row>
    <row r="1583" spans="1:7">
      <c r="A1583" s="67" t="s">
        <v>3065</v>
      </c>
      <c r="B1583" s="70">
        <v>46190</v>
      </c>
      <c r="C1583" s="67" t="s">
        <v>1404</v>
      </c>
      <c r="D1583" s="67" t="s">
        <v>358</v>
      </c>
      <c r="E1583" s="67" t="s">
        <v>1368</v>
      </c>
      <c r="F1583" s="67" t="s">
        <v>1462</v>
      </c>
      <c r="G1583" s="69">
        <v>24</v>
      </c>
    </row>
    <row r="1584" spans="1:7">
      <c r="A1584" s="67" t="s">
        <v>3066</v>
      </c>
      <c r="B1584" s="70">
        <v>46190</v>
      </c>
      <c r="C1584" s="67" t="s">
        <v>1414</v>
      </c>
      <c r="D1584" s="67" t="s">
        <v>1511</v>
      </c>
      <c r="E1584" s="67" t="s">
        <v>1470</v>
      </c>
      <c r="F1584" s="67" t="s">
        <v>1460</v>
      </c>
      <c r="G1584" s="69">
        <v>21</v>
      </c>
    </row>
    <row r="1585" spans="1:7">
      <c r="A1585" s="67" t="s">
        <v>3067</v>
      </c>
      <c r="B1585" s="70">
        <v>46190</v>
      </c>
      <c r="C1585" s="67" t="s">
        <v>1425</v>
      </c>
      <c r="D1585" s="67" t="s">
        <v>1484</v>
      </c>
      <c r="E1585" s="67" t="s">
        <v>1470</v>
      </c>
      <c r="F1585" s="67" t="s">
        <v>1462</v>
      </c>
      <c r="G1585" s="69">
        <v>566</v>
      </c>
    </row>
    <row r="1586" spans="1:7">
      <c r="A1586" s="67" t="s">
        <v>3068</v>
      </c>
      <c r="B1586" s="70">
        <v>46190</v>
      </c>
      <c r="C1586" s="67" t="s">
        <v>1425</v>
      </c>
      <c r="D1586" s="67" t="s">
        <v>1491</v>
      </c>
      <c r="E1586" s="67" t="s">
        <v>1470</v>
      </c>
      <c r="F1586" s="67" t="s">
        <v>1488</v>
      </c>
      <c r="G1586" s="69">
        <v>8</v>
      </c>
    </row>
    <row r="1587" spans="1:7">
      <c r="A1587" s="67" t="s">
        <v>3069</v>
      </c>
      <c r="B1587" s="70">
        <v>46190</v>
      </c>
      <c r="C1587" s="67" t="s">
        <v>1434</v>
      </c>
      <c r="D1587" s="67" t="s">
        <v>353</v>
      </c>
      <c r="E1587" s="67" t="s">
        <v>1368</v>
      </c>
      <c r="F1587" s="67" t="s">
        <v>1460</v>
      </c>
      <c r="G1587" s="69">
        <v>24</v>
      </c>
    </row>
    <row r="1588" spans="1:7">
      <c r="A1588" s="67" t="s">
        <v>3070</v>
      </c>
      <c r="B1588" s="70">
        <v>46190</v>
      </c>
      <c r="C1588" s="67" t="s">
        <v>1434</v>
      </c>
      <c r="D1588" s="67" t="s">
        <v>1466</v>
      </c>
      <c r="E1588" s="67" t="s">
        <v>1386</v>
      </c>
      <c r="F1588" s="67" t="s">
        <v>1462</v>
      </c>
      <c r="G1588" s="69">
        <v>196</v>
      </c>
    </row>
    <row r="1589" spans="1:7">
      <c r="A1589" s="67" t="s">
        <v>3071</v>
      </c>
      <c r="B1589" s="70">
        <v>46191</v>
      </c>
      <c r="C1589" s="67" t="s">
        <v>1359</v>
      </c>
      <c r="D1589" s="67" t="s">
        <v>369</v>
      </c>
      <c r="E1589" s="67" t="s">
        <v>1368</v>
      </c>
      <c r="F1589" s="67" t="s">
        <v>1462</v>
      </c>
      <c r="G1589" s="69">
        <v>39</v>
      </c>
    </row>
    <row r="1590" spans="1:7">
      <c r="A1590" s="67" t="s">
        <v>3072</v>
      </c>
      <c r="B1590" s="70">
        <v>46191</v>
      </c>
      <c r="C1590" s="67" t="s">
        <v>1371</v>
      </c>
      <c r="D1590" s="67" t="s">
        <v>1466</v>
      </c>
      <c r="E1590" s="67" t="s">
        <v>1386</v>
      </c>
      <c r="F1590" s="67" t="s">
        <v>1462</v>
      </c>
      <c r="G1590" s="69">
        <v>412</v>
      </c>
    </row>
    <row r="1591" spans="1:7">
      <c r="A1591" s="67" t="s">
        <v>3073</v>
      </c>
      <c r="B1591" s="70">
        <v>46191</v>
      </c>
      <c r="C1591" s="67" t="s">
        <v>1371</v>
      </c>
      <c r="D1591" s="67" t="s">
        <v>1551</v>
      </c>
      <c r="E1591" s="67" t="s">
        <v>1362</v>
      </c>
      <c r="F1591" s="67" t="s">
        <v>1462</v>
      </c>
      <c r="G1591" s="69">
        <v>485</v>
      </c>
    </row>
    <row r="1592" spans="1:7">
      <c r="A1592" s="67" t="s">
        <v>3074</v>
      </c>
      <c r="B1592" s="70">
        <v>46191</v>
      </c>
      <c r="C1592" s="67" t="s">
        <v>1375</v>
      </c>
      <c r="D1592" s="67" t="s">
        <v>356</v>
      </c>
      <c r="E1592" s="67" t="s">
        <v>1368</v>
      </c>
      <c r="F1592" s="67" t="s">
        <v>1462</v>
      </c>
      <c r="G1592" s="69">
        <v>325</v>
      </c>
    </row>
    <row r="1593" spans="1:7">
      <c r="A1593" s="67" t="s">
        <v>3075</v>
      </c>
      <c r="B1593" s="70">
        <v>46191</v>
      </c>
      <c r="C1593" s="67" t="s">
        <v>1375</v>
      </c>
      <c r="D1593" s="67" t="s">
        <v>358</v>
      </c>
      <c r="E1593" s="67" t="s">
        <v>1368</v>
      </c>
      <c r="F1593" s="67" t="s">
        <v>1462</v>
      </c>
      <c r="G1593" s="69">
        <v>494</v>
      </c>
    </row>
    <row r="1594" spans="1:7">
      <c r="A1594" s="67" t="s">
        <v>3076</v>
      </c>
      <c r="B1594" s="70">
        <v>46191</v>
      </c>
      <c r="C1594" s="67" t="s">
        <v>1378</v>
      </c>
      <c r="D1594" s="67" t="s">
        <v>1484</v>
      </c>
      <c r="E1594" s="67" t="s">
        <v>1470</v>
      </c>
      <c r="F1594" s="67" t="s">
        <v>1462</v>
      </c>
      <c r="G1594" s="69">
        <v>573</v>
      </c>
    </row>
    <row r="1595" spans="1:7">
      <c r="A1595" s="67" t="s">
        <v>3077</v>
      </c>
      <c r="B1595" s="70">
        <v>46191</v>
      </c>
      <c r="C1595" s="67" t="s">
        <v>1384</v>
      </c>
      <c r="D1595" s="67" t="s">
        <v>1551</v>
      </c>
      <c r="E1595" s="67" t="s">
        <v>1362</v>
      </c>
      <c r="F1595" s="67" t="s">
        <v>1462</v>
      </c>
      <c r="G1595" s="69">
        <v>124</v>
      </c>
    </row>
    <row r="1596" spans="1:7">
      <c r="A1596" s="67" t="s">
        <v>3078</v>
      </c>
      <c r="B1596" s="70">
        <v>46191</v>
      </c>
      <c r="C1596" s="67" t="s">
        <v>1389</v>
      </c>
      <c r="D1596" s="67" t="s">
        <v>367</v>
      </c>
      <c r="E1596" s="67" t="s">
        <v>1368</v>
      </c>
      <c r="F1596" s="67" t="s">
        <v>1462</v>
      </c>
      <c r="G1596" s="69">
        <v>307</v>
      </c>
    </row>
    <row r="1597" spans="1:7">
      <c r="A1597" s="67" t="s">
        <v>3079</v>
      </c>
      <c r="B1597" s="70">
        <v>46191</v>
      </c>
      <c r="C1597" s="67" t="s">
        <v>1389</v>
      </c>
      <c r="D1597" s="67" t="s">
        <v>369</v>
      </c>
      <c r="E1597" s="67" t="s">
        <v>1368</v>
      </c>
      <c r="F1597" s="67" t="s">
        <v>1462</v>
      </c>
      <c r="G1597" s="69">
        <v>187</v>
      </c>
    </row>
    <row r="1598" spans="1:7">
      <c r="A1598" s="67" t="s">
        <v>3080</v>
      </c>
      <c r="B1598" s="70">
        <v>46191</v>
      </c>
      <c r="C1598" s="67" t="s">
        <v>1399</v>
      </c>
      <c r="D1598" s="67" t="s">
        <v>1551</v>
      </c>
      <c r="E1598" s="67" t="s">
        <v>1362</v>
      </c>
      <c r="F1598" s="67" t="s">
        <v>1462</v>
      </c>
      <c r="G1598" s="69">
        <v>190</v>
      </c>
    </row>
    <row r="1599" spans="1:7">
      <c r="A1599" s="67" t="s">
        <v>3081</v>
      </c>
      <c r="B1599" s="70">
        <v>46191</v>
      </c>
      <c r="C1599" s="67" t="s">
        <v>1401</v>
      </c>
      <c r="D1599" s="67" t="s">
        <v>1602</v>
      </c>
      <c r="E1599" s="67" t="s">
        <v>1386</v>
      </c>
      <c r="F1599" s="67" t="s">
        <v>1462</v>
      </c>
      <c r="G1599" s="69">
        <v>256</v>
      </c>
    </row>
    <row r="1600" spans="1:7">
      <c r="A1600" s="67" t="s">
        <v>3082</v>
      </c>
      <c r="B1600" s="70">
        <v>46191</v>
      </c>
      <c r="C1600" s="67" t="s">
        <v>1404</v>
      </c>
      <c r="D1600" s="67" t="s">
        <v>353</v>
      </c>
      <c r="E1600" s="67" t="s">
        <v>1368</v>
      </c>
      <c r="F1600" s="67" t="s">
        <v>1462</v>
      </c>
      <c r="G1600" s="69">
        <v>305</v>
      </c>
    </row>
    <row r="1601" spans="1:7">
      <c r="A1601" s="67" t="s">
        <v>3083</v>
      </c>
      <c r="B1601" s="70">
        <v>46191</v>
      </c>
      <c r="C1601" s="67" t="s">
        <v>1404</v>
      </c>
      <c r="D1601" s="67" t="s">
        <v>1511</v>
      </c>
      <c r="E1601" s="67" t="s">
        <v>1470</v>
      </c>
      <c r="F1601" s="67" t="s">
        <v>1460</v>
      </c>
      <c r="G1601" s="69">
        <v>15</v>
      </c>
    </row>
    <row r="1602" spans="1:7">
      <c r="A1602" s="67" t="s">
        <v>3084</v>
      </c>
      <c r="B1602" s="70">
        <v>46191</v>
      </c>
      <c r="C1602" s="67" t="s">
        <v>1404</v>
      </c>
      <c r="D1602" s="67" t="s">
        <v>356</v>
      </c>
      <c r="E1602" s="67" t="s">
        <v>1368</v>
      </c>
      <c r="F1602" s="67" t="s">
        <v>1462</v>
      </c>
      <c r="G1602" s="69">
        <v>478</v>
      </c>
    </row>
    <row r="1603" spans="1:7">
      <c r="A1603" s="67" t="s">
        <v>3085</v>
      </c>
      <c r="B1603" s="70">
        <v>46191</v>
      </c>
      <c r="C1603" s="67" t="s">
        <v>1404</v>
      </c>
      <c r="D1603" s="67" t="s">
        <v>367</v>
      </c>
      <c r="E1603" s="67" t="s">
        <v>1368</v>
      </c>
      <c r="F1603" s="67" t="s">
        <v>1460</v>
      </c>
      <c r="G1603" s="69">
        <v>19</v>
      </c>
    </row>
    <row r="1604" spans="1:7">
      <c r="A1604" s="67" t="s">
        <v>3086</v>
      </c>
      <c r="B1604" s="70">
        <v>46191</v>
      </c>
      <c r="C1604" s="67" t="s">
        <v>1406</v>
      </c>
      <c r="D1604" s="67" t="s">
        <v>353</v>
      </c>
      <c r="E1604" s="67" t="s">
        <v>1368</v>
      </c>
      <c r="F1604" s="67" t="s">
        <v>1460</v>
      </c>
      <c r="G1604" s="69">
        <v>22</v>
      </c>
    </row>
    <row r="1605" spans="1:7">
      <c r="A1605" s="67" t="s">
        <v>3087</v>
      </c>
      <c r="B1605" s="70">
        <v>46191</v>
      </c>
      <c r="C1605" s="67" t="s">
        <v>1411</v>
      </c>
      <c r="D1605" s="67" t="s">
        <v>363</v>
      </c>
      <c r="E1605" s="67" t="s">
        <v>1368</v>
      </c>
      <c r="F1605" s="67" t="s">
        <v>1462</v>
      </c>
      <c r="G1605" s="69">
        <v>36</v>
      </c>
    </row>
    <row r="1606" spans="1:7">
      <c r="A1606" s="67" t="s">
        <v>3088</v>
      </c>
      <c r="B1606" s="70">
        <v>46191</v>
      </c>
      <c r="C1606" s="67" t="s">
        <v>1411</v>
      </c>
      <c r="D1606" s="67" t="s">
        <v>1506</v>
      </c>
      <c r="E1606" s="67" t="s">
        <v>1482</v>
      </c>
      <c r="F1606" s="67" t="s">
        <v>1460</v>
      </c>
      <c r="G1606" s="69">
        <v>15</v>
      </c>
    </row>
    <row r="1607" spans="1:7">
      <c r="A1607" s="67" t="s">
        <v>3089</v>
      </c>
      <c r="B1607" s="70">
        <v>46191</v>
      </c>
      <c r="C1607" s="67" t="s">
        <v>1411</v>
      </c>
      <c r="D1607" s="67" t="s">
        <v>1481</v>
      </c>
      <c r="E1607" s="67" t="s">
        <v>1482</v>
      </c>
      <c r="F1607" s="67" t="s">
        <v>1460</v>
      </c>
      <c r="G1607" s="69">
        <v>26</v>
      </c>
    </row>
    <row r="1608" spans="1:7">
      <c r="A1608" s="67" t="s">
        <v>3090</v>
      </c>
      <c r="B1608" s="70">
        <v>46191</v>
      </c>
      <c r="C1608" s="67" t="s">
        <v>1419</v>
      </c>
      <c r="D1608" s="67" t="s">
        <v>356</v>
      </c>
      <c r="E1608" s="67" t="s">
        <v>1368</v>
      </c>
      <c r="F1608" s="67" t="s">
        <v>1460</v>
      </c>
      <c r="G1608" s="69">
        <v>30</v>
      </c>
    </row>
    <row r="1609" spans="1:7">
      <c r="A1609" s="67" t="s">
        <v>3091</v>
      </c>
      <c r="B1609" s="70">
        <v>46191</v>
      </c>
      <c r="C1609" s="67" t="s">
        <v>1429</v>
      </c>
      <c r="D1609" s="67" t="s">
        <v>353</v>
      </c>
      <c r="E1609" s="67" t="s">
        <v>1368</v>
      </c>
      <c r="F1609" s="67" t="s">
        <v>1462</v>
      </c>
      <c r="G1609" s="69">
        <v>474</v>
      </c>
    </row>
    <row r="1610" spans="1:7">
      <c r="A1610" s="67" t="s">
        <v>3092</v>
      </c>
      <c r="B1610" s="70">
        <v>46191</v>
      </c>
      <c r="C1610" s="67" t="s">
        <v>1434</v>
      </c>
      <c r="D1610" s="67" t="s">
        <v>1551</v>
      </c>
      <c r="E1610" s="67" t="s">
        <v>1362</v>
      </c>
      <c r="F1610" s="67" t="s">
        <v>1462</v>
      </c>
      <c r="G1610" s="69">
        <v>369</v>
      </c>
    </row>
    <row r="1611" spans="1:7">
      <c r="A1611" s="67" t="s">
        <v>3093</v>
      </c>
      <c r="B1611" s="70">
        <v>46191</v>
      </c>
      <c r="C1611" s="67" t="s">
        <v>1442</v>
      </c>
      <c r="D1611" s="67" t="s">
        <v>1459</v>
      </c>
      <c r="E1611" s="67" t="s">
        <v>1362</v>
      </c>
      <c r="F1611" s="67" t="s">
        <v>1460</v>
      </c>
      <c r="G1611" s="69">
        <v>17</v>
      </c>
    </row>
    <row r="1612" spans="1:7">
      <c r="A1612" s="67" t="s">
        <v>3094</v>
      </c>
      <c r="B1612" s="70">
        <v>46192</v>
      </c>
      <c r="C1612" s="67" t="s">
        <v>1359</v>
      </c>
      <c r="D1612" s="67" t="s">
        <v>1551</v>
      </c>
      <c r="E1612" s="67" t="s">
        <v>1362</v>
      </c>
      <c r="F1612" s="67" t="s">
        <v>1460</v>
      </c>
      <c r="G1612" s="69">
        <v>23</v>
      </c>
    </row>
    <row r="1613" spans="1:7">
      <c r="A1613" s="67" t="s">
        <v>3095</v>
      </c>
      <c r="B1613" s="70">
        <v>46192</v>
      </c>
      <c r="C1613" s="67" t="s">
        <v>1366</v>
      </c>
      <c r="D1613" s="67" t="s">
        <v>365</v>
      </c>
      <c r="E1613" s="67" t="s">
        <v>1368</v>
      </c>
      <c r="F1613" s="67" t="s">
        <v>1462</v>
      </c>
      <c r="G1613" s="69">
        <v>29</v>
      </c>
    </row>
    <row r="1614" spans="1:7">
      <c r="A1614" s="67" t="s">
        <v>3096</v>
      </c>
      <c r="B1614" s="70">
        <v>46192</v>
      </c>
      <c r="C1614" s="67" t="s">
        <v>1371</v>
      </c>
      <c r="D1614" s="67" t="s">
        <v>1476</v>
      </c>
      <c r="E1614" s="67" t="s">
        <v>1362</v>
      </c>
      <c r="F1614" s="67" t="s">
        <v>1460</v>
      </c>
      <c r="G1614" s="69">
        <v>10</v>
      </c>
    </row>
    <row r="1615" spans="1:7">
      <c r="A1615" s="67" t="s">
        <v>3097</v>
      </c>
      <c r="B1615" s="70">
        <v>46192</v>
      </c>
      <c r="C1615" s="67" t="s">
        <v>1371</v>
      </c>
      <c r="D1615" s="67" t="s">
        <v>1466</v>
      </c>
      <c r="E1615" s="67" t="s">
        <v>1386</v>
      </c>
      <c r="F1615" s="67" t="s">
        <v>1462</v>
      </c>
      <c r="G1615" s="69">
        <v>598</v>
      </c>
    </row>
    <row r="1616" spans="1:7">
      <c r="A1616" s="67" t="s">
        <v>3098</v>
      </c>
      <c r="B1616" s="70">
        <v>46192</v>
      </c>
      <c r="C1616" s="67" t="s">
        <v>1371</v>
      </c>
      <c r="D1616" s="67" t="s">
        <v>1459</v>
      </c>
      <c r="E1616" s="67" t="s">
        <v>1362</v>
      </c>
      <c r="F1616" s="67" t="s">
        <v>1462</v>
      </c>
      <c r="G1616" s="69">
        <v>162</v>
      </c>
    </row>
    <row r="1617" spans="1:7">
      <c r="A1617" s="67" t="s">
        <v>3099</v>
      </c>
      <c r="B1617" s="70">
        <v>46192</v>
      </c>
      <c r="C1617" s="67" t="s">
        <v>1375</v>
      </c>
      <c r="D1617" s="67" t="s">
        <v>365</v>
      </c>
      <c r="E1617" s="67" t="s">
        <v>1368</v>
      </c>
      <c r="F1617" s="67" t="s">
        <v>1462</v>
      </c>
      <c r="G1617" s="69">
        <v>355</v>
      </c>
    </row>
    <row r="1618" spans="1:7">
      <c r="A1618" s="67" t="s">
        <v>3100</v>
      </c>
      <c r="B1618" s="70">
        <v>46192</v>
      </c>
      <c r="C1618" s="67" t="s">
        <v>1381</v>
      </c>
      <c r="D1618" s="67" t="s">
        <v>356</v>
      </c>
      <c r="E1618" s="67" t="s">
        <v>1368</v>
      </c>
      <c r="F1618" s="67" t="s">
        <v>1460</v>
      </c>
      <c r="G1618" s="69">
        <v>20</v>
      </c>
    </row>
    <row r="1619" spans="1:7">
      <c r="A1619" s="67" t="s">
        <v>3101</v>
      </c>
      <c r="B1619" s="70">
        <v>46192</v>
      </c>
      <c r="C1619" s="67" t="s">
        <v>1381</v>
      </c>
      <c r="D1619" s="67" t="s">
        <v>358</v>
      </c>
      <c r="E1619" s="67" t="s">
        <v>1368</v>
      </c>
      <c r="F1619" s="67" t="s">
        <v>1462</v>
      </c>
      <c r="G1619" s="69">
        <v>313</v>
      </c>
    </row>
    <row r="1620" spans="1:7">
      <c r="A1620" s="67" t="s">
        <v>3102</v>
      </c>
      <c r="B1620" s="70">
        <v>46192</v>
      </c>
      <c r="C1620" s="67" t="s">
        <v>1384</v>
      </c>
      <c r="D1620" s="67" t="s">
        <v>1551</v>
      </c>
      <c r="E1620" s="67" t="s">
        <v>1362</v>
      </c>
      <c r="F1620" s="67" t="s">
        <v>1462</v>
      </c>
      <c r="G1620" s="69">
        <v>490</v>
      </c>
    </row>
    <row r="1621" spans="1:7">
      <c r="A1621" s="67" t="s">
        <v>3103</v>
      </c>
      <c r="B1621" s="70">
        <v>46192</v>
      </c>
      <c r="C1621" s="67" t="s">
        <v>1393</v>
      </c>
      <c r="D1621" s="67" t="s">
        <v>358</v>
      </c>
      <c r="E1621" s="67" t="s">
        <v>1368</v>
      </c>
      <c r="F1621" s="67" t="s">
        <v>1462</v>
      </c>
      <c r="G1621" s="69">
        <v>90</v>
      </c>
    </row>
    <row r="1622" spans="1:7">
      <c r="A1622" s="67" t="s">
        <v>3104</v>
      </c>
      <c r="B1622" s="70">
        <v>46192</v>
      </c>
      <c r="C1622" s="67" t="s">
        <v>1401</v>
      </c>
      <c r="D1622" s="67" t="s">
        <v>356</v>
      </c>
      <c r="E1622" s="67" t="s">
        <v>1368</v>
      </c>
      <c r="F1622" s="67" t="s">
        <v>1462</v>
      </c>
      <c r="G1622" s="69">
        <v>147</v>
      </c>
    </row>
    <row r="1623" spans="1:7">
      <c r="A1623" s="67" t="s">
        <v>3105</v>
      </c>
      <c r="B1623" s="70">
        <v>46192</v>
      </c>
      <c r="C1623" s="67" t="s">
        <v>1404</v>
      </c>
      <c r="D1623" s="67" t="s">
        <v>369</v>
      </c>
      <c r="E1623" s="67" t="s">
        <v>1368</v>
      </c>
      <c r="F1623" s="67" t="s">
        <v>1488</v>
      </c>
      <c r="G1623" s="69">
        <v>3</v>
      </c>
    </row>
    <row r="1624" spans="1:7">
      <c r="A1624" s="67" t="s">
        <v>3106</v>
      </c>
      <c r="B1624" s="70">
        <v>46192</v>
      </c>
      <c r="C1624" s="67" t="s">
        <v>1406</v>
      </c>
      <c r="D1624" s="67" t="s">
        <v>353</v>
      </c>
      <c r="E1624" s="67" t="s">
        <v>1368</v>
      </c>
      <c r="F1624" s="67" t="s">
        <v>1462</v>
      </c>
      <c r="G1624" s="69">
        <v>275</v>
      </c>
    </row>
    <row r="1625" spans="1:7">
      <c r="A1625" s="67" t="s">
        <v>3107</v>
      </c>
      <c r="B1625" s="70">
        <v>46192</v>
      </c>
      <c r="C1625" s="67" t="s">
        <v>1406</v>
      </c>
      <c r="D1625" s="67" t="s">
        <v>358</v>
      </c>
      <c r="E1625" s="67" t="s">
        <v>1368</v>
      </c>
      <c r="F1625" s="67" t="s">
        <v>1460</v>
      </c>
      <c r="G1625" s="69">
        <v>20</v>
      </c>
    </row>
    <row r="1626" spans="1:7">
      <c r="A1626" s="67" t="s">
        <v>3108</v>
      </c>
      <c r="B1626" s="70">
        <v>46192</v>
      </c>
      <c r="C1626" s="67" t="s">
        <v>1411</v>
      </c>
      <c r="D1626" s="67" t="s">
        <v>1506</v>
      </c>
      <c r="E1626" s="67" t="s">
        <v>1482</v>
      </c>
      <c r="F1626" s="67" t="s">
        <v>1462</v>
      </c>
      <c r="G1626" s="69">
        <v>477</v>
      </c>
    </row>
    <row r="1627" spans="1:7">
      <c r="A1627" s="67" t="s">
        <v>3109</v>
      </c>
      <c r="B1627" s="70">
        <v>46192</v>
      </c>
      <c r="C1627" s="67" t="s">
        <v>1411</v>
      </c>
      <c r="D1627" s="67" t="s">
        <v>1481</v>
      </c>
      <c r="E1627" s="67" t="s">
        <v>1482</v>
      </c>
      <c r="F1627" s="67" t="s">
        <v>1462</v>
      </c>
      <c r="G1627" s="69">
        <v>151</v>
      </c>
    </row>
    <row r="1628" spans="1:7">
      <c r="A1628" s="67" t="s">
        <v>3110</v>
      </c>
      <c r="B1628" s="70">
        <v>46192</v>
      </c>
      <c r="C1628" s="67" t="s">
        <v>1414</v>
      </c>
      <c r="D1628" s="67" t="s">
        <v>1484</v>
      </c>
      <c r="E1628" s="67" t="s">
        <v>1470</v>
      </c>
      <c r="F1628" s="67" t="s">
        <v>1462</v>
      </c>
      <c r="G1628" s="69">
        <v>463</v>
      </c>
    </row>
    <row r="1629" spans="1:7">
      <c r="A1629" s="67" t="s">
        <v>3111</v>
      </c>
      <c r="B1629" s="70">
        <v>46192</v>
      </c>
      <c r="C1629" s="67" t="s">
        <v>1414</v>
      </c>
      <c r="D1629" s="67" t="s">
        <v>1469</v>
      </c>
      <c r="E1629" s="67" t="s">
        <v>1470</v>
      </c>
      <c r="F1629" s="67" t="s">
        <v>1462</v>
      </c>
      <c r="G1629" s="69">
        <v>543</v>
      </c>
    </row>
    <row r="1630" spans="1:7">
      <c r="A1630" s="67" t="s">
        <v>3112</v>
      </c>
      <c r="B1630" s="70">
        <v>46192</v>
      </c>
      <c r="C1630" s="67" t="s">
        <v>1429</v>
      </c>
      <c r="D1630" s="67" t="s">
        <v>1459</v>
      </c>
      <c r="E1630" s="67" t="s">
        <v>1362</v>
      </c>
      <c r="F1630" s="67" t="s">
        <v>1462</v>
      </c>
      <c r="G1630" s="69">
        <v>415</v>
      </c>
    </row>
    <row r="1631" spans="1:7">
      <c r="A1631" s="67" t="s">
        <v>3113</v>
      </c>
      <c r="B1631" s="70">
        <v>46192</v>
      </c>
      <c r="C1631" s="67" t="s">
        <v>1444</v>
      </c>
      <c r="D1631" s="67" t="s">
        <v>1459</v>
      </c>
      <c r="E1631" s="67" t="s">
        <v>1362</v>
      </c>
      <c r="F1631" s="67" t="s">
        <v>1462</v>
      </c>
      <c r="G1631" s="69">
        <v>378</v>
      </c>
    </row>
    <row r="1632" spans="1:7">
      <c r="A1632" s="67" t="s">
        <v>3114</v>
      </c>
      <c r="B1632" s="70">
        <v>46192</v>
      </c>
      <c r="C1632" s="67" t="s">
        <v>1444</v>
      </c>
      <c r="D1632" s="67" t="s">
        <v>358</v>
      </c>
      <c r="E1632" s="67" t="s">
        <v>1368</v>
      </c>
      <c r="F1632" s="67" t="s">
        <v>1462</v>
      </c>
      <c r="G1632" s="69">
        <v>542</v>
      </c>
    </row>
    <row r="1633" spans="1:7">
      <c r="A1633" s="67" t="s">
        <v>3115</v>
      </c>
      <c r="B1633" s="70">
        <v>46192</v>
      </c>
      <c r="C1633" s="67" t="s">
        <v>1444</v>
      </c>
      <c r="D1633" s="67" t="s">
        <v>358</v>
      </c>
      <c r="E1633" s="67" t="s">
        <v>1368</v>
      </c>
      <c r="F1633" s="67" t="s">
        <v>1462</v>
      </c>
      <c r="G1633" s="69">
        <v>82</v>
      </c>
    </row>
    <row r="1634" spans="1:7">
      <c r="A1634" s="67" t="s">
        <v>3116</v>
      </c>
      <c r="B1634" s="70">
        <v>46193</v>
      </c>
      <c r="C1634" s="67" t="s">
        <v>1359</v>
      </c>
      <c r="D1634" s="67" t="s">
        <v>1551</v>
      </c>
      <c r="E1634" s="67" t="s">
        <v>1362</v>
      </c>
      <c r="F1634" s="67" t="s">
        <v>1460</v>
      </c>
      <c r="G1634" s="69">
        <v>17</v>
      </c>
    </row>
    <row r="1635" spans="1:7">
      <c r="A1635" s="67" t="s">
        <v>3117</v>
      </c>
      <c r="B1635" s="70">
        <v>46193</v>
      </c>
      <c r="C1635" s="67" t="s">
        <v>1381</v>
      </c>
      <c r="D1635" s="67" t="s">
        <v>353</v>
      </c>
      <c r="E1635" s="67" t="s">
        <v>1368</v>
      </c>
      <c r="F1635" s="67" t="s">
        <v>1462</v>
      </c>
      <c r="G1635" s="69">
        <v>557</v>
      </c>
    </row>
    <row r="1636" spans="1:7">
      <c r="A1636" s="67" t="s">
        <v>3118</v>
      </c>
      <c r="B1636" s="70">
        <v>46193</v>
      </c>
      <c r="C1636" s="67" t="s">
        <v>1381</v>
      </c>
      <c r="D1636" s="67" t="s">
        <v>353</v>
      </c>
      <c r="E1636" s="67" t="s">
        <v>1368</v>
      </c>
      <c r="F1636" s="67" t="s">
        <v>1462</v>
      </c>
      <c r="G1636" s="69">
        <v>276</v>
      </c>
    </row>
    <row r="1637" spans="1:7">
      <c r="A1637" s="67" t="s">
        <v>3119</v>
      </c>
      <c r="B1637" s="70">
        <v>46193</v>
      </c>
      <c r="C1637" s="67" t="s">
        <v>1381</v>
      </c>
      <c r="D1637" s="67" t="s">
        <v>356</v>
      </c>
      <c r="E1637" s="67" t="s">
        <v>1368</v>
      </c>
      <c r="F1637" s="67" t="s">
        <v>1462</v>
      </c>
      <c r="G1637" s="69">
        <v>225</v>
      </c>
    </row>
    <row r="1638" spans="1:7">
      <c r="A1638" s="67" t="s">
        <v>3120</v>
      </c>
      <c r="B1638" s="70">
        <v>46193</v>
      </c>
      <c r="C1638" s="67" t="s">
        <v>1381</v>
      </c>
      <c r="D1638" s="67" t="s">
        <v>365</v>
      </c>
      <c r="E1638" s="67" t="s">
        <v>1368</v>
      </c>
      <c r="F1638" s="67" t="s">
        <v>1462</v>
      </c>
      <c r="G1638" s="69">
        <v>378</v>
      </c>
    </row>
    <row r="1639" spans="1:7">
      <c r="A1639" s="67" t="s">
        <v>3121</v>
      </c>
      <c r="B1639" s="70">
        <v>46193</v>
      </c>
      <c r="C1639" s="67" t="s">
        <v>1381</v>
      </c>
      <c r="D1639" s="67" t="s">
        <v>358</v>
      </c>
      <c r="E1639" s="67" t="s">
        <v>1368</v>
      </c>
      <c r="F1639" s="67" t="s">
        <v>1462</v>
      </c>
      <c r="G1639" s="69">
        <v>427</v>
      </c>
    </row>
    <row r="1640" spans="1:7">
      <c r="A1640" s="67" t="s">
        <v>3122</v>
      </c>
      <c r="B1640" s="70">
        <v>46193</v>
      </c>
      <c r="C1640" s="67" t="s">
        <v>1389</v>
      </c>
      <c r="D1640" s="67" t="s">
        <v>367</v>
      </c>
      <c r="E1640" s="67" t="s">
        <v>1368</v>
      </c>
      <c r="F1640" s="67" t="s">
        <v>1462</v>
      </c>
      <c r="G1640" s="69">
        <v>196</v>
      </c>
    </row>
    <row r="1641" spans="1:7">
      <c r="A1641" s="67" t="s">
        <v>3123</v>
      </c>
      <c r="B1641" s="70">
        <v>46193</v>
      </c>
      <c r="C1641" s="67" t="s">
        <v>1404</v>
      </c>
      <c r="D1641" s="67" t="s">
        <v>353</v>
      </c>
      <c r="E1641" s="67" t="s">
        <v>1368</v>
      </c>
      <c r="F1641" s="67" t="s">
        <v>1462</v>
      </c>
      <c r="G1641" s="69">
        <v>350</v>
      </c>
    </row>
    <row r="1642" spans="1:7">
      <c r="A1642" s="67" t="s">
        <v>3124</v>
      </c>
      <c r="B1642" s="70">
        <v>46193</v>
      </c>
      <c r="C1642" s="67" t="s">
        <v>1404</v>
      </c>
      <c r="D1642" s="67" t="s">
        <v>1551</v>
      </c>
      <c r="E1642" s="67" t="s">
        <v>1362</v>
      </c>
      <c r="F1642" s="67" t="s">
        <v>1462</v>
      </c>
      <c r="G1642" s="69">
        <v>342</v>
      </c>
    </row>
    <row r="1643" spans="1:7">
      <c r="A1643" s="67" t="s">
        <v>3125</v>
      </c>
      <c r="B1643" s="70">
        <v>46193</v>
      </c>
      <c r="C1643" s="67" t="s">
        <v>1406</v>
      </c>
      <c r="D1643" s="67" t="s">
        <v>1469</v>
      </c>
      <c r="E1643" s="67" t="s">
        <v>1470</v>
      </c>
      <c r="F1643" s="67" t="s">
        <v>1460</v>
      </c>
      <c r="G1643" s="69">
        <v>9</v>
      </c>
    </row>
    <row r="1644" spans="1:7">
      <c r="A1644" s="67" t="s">
        <v>3126</v>
      </c>
      <c r="B1644" s="70">
        <v>46193</v>
      </c>
      <c r="C1644" s="67" t="s">
        <v>1414</v>
      </c>
      <c r="D1644" s="67" t="s">
        <v>1469</v>
      </c>
      <c r="E1644" s="67" t="s">
        <v>1470</v>
      </c>
      <c r="F1644" s="67" t="s">
        <v>1462</v>
      </c>
      <c r="G1644" s="69">
        <v>51</v>
      </c>
    </row>
    <row r="1645" spans="1:7">
      <c r="A1645" s="67" t="s">
        <v>3127</v>
      </c>
      <c r="B1645" s="70">
        <v>46193</v>
      </c>
      <c r="C1645" s="67" t="s">
        <v>1414</v>
      </c>
      <c r="D1645" s="67" t="s">
        <v>1469</v>
      </c>
      <c r="E1645" s="67" t="s">
        <v>1470</v>
      </c>
      <c r="F1645" s="67" t="s">
        <v>1462</v>
      </c>
      <c r="G1645" s="69">
        <v>509</v>
      </c>
    </row>
    <row r="1646" spans="1:7">
      <c r="A1646" s="67" t="s">
        <v>3128</v>
      </c>
      <c r="B1646" s="70">
        <v>46193</v>
      </c>
      <c r="C1646" s="67" t="s">
        <v>1419</v>
      </c>
      <c r="D1646" s="67" t="s">
        <v>1459</v>
      </c>
      <c r="E1646" s="67" t="s">
        <v>1362</v>
      </c>
      <c r="F1646" s="67" t="s">
        <v>1462</v>
      </c>
      <c r="G1646" s="69">
        <v>598</v>
      </c>
    </row>
    <row r="1647" spans="1:7">
      <c r="A1647" s="67" t="s">
        <v>3129</v>
      </c>
      <c r="B1647" s="70">
        <v>46193</v>
      </c>
      <c r="C1647" s="67" t="s">
        <v>1425</v>
      </c>
      <c r="D1647" s="67" t="s">
        <v>1491</v>
      </c>
      <c r="E1647" s="67" t="s">
        <v>1470</v>
      </c>
      <c r="F1647" s="67" t="s">
        <v>1462</v>
      </c>
      <c r="G1647" s="69">
        <v>556</v>
      </c>
    </row>
    <row r="1648" spans="1:7">
      <c r="A1648" s="67" t="s">
        <v>3130</v>
      </c>
      <c r="B1648" s="70">
        <v>46193</v>
      </c>
      <c r="C1648" s="67" t="s">
        <v>1431</v>
      </c>
      <c r="D1648" s="67" t="s">
        <v>1520</v>
      </c>
      <c r="E1648" s="67" t="s">
        <v>1433</v>
      </c>
      <c r="F1648" s="67" t="s">
        <v>1460</v>
      </c>
      <c r="G1648" s="69">
        <v>12</v>
      </c>
    </row>
    <row r="1649" spans="1:7">
      <c r="A1649" s="67" t="s">
        <v>3131</v>
      </c>
      <c r="B1649" s="70">
        <v>46193</v>
      </c>
      <c r="C1649" s="67" t="s">
        <v>1444</v>
      </c>
      <c r="D1649" s="67" t="s">
        <v>1551</v>
      </c>
      <c r="E1649" s="67" t="s">
        <v>1362</v>
      </c>
      <c r="F1649" s="67" t="s">
        <v>1462</v>
      </c>
      <c r="G1649" s="69">
        <v>518</v>
      </c>
    </row>
    <row r="1650" spans="1:7">
      <c r="A1650" s="67" t="s">
        <v>3132</v>
      </c>
      <c r="B1650" s="70">
        <v>46194</v>
      </c>
      <c r="C1650" s="67" t="s">
        <v>1359</v>
      </c>
      <c r="D1650" s="67" t="s">
        <v>367</v>
      </c>
      <c r="E1650" s="67" t="s">
        <v>1368</v>
      </c>
      <c r="F1650" s="67" t="s">
        <v>1488</v>
      </c>
      <c r="G1650" s="69">
        <v>7</v>
      </c>
    </row>
    <row r="1651" spans="1:7">
      <c r="A1651" s="67" t="s">
        <v>3133</v>
      </c>
      <c r="B1651" s="70">
        <v>46194</v>
      </c>
      <c r="C1651" s="67" t="s">
        <v>1359</v>
      </c>
      <c r="D1651" s="67" t="s">
        <v>1551</v>
      </c>
      <c r="E1651" s="67" t="s">
        <v>1362</v>
      </c>
      <c r="F1651" s="67" t="s">
        <v>1462</v>
      </c>
      <c r="G1651" s="69">
        <v>60</v>
      </c>
    </row>
    <row r="1652" spans="1:7">
      <c r="A1652" s="67" t="s">
        <v>3134</v>
      </c>
      <c r="B1652" s="70">
        <v>46194</v>
      </c>
      <c r="C1652" s="67" t="s">
        <v>1359</v>
      </c>
      <c r="D1652" s="67" t="s">
        <v>1551</v>
      </c>
      <c r="E1652" s="67" t="s">
        <v>1362</v>
      </c>
      <c r="F1652" s="67" t="s">
        <v>1462</v>
      </c>
      <c r="G1652" s="69">
        <v>173</v>
      </c>
    </row>
    <row r="1653" spans="1:7">
      <c r="A1653" s="67" t="s">
        <v>3135</v>
      </c>
      <c r="B1653" s="70">
        <v>46194</v>
      </c>
      <c r="C1653" s="67" t="s">
        <v>1366</v>
      </c>
      <c r="D1653" s="67" t="s">
        <v>353</v>
      </c>
      <c r="E1653" s="67" t="s">
        <v>1368</v>
      </c>
      <c r="F1653" s="67" t="s">
        <v>1462</v>
      </c>
      <c r="G1653" s="69">
        <v>594</v>
      </c>
    </row>
    <row r="1654" spans="1:7">
      <c r="A1654" s="67" t="s">
        <v>3136</v>
      </c>
      <c r="B1654" s="70">
        <v>46194</v>
      </c>
      <c r="C1654" s="67" t="s">
        <v>1366</v>
      </c>
      <c r="D1654" s="67" t="s">
        <v>356</v>
      </c>
      <c r="E1654" s="67" t="s">
        <v>1368</v>
      </c>
      <c r="F1654" s="67" t="s">
        <v>1460</v>
      </c>
      <c r="G1654" s="69">
        <v>23</v>
      </c>
    </row>
    <row r="1655" spans="1:7">
      <c r="A1655" s="67" t="s">
        <v>3137</v>
      </c>
      <c r="B1655" s="70">
        <v>46194</v>
      </c>
      <c r="C1655" s="67" t="s">
        <v>1366</v>
      </c>
      <c r="D1655" s="67" t="s">
        <v>367</v>
      </c>
      <c r="E1655" s="67" t="s">
        <v>1368</v>
      </c>
      <c r="F1655" s="67" t="s">
        <v>1460</v>
      </c>
      <c r="G1655" s="69">
        <v>23</v>
      </c>
    </row>
    <row r="1656" spans="1:7">
      <c r="A1656" s="67" t="s">
        <v>3138</v>
      </c>
      <c r="B1656" s="70">
        <v>46194</v>
      </c>
      <c r="C1656" s="67" t="s">
        <v>1366</v>
      </c>
      <c r="D1656" s="67" t="s">
        <v>369</v>
      </c>
      <c r="E1656" s="67" t="s">
        <v>1368</v>
      </c>
      <c r="F1656" s="67" t="s">
        <v>1460</v>
      </c>
      <c r="G1656" s="69">
        <v>28</v>
      </c>
    </row>
    <row r="1657" spans="1:7">
      <c r="A1657" s="67" t="s">
        <v>3139</v>
      </c>
      <c r="B1657" s="70">
        <v>46194</v>
      </c>
      <c r="C1657" s="67" t="s">
        <v>1366</v>
      </c>
      <c r="D1657" s="67" t="s">
        <v>358</v>
      </c>
      <c r="E1657" s="67" t="s">
        <v>1368</v>
      </c>
      <c r="F1657" s="67" t="s">
        <v>1462</v>
      </c>
      <c r="G1657" s="69">
        <v>586</v>
      </c>
    </row>
    <row r="1658" spans="1:7">
      <c r="A1658" s="67" t="s">
        <v>3140</v>
      </c>
      <c r="B1658" s="70">
        <v>46194</v>
      </c>
      <c r="C1658" s="67" t="s">
        <v>1371</v>
      </c>
      <c r="D1658" s="67" t="s">
        <v>353</v>
      </c>
      <c r="E1658" s="67" t="s">
        <v>1368</v>
      </c>
      <c r="F1658" s="67" t="s">
        <v>1462</v>
      </c>
      <c r="G1658" s="69">
        <v>593</v>
      </c>
    </row>
    <row r="1659" spans="1:7">
      <c r="A1659" s="67" t="s">
        <v>3141</v>
      </c>
      <c r="B1659" s="70">
        <v>46194</v>
      </c>
      <c r="C1659" s="67" t="s">
        <v>1381</v>
      </c>
      <c r="D1659" s="67" t="s">
        <v>367</v>
      </c>
      <c r="E1659" s="67" t="s">
        <v>1368</v>
      </c>
      <c r="F1659" s="67" t="s">
        <v>1462</v>
      </c>
      <c r="G1659" s="69">
        <v>485</v>
      </c>
    </row>
    <row r="1660" spans="1:7">
      <c r="A1660" s="67" t="s">
        <v>3142</v>
      </c>
      <c r="B1660" s="70">
        <v>46194</v>
      </c>
      <c r="C1660" s="67" t="s">
        <v>1384</v>
      </c>
      <c r="D1660" s="67" t="s">
        <v>1466</v>
      </c>
      <c r="E1660" s="67" t="s">
        <v>1386</v>
      </c>
      <c r="F1660" s="67" t="s">
        <v>1460</v>
      </c>
      <c r="G1660" s="69">
        <v>30</v>
      </c>
    </row>
    <row r="1661" spans="1:7">
      <c r="A1661" s="67" t="s">
        <v>3143</v>
      </c>
      <c r="B1661" s="70">
        <v>46194</v>
      </c>
      <c r="C1661" s="67" t="s">
        <v>1384</v>
      </c>
      <c r="D1661" s="67" t="s">
        <v>1551</v>
      </c>
      <c r="E1661" s="67" t="s">
        <v>1362</v>
      </c>
      <c r="F1661" s="67" t="s">
        <v>1462</v>
      </c>
      <c r="G1661" s="69">
        <v>589</v>
      </c>
    </row>
    <row r="1662" spans="1:7">
      <c r="A1662" s="67" t="s">
        <v>3144</v>
      </c>
      <c r="B1662" s="70">
        <v>46194</v>
      </c>
      <c r="C1662" s="67" t="s">
        <v>1391</v>
      </c>
      <c r="D1662" s="67" t="s">
        <v>1582</v>
      </c>
      <c r="E1662" s="67" t="s">
        <v>5</v>
      </c>
      <c r="F1662" s="67" t="s">
        <v>1462</v>
      </c>
      <c r="G1662" s="69">
        <v>91</v>
      </c>
    </row>
    <row r="1663" spans="1:7">
      <c r="A1663" s="67" t="s">
        <v>3145</v>
      </c>
      <c r="B1663" s="70">
        <v>46194</v>
      </c>
      <c r="C1663" s="67" t="s">
        <v>1404</v>
      </c>
      <c r="D1663" s="67" t="s">
        <v>1469</v>
      </c>
      <c r="E1663" s="67" t="s">
        <v>1470</v>
      </c>
      <c r="F1663" s="67" t="s">
        <v>1462</v>
      </c>
      <c r="G1663" s="69">
        <v>326</v>
      </c>
    </row>
    <row r="1664" spans="1:7">
      <c r="A1664" s="67" t="s">
        <v>3146</v>
      </c>
      <c r="B1664" s="70">
        <v>46194</v>
      </c>
      <c r="C1664" s="67" t="s">
        <v>1411</v>
      </c>
      <c r="D1664" s="67" t="s">
        <v>1506</v>
      </c>
      <c r="E1664" s="67" t="s">
        <v>1482</v>
      </c>
      <c r="F1664" s="67" t="s">
        <v>1462</v>
      </c>
      <c r="G1664" s="69">
        <v>28</v>
      </c>
    </row>
    <row r="1665" spans="1:7">
      <c r="A1665" s="67" t="s">
        <v>3147</v>
      </c>
      <c r="B1665" s="70">
        <v>46194</v>
      </c>
      <c r="C1665" s="67" t="s">
        <v>1411</v>
      </c>
      <c r="D1665" s="67" t="s">
        <v>1506</v>
      </c>
      <c r="E1665" s="67" t="s">
        <v>1482</v>
      </c>
      <c r="F1665" s="67" t="s">
        <v>1462</v>
      </c>
      <c r="G1665" s="69">
        <v>363</v>
      </c>
    </row>
    <row r="1666" spans="1:7">
      <c r="A1666" s="67" t="s">
        <v>3148</v>
      </c>
      <c r="B1666" s="70">
        <v>46194</v>
      </c>
      <c r="C1666" s="67" t="s">
        <v>1423</v>
      </c>
      <c r="D1666" s="67" t="s">
        <v>1515</v>
      </c>
      <c r="E1666" s="67" t="s">
        <v>1410</v>
      </c>
      <c r="F1666" s="67" t="s">
        <v>1462</v>
      </c>
      <c r="G1666" s="69">
        <v>116</v>
      </c>
    </row>
    <row r="1667" spans="1:7">
      <c r="A1667" s="67" t="s">
        <v>3149</v>
      </c>
      <c r="B1667" s="70">
        <v>46194</v>
      </c>
      <c r="C1667" s="67" t="s">
        <v>1446</v>
      </c>
      <c r="D1667" s="67" t="s">
        <v>1459</v>
      </c>
      <c r="E1667" s="67" t="s">
        <v>1362</v>
      </c>
      <c r="F1667" s="67" t="s">
        <v>1462</v>
      </c>
      <c r="G1667" s="69">
        <v>532</v>
      </c>
    </row>
    <row r="1668" spans="1:7">
      <c r="A1668" s="67" t="s">
        <v>3150</v>
      </c>
      <c r="B1668" s="70">
        <v>46195</v>
      </c>
      <c r="C1668" s="67" t="s">
        <v>1359</v>
      </c>
      <c r="D1668" s="67" t="s">
        <v>353</v>
      </c>
      <c r="E1668" s="67" t="s">
        <v>1368</v>
      </c>
      <c r="F1668" s="67" t="s">
        <v>1462</v>
      </c>
      <c r="G1668" s="69">
        <v>139</v>
      </c>
    </row>
    <row r="1669" spans="1:7">
      <c r="A1669" s="67" t="s">
        <v>3151</v>
      </c>
      <c r="B1669" s="70">
        <v>46195</v>
      </c>
      <c r="C1669" s="67" t="s">
        <v>1359</v>
      </c>
      <c r="D1669" s="67" t="s">
        <v>1476</v>
      </c>
      <c r="E1669" s="67" t="s">
        <v>1362</v>
      </c>
      <c r="F1669" s="67" t="s">
        <v>1460</v>
      </c>
      <c r="G1669" s="69">
        <v>10</v>
      </c>
    </row>
    <row r="1670" spans="1:7">
      <c r="A1670" s="67" t="s">
        <v>3152</v>
      </c>
      <c r="B1670" s="70">
        <v>46195</v>
      </c>
      <c r="C1670" s="67" t="s">
        <v>1359</v>
      </c>
      <c r="D1670" s="67" t="s">
        <v>1551</v>
      </c>
      <c r="E1670" s="67" t="s">
        <v>1362</v>
      </c>
      <c r="F1670" s="67" t="s">
        <v>1462</v>
      </c>
      <c r="G1670" s="69">
        <v>397</v>
      </c>
    </row>
    <row r="1671" spans="1:7">
      <c r="A1671" s="67" t="s">
        <v>3153</v>
      </c>
      <c r="B1671" s="70">
        <v>46195</v>
      </c>
      <c r="C1671" s="67" t="s">
        <v>1359</v>
      </c>
      <c r="D1671" s="67" t="s">
        <v>1551</v>
      </c>
      <c r="E1671" s="67" t="s">
        <v>1362</v>
      </c>
      <c r="F1671" s="67" t="s">
        <v>1460</v>
      </c>
      <c r="G1671" s="69">
        <v>11</v>
      </c>
    </row>
    <row r="1672" spans="1:7">
      <c r="A1672" s="67" t="s">
        <v>3154</v>
      </c>
      <c r="B1672" s="70">
        <v>46195</v>
      </c>
      <c r="C1672" s="67" t="s">
        <v>1366</v>
      </c>
      <c r="D1672" s="67" t="s">
        <v>356</v>
      </c>
      <c r="E1672" s="67" t="s">
        <v>1368</v>
      </c>
      <c r="F1672" s="67" t="s">
        <v>1462</v>
      </c>
      <c r="G1672" s="69">
        <v>29</v>
      </c>
    </row>
    <row r="1673" spans="1:7">
      <c r="A1673" s="67" t="s">
        <v>3155</v>
      </c>
      <c r="B1673" s="70">
        <v>46195</v>
      </c>
      <c r="C1673" s="67" t="s">
        <v>1371</v>
      </c>
      <c r="D1673" s="67" t="s">
        <v>1459</v>
      </c>
      <c r="E1673" s="67" t="s">
        <v>1362</v>
      </c>
      <c r="F1673" s="67" t="s">
        <v>1460</v>
      </c>
      <c r="G1673" s="69">
        <v>29</v>
      </c>
    </row>
    <row r="1674" spans="1:7">
      <c r="A1674" s="67" t="s">
        <v>3156</v>
      </c>
      <c r="B1674" s="70">
        <v>46195</v>
      </c>
      <c r="C1674" s="67" t="s">
        <v>1389</v>
      </c>
      <c r="D1674" s="67" t="s">
        <v>367</v>
      </c>
      <c r="E1674" s="67" t="s">
        <v>1368</v>
      </c>
      <c r="F1674" s="67" t="s">
        <v>1460</v>
      </c>
      <c r="G1674" s="69">
        <v>20</v>
      </c>
    </row>
    <row r="1675" spans="1:7">
      <c r="A1675" s="67" t="s">
        <v>3157</v>
      </c>
      <c r="B1675" s="70">
        <v>46195</v>
      </c>
      <c r="C1675" s="67" t="s">
        <v>1389</v>
      </c>
      <c r="D1675" s="67" t="s">
        <v>369</v>
      </c>
      <c r="E1675" s="67" t="s">
        <v>1368</v>
      </c>
      <c r="F1675" s="67" t="s">
        <v>1462</v>
      </c>
      <c r="G1675" s="69">
        <v>57</v>
      </c>
    </row>
    <row r="1676" spans="1:7">
      <c r="A1676" s="67" t="s">
        <v>3158</v>
      </c>
      <c r="B1676" s="70">
        <v>46195</v>
      </c>
      <c r="C1676" s="67" t="s">
        <v>1393</v>
      </c>
      <c r="D1676" s="67" t="s">
        <v>353</v>
      </c>
      <c r="E1676" s="67" t="s">
        <v>1368</v>
      </c>
      <c r="F1676" s="67" t="s">
        <v>1462</v>
      </c>
      <c r="G1676" s="69">
        <v>119</v>
      </c>
    </row>
    <row r="1677" spans="1:7">
      <c r="A1677" s="67" t="s">
        <v>3159</v>
      </c>
      <c r="B1677" s="70">
        <v>46195</v>
      </c>
      <c r="C1677" s="67" t="s">
        <v>1393</v>
      </c>
      <c r="D1677" s="67" t="s">
        <v>356</v>
      </c>
      <c r="E1677" s="67" t="s">
        <v>1368</v>
      </c>
      <c r="F1677" s="67" t="s">
        <v>1462</v>
      </c>
      <c r="G1677" s="69">
        <v>296</v>
      </c>
    </row>
    <row r="1678" spans="1:7">
      <c r="A1678" s="67" t="s">
        <v>3160</v>
      </c>
      <c r="B1678" s="70">
        <v>46195</v>
      </c>
      <c r="C1678" s="67" t="s">
        <v>1399</v>
      </c>
      <c r="D1678" s="67" t="s">
        <v>1459</v>
      </c>
      <c r="E1678" s="67" t="s">
        <v>1362</v>
      </c>
      <c r="F1678" s="67" t="s">
        <v>1462</v>
      </c>
      <c r="G1678" s="69">
        <v>203</v>
      </c>
    </row>
    <row r="1679" spans="1:7">
      <c r="A1679" s="67" t="s">
        <v>3161</v>
      </c>
      <c r="B1679" s="70">
        <v>46195</v>
      </c>
      <c r="C1679" s="67" t="s">
        <v>1411</v>
      </c>
      <c r="D1679" s="67" t="s">
        <v>353</v>
      </c>
      <c r="E1679" s="67" t="s">
        <v>1368</v>
      </c>
      <c r="F1679" s="67" t="s">
        <v>1460</v>
      </c>
      <c r="G1679" s="69">
        <v>19</v>
      </c>
    </row>
    <row r="1680" spans="1:7">
      <c r="A1680" s="67" t="s">
        <v>3162</v>
      </c>
      <c r="B1680" s="70">
        <v>46195</v>
      </c>
      <c r="C1680" s="67" t="s">
        <v>1411</v>
      </c>
      <c r="D1680" s="67" t="s">
        <v>1506</v>
      </c>
      <c r="E1680" s="67" t="s">
        <v>1482</v>
      </c>
      <c r="F1680" s="67" t="s">
        <v>1460</v>
      </c>
      <c r="G1680" s="69">
        <v>13</v>
      </c>
    </row>
    <row r="1681" spans="1:7">
      <c r="A1681" s="67" t="s">
        <v>3163</v>
      </c>
      <c r="B1681" s="70">
        <v>46195</v>
      </c>
      <c r="C1681" s="67" t="s">
        <v>1414</v>
      </c>
      <c r="D1681" s="67" t="s">
        <v>1511</v>
      </c>
      <c r="E1681" s="67" t="s">
        <v>1470</v>
      </c>
      <c r="F1681" s="67" t="s">
        <v>1460</v>
      </c>
      <c r="G1681" s="69">
        <v>20</v>
      </c>
    </row>
    <row r="1682" spans="1:7">
      <c r="A1682" s="67" t="s">
        <v>3164</v>
      </c>
      <c r="B1682" s="70">
        <v>46195</v>
      </c>
      <c r="C1682" s="67" t="s">
        <v>1414</v>
      </c>
      <c r="D1682" s="67" t="s">
        <v>1484</v>
      </c>
      <c r="E1682" s="67" t="s">
        <v>1470</v>
      </c>
      <c r="F1682" s="67" t="s">
        <v>1460</v>
      </c>
      <c r="G1682" s="69">
        <v>17</v>
      </c>
    </row>
    <row r="1683" spans="1:7">
      <c r="A1683" s="67" t="s">
        <v>3165</v>
      </c>
      <c r="B1683" s="70">
        <v>46195</v>
      </c>
      <c r="C1683" s="67" t="s">
        <v>1423</v>
      </c>
      <c r="D1683" s="67" t="s">
        <v>1743</v>
      </c>
      <c r="E1683" s="67" t="s">
        <v>1410</v>
      </c>
      <c r="F1683" s="67" t="s">
        <v>1462</v>
      </c>
      <c r="G1683" s="69">
        <v>468</v>
      </c>
    </row>
    <row r="1684" spans="1:7">
      <c r="A1684" s="67" t="s">
        <v>3166</v>
      </c>
      <c r="B1684" s="70">
        <v>46195</v>
      </c>
      <c r="C1684" s="67" t="s">
        <v>1429</v>
      </c>
      <c r="D1684" s="67" t="s">
        <v>353</v>
      </c>
      <c r="E1684" s="67" t="s">
        <v>1368</v>
      </c>
      <c r="F1684" s="67" t="s">
        <v>1460</v>
      </c>
      <c r="G1684" s="69">
        <v>6</v>
      </c>
    </row>
    <row r="1685" spans="1:7">
      <c r="A1685" s="67" t="s">
        <v>3167</v>
      </c>
      <c r="B1685" s="70">
        <v>46195</v>
      </c>
      <c r="C1685" s="67" t="s">
        <v>1429</v>
      </c>
      <c r="D1685" s="67" t="s">
        <v>1491</v>
      </c>
      <c r="E1685" s="67" t="s">
        <v>1470</v>
      </c>
      <c r="F1685" s="67" t="s">
        <v>1460</v>
      </c>
      <c r="G1685" s="69">
        <v>9</v>
      </c>
    </row>
    <row r="1686" spans="1:7">
      <c r="A1686" s="67" t="s">
        <v>3168</v>
      </c>
      <c r="B1686" s="70">
        <v>46195</v>
      </c>
      <c r="C1686" s="67" t="s">
        <v>1442</v>
      </c>
      <c r="D1686" s="67" t="s">
        <v>1551</v>
      </c>
      <c r="E1686" s="67" t="s">
        <v>1362</v>
      </c>
      <c r="F1686" s="67" t="s">
        <v>1462</v>
      </c>
      <c r="G1686" s="69">
        <v>250</v>
      </c>
    </row>
    <row r="1687" spans="1:7">
      <c r="A1687" s="67" t="s">
        <v>3169</v>
      </c>
      <c r="B1687" s="70">
        <v>46195</v>
      </c>
      <c r="C1687" s="67" t="s">
        <v>1444</v>
      </c>
      <c r="D1687" s="67" t="s">
        <v>353</v>
      </c>
      <c r="E1687" s="67" t="s">
        <v>1368</v>
      </c>
      <c r="F1687" s="67" t="s">
        <v>1460</v>
      </c>
      <c r="G1687" s="69">
        <v>25</v>
      </c>
    </row>
    <row r="1688" spans="1:7">
      <c r="A1688" s="67" t="s">
        <v>3170</v>
      </c>
      <c r="B1688" s="70">
        <v>46195</v>
      </c>
      <c r="C1688" s="67" t="s">
        <v>1446</v>
      </c>
      <c r="D1688" s="67" t="s">
        <v>356</v>
      </c>
      <c r="E1688" s="67" t="s">
        <v>1368</v>
      </c>
      <c r="F1688" s="67" t="s">
        <v>1462</v>
      </c>
      <c r="G1688" s="69">
        <v>107</v>
      </c>
    </row>
    <row r="1689" spans="1:7">
      <c r="A1689" s="67" t="s">
        <v>3171</v>
      </c>
      <c r="B1689" s="70">
        <v>46196</v>
      </c>
      <c r="C1689" s="67" t="s">
        <v>1359</v>
      </c>
      <c r="D1689" s="67" t="s">
        <v>1476</v>
      </c>
      <c r="E1689" s="67" t="s">
        <v>1362</v>
      </c>
      <c r="F1689" s="67" t="s">
        <v>1462</v>
      </c>
      <c r="G1689" s="69">
        <v>158</v>
      </c>
    </row>
    <row r="1690" spans="1:7">
      <c r="A1690" s="67" t="s">
        <v>3172</v>
      </c>
      <c r="B1690" s="70">
        <v>46196</v>
      </c>
      <c r="C1690" s="67" t="s">
        <v>1359</v>
      </c>
      <c r="D1690" s="67" t="s">
        <v>369</v>
      </c>
      <c r="E1690" s="67" t="s">
        <v>1368</v>
      </c>
      <c r="F1690" s="67" t="s">
        <v>1462</v>
      </c>
      <c r="G1690" s="69">
        <v>296</v>
      </c>
    </row>
    <row r="1691" spans="1:7">
      <c r="A1691" s="67" t="s">
        <v>3173</v>
      </c>
      <c r="B1691" s="70">
        <v>46196</v>
      </c>
      <c r="C1691" s="67" t="s">
        <v>1359</v>
      </c>
      <c r="D1691" s="67" t="s">
        <v>1466</v>
      </c>
      <c r="E1691" s="67" t="s">
        <v>1386</v>
      </c>
      <c r="F1691" s="67" t="s">
        <v>1460</v>
      </c>
      <c r="G1691" s="69">
        <v>11</v>
      </c>
    </row>
    <row r="1692" spans="1:7">
      <c r="A1692" s="67" t="s">
        <v>3174</v>
      </c>
      <c r="B1692" s="70">
        <v>46196</v>
      </c>
      <c r="C1692" s="67" t="s">
        <v>1359</v>
      </c>
      <c r="D1692" s="67" t="s">
        <v>1466</v>
      </c>
      <c r="E1692" s="67" t="s">
        <v>1386</v>
      </c>
      <c r="F1692" s="67" t="s">
        <v>1462</v>
      </c>
      <c r="G1692" s="69">
        <v>338</v>
      </c>
    </row>
    <row r="1693" spans="1:7">
      <c r="A1693" s="67" t="s">
        <v>3175</v>
      </c>
      <c r="B1693" s="70">
        <v>46196</v>
      </c>
      <c r="C1693" s="67" t="s">
        <v>1359</v>
      </c>
      <c r="D1693" s="67" t="s">
        <v>1551</v>
      </c>
      <c r="E1693" s="67" t="s">
        <v>1362</v>
      </c>
      <c r="F1693" s="67" t="s">
        <v>1462</v>
      </c>
      <c r="G1693" s="69">
        <v>368</v>
      </c>
    </row>
    <row r="1694" spans="1:7">
      <c r="A1694" s="67" t="s">
        <v>3176</v>
      </c>
      <c r="B1694" s="70">
        <v>46196</v>
      </c>
      <c r="C1694" s="67" t="s">
        <v>1366</v>
      </c>
      <c r="D1694" s="67" t="s">
        <v>353</v>
      </c>
      <c r="E1694" s="67" t="s">
        <v>1368</v>
      </c>
      <c r="F1694" s="67" t="s">
        <v>1460</v>
      </c>
      <c r="G1694" s="69">
        <v>22</v>
      </c>
    </row>
    <row r="1695" spans="1:7">
      <c r="A1695" s="67" t="s">
        <v>3177</v>
      </c>
      <c r="B1695" s="70">
        <v>46196</v>
      </c>
      <c r="C1695" s="67" t="s">
        <v>1371</v>
      </c>
      <c r="D1695" s="67" t="s">
        <v>1551</v>
      </c>
      <c r="E1695" s="67" t="s">
        <v>1362</v>
      </c>
      <c r="F1695" s="67" t="s">
        <v>1462</v>
      </c>
      <c r="G1695" s="69">
        <v>361</v>
      </c>
    </row>
    <row r="1696" spans="1:7">
      <c r="A1696" s="67" t="s">
        <v>3178</v>
      </c>
      <c r="B1696" s="70">
        <v>46196</v>
      </c>
      <c r="C1696" s="67" t="s">
        <v>1375</v>
      </c>
      <c r="D1696" s="67" t="s">
        <v>358</v>
      </c>
      <c r="E1696" s="67" t="s">
        <v>1368</v>
      </c>
      <c r="F1696" s="67" t="s">
        <v>1462</v>
      </c>
      <c r="G1696" s="69">
        <v>182</v>
      </c>
    </row>
    <row r="1697" spans="1:7">
      <c r="A1697" s="67" t="s">
        <v>3179</v>
      </c>
      <c r="B1697" s="70">
        <v>46196</v>
      </c>
      <c r="C1697" s="67" t="s">
        <v>1381</v>
      </c>
      <c r="D1697" s="67" t="s">
        <v>353</v>
      </c>
      <c r="E1697" s="67" t="s">
        <v>1368</v>
      </c>
      <c r="F1697" s="67" t="s">
        <v>1462</v>
      </c>
      <c r="G1697" s="69">
        <v>511</v>
      </c>
    </row>
    <row r="1698" spans="1:7">
      <c r="A1698" s="67" t="s">
        <v>3180</v>
      </c>
      <c r="B1698" s="70">
        <v>46196</v>
      </c>
      <c r="C1698" s="67" t="s">
        <v>1381</v>
      </c>
      <c r="D1698" s="67" t="s">
        <v>1484</v>
      </c>
      <c r="E1698" s="67" t="s">
        <v>1470</v>
      </c>
      <c r="F1698" s="67" t="s">
        <v>1462</v>
      </c>
      <c r="G1698" s="69">
        <v>394</v>
      </c>
    </row>
    <row r="1699" spans="1:7">
      <c r="A1699" s="67" t="s">
        <v>3181</v>
      </c>
      <c r="B1699" s="70">
        <v>46196</v>
      </c>
      <c r="C1699" s="67" t="s">
        <v>1381</v>
      </c>
      <c r="D1699" s="67" t="s">
        <v>367</v>
      </c>
      <c r="E1699" s="67" t="s">
        <v>1368</v>
      </c>
      <c r="F1699" s="67" t="s">
        <v>1462</v>
      </c>
      <c r="G1699" s="69">
        <v>475</v>
      </c>
    </row>
    <row r="1700" spans="1:7">
      <c r="A1700" s="67" t="s">
        <v>3182</v>
      </c>
      <c r="B1700" s="70">
        <v>46196</v>
      </c>
      <c r="C1700" s="67" t="s">
        <v>1381</v>
      </c>
      <c r="D1700" s="67" t="s">
        <v>367</v>
      </c>
      <c r="E1700" s="67" t="s">
        <v>1368</v>
      </c>
      <c r="F1700" s="67" t="s">
        <v>1462</v>
      </c>
      <c r="G1700" s="69">
        <v>272</v>
      </c>
    </row>
    <row r="1701" spans="1:7">
      <c r="A1701" s="67" t="s">
        <v>3183</v>
      </c>
      <c r="B1701" s="70">
        <v>46196</v>
      </c>
      <c r="C1701" s="67" t="s">
        <v>1384</v>
      </c>
      <c r="D1701" s="67" t="s">
        <v>1466</v>
      </c>
      <c r="E1701" s="67" t="s">
        <v>1386</v>
      </c>
      <c r="F1701" s="67" t="s">
        <v>1460</v>
      </c>
      <c r="G1701" s="69">
        <v>16</v>
      </c>
    </row>
    <row r="1702" spans="1:7">
      <c r="A1702" s="67" t="s">
        <v>3184</v>
      </c>
      <c r="B1702" s="70">
        <v>46196</v>
      </c>
      <c r="C1702" s="67" t="s">
        <v>1404</v>
      </c>
      <c r="D1702" s="67" t="s">
        <v>1511</v>
      </c>
      <c r="E1702" s="67" t="s">
        <v>1470</v>
      </c>
      <c r="F1702" s="67" t="s">
        <v>1462</v>
      </c>
      <c r="G1702" s="69">
        <v>463</v>
      </c>
    </row>
    <row r="1703" spans="1:7">
      <c r="A1703" s="67" t="s">
        <v>3185</v>
      </c>
      <c r="B1703" s="70">
        <v>46196</v>
      </c>
      <c r="C1703" s="67" t="s">
        <v>1404</v>
      </c>
      <c r="D1703" s="67" t="s">
        <v>363</v>
      </c>
      <c r="E1703" s="67" t="s">
        <v>1368</v>
      </c>
      <c r="F1703" s="67" t="s">
        <v>1462</v>
      </c>
      <c r="G1703" s="69">
        <v>324</v>
      </c>
    </row>
    <row r="1704" spans="1:7">
      <c r="A1704" s="67" t="s">
        <v>3186</v>
      </c>
      <c r="B1704" s="70">
        <v>46196</v>
      </c>
      <c r="C1704" s="67" t="s">
        <v>1406</v>
      </c>
      <c r="D1704" s="67" t="s">
        <v>367</v>
      </c>
      <c r="E1704" s="67" t="s">
        <v>1368</v>
      </c>
      <c r="F1704" s="67" t="s">
        <v>1460</v>
      </c>
      <c r="G1704" s="69">
        <v>25</v>
      </c>
    </row>
    <row r="1705" spans="1:7">
      <c r="A1705" s="67" t="s">
        <v>3187</v>
      </c>
      <c r="B1705" s="70">
        <v>46196</v>
      </c>
      <c r="C1705" s="67" t="s">
        <v>1411</v>
      </c>
      <c r="D1705" s="67" t="s">
        <v>1506</v>
      </c>
      <c r="E1705" s="67" t="s">
        <v>1482</v>
      </c>
      <c r="F1705" s="67" t="s">
        <v>1462</v>
      </c>
      <c r="G1705" s="69">
        <v>78</v>
      </c>
    </row>
    <row r="1706" spans="1:7">
      <c r="A1706" s="67" t="s">
        <v>3188</v>
      </c>
      <c r="B1706" s="70">
        <v>46196</v>
      </c>
      <c r="C1706" s="67" t="s">
        <v>1411</v>
      </c>
      <c r="D1706" s="67" t="s">
        <v>1506</v>
      </c>
      <c r="E1706" s="67" t="s">
        <v>1482</v>
      </c>
      <c r="F1706" s="67" t="s">
        <v>1460</v>
      </c>
      <c r="G1706" s="69">
        <v>16</v>
      </c>
    </row>
    <row r="1707" spans="1:7">
      <c r="A1707" s="67" t="s">
        <v>3189</v>
      </c>
      <c r="B1707" s="70">
        <v>46196</v>
      </c>
      <c r="C1707" s="67" t="s">
        <v>1414</v>
      </c>
      <c r="D1707" s="67" t="s">
        <v>1511</v>
      </c>
      <c r="E1707" s="67" t="s">
        <v>1470</v>
      </c>
      <c r="F1707" s="67" t="s">
        <v>1462</v>
      </c>
      <c r="G1707" s="69">
        <v>566</v>
      </c>
    </row>
    <row r="1708" spans="1:7">
      <c r="A1708" s="67" t="s">
        <v>3190</v>
      </c>
      <c r="B1708" s="70">
        <v>46196</v>
      </c>
      <c r="C1708" s="67" t="s">
        <v>1414</v>
      </c>
      <c r="D1708" s="67" t="s">
        <v>1607</v>
      </c>
      <c r="E1708" s="67" t="s">
        <v>1470</v>
      </c>
      <c r="F1708" s="67" t="s">
        <v>1488</v>
      </c>
      <c r="G1708" s="69">
        <v>5</v>
      </c>
    </row>
    <row r="1709" spans="1:7">
      <c r="A1709" s="67" t="s">
        <v>3191</v>
      </c>
      <c r="B1709" s="70">
        <v>46196</v>
      </c>
      <c r="C1709" s="67" t="s">
        <v>1414</v>
      </c>
      <c r="D1709" s="67" t="s">
        <v>1491</v>
      </c>
      <c r="E1709" s="67" t="s">
        <v>1470</v>
      </c>
      <c r="F1709" s="67" t="s">
        <v>1462</v>
      </c>
      <c r="G1709" s="69">
        <v>556</v>
      </c>
    </row>
    <row r="1710" spans="1:7">
      <c r="A1710" s="67" t="s">
        <v>3192</v>
      </c>
      <c r="B1710" s="70">
        <v>46196</v>
      </c>
      <c r="C1710" s="67" t="s">
        <v>1423</v>
      </c>
      <c r="D1710" s="67" t="s">
        <v>1515</v>
      </c>
      <c r="E1710" s="67" t="s">
        <v>1410</v>
      </c>
      <c r="F1710" s="67" t="s">
        <v>1462</v>
      </c>
      <c r="G1710" s="69">
        <v>22</v>
      </c>
    </row>
    <row r="1711" spans="1:7">
      <c r="A1711" s="67" t="s">
        <v>3193</v>
      </c>
      <c r="B1711" s="70">
        <v>46196</v>
      </c>
      <c r="C1711" s="67" t="s">
        <v>1425</v>
      </c>
      <c r="D1711" s="67" t="s">
        <v>1484</v>
      </c>
      <c r="E1711" s="67" t="s">
        <v>1470</v>
      </c>
      <c r="F1711" s="67" t="s">
        <v>1462</v>
      </c>
      <c r="G1711" s="69">
        <v>88</v>
      </c>
    </row>
    <row r="1712" spans="1:7">
      <c r="A1712" s="67" t="s">
        <v>3194</v>
      </c>
      <c r="B1712" s="70">
        <v>46196</v>
      </c>
      <c r="C1712" s="67" t="s">
        <v>1425</v>
      </c>
      <c r="D1712" s="67" t="s">
        <v>1476</v>
      </c>
      <c r="E1712" s="67" t="s">
        <v>1362</v>
      </c>
      <c r="F1712" s="67" t="s">
        <v>1462</v>
      </c>
      <c r="G1712" s="69">
        <v>34</v>
      </c>
    </row>
    <row r="1713" spans="1:7">
      <c r="A1713" s="67" t="s">
        <v>3195</v>
      </c>
      <c r="B1713" s="70">
        <v>46196</v>
      </c>
      <c r="C1713" s="67" t="s">
        <v>1425</v>
      </c>
      <c r="D1713" s="67" t="s">
        <v>1469</v>
      </c>
      <c r="E1713" s="67" t="s">
        <v>1470</v>
      </c>
      <c r="F1713" s="67" t="s">
        <v>1462</v>
      </c>
      <c r="G1713" s="69">
        <v>320</v>
      </c>
    </row>
    <row r="1714" spans="1:7">
      <c r="A1714" s="67" t="s">
        <v>3196</v>
      </c>
      <c r="B1714" s="70">
        <v>46196</v>
      </c>
      <c r="C1714" s="67" t="s">
        <v>1429</v>
      </c>
      <c r="D1714" s="67" t="s">
        <v>367</v>
      </c>
      <c r="E1714" s="67" t="s">
        <v>1368</v>
      </c>
      <c r="F1714" s="67" t="s">
        <v>1462</v>
      </c>
      <c r="G1714" s="69">
        <v>132</v>
      </c>
    </row>
    <row r="1715" spans="1:7">
      <c r="A1715" s="67" t="s">
        <v>3197</v>
      </c>
      <c r="B1715" s="70">
        <v>46196</v>
      </c>
      <c r="C1715" s="67" t="s">
        <v>1429</v>
      </c>
      <c r="D1715" s="67" t="s">
        <v>358</v>
      </c>
      <c r="E1715" s="67" t="s">
        <v>1368</v>
      </c>
      <c r="F1715" s="67" t="s">
        <v>1462</v>
      </c>
      <c r="G1715" s="69">
        <v>555</v>
      </c>
    </row>
    <row r="1716" spans="1:7">
      <c r="A1716" s="67" t="s">
        <v>3198</v>
      </c>
      <c r="B1716" s="70">
        <v>46196</v>
      </c>
      <c r="C1716" s="67" t="s">
        <v>1431</v>
      </c>
      <c r="D1716" s="67" t="s">
        <v>1520</v>
      </c>
      <c r="E1716" s="67" t="s">
        <v>1433</v>
      </c>
      <c r="F1716" s="67" t="s">
        <v>1462</v>
      </c>
      <c r="G1716" s="69">
        <v>174</v>
      </c>
    </row>
    <row r="1717" spans="1:7">
      <c r="A1717" s="67" t="s">
        <v>3199</v>
      </c>
      <c r="B1717" s="70">
        <v>46196</v>
      </c>
      <c r="C1717" s="67" t="s">
        <v>1444</v>
      </c>
      <c r="D1717" s="67" t="s">
        <v>1459</v>
      </c>
      <c r="E1717" s="67" t="s">
        <v>1362</v>
      </c>
      <c r="F1717" s="67" t="s">
        <v>1460</v>
      </c>
      <c r="G1717" s="69">
        <v>24</v>
      </c>
    </row>
    <row r="1718" spans="1:7">
      <c r="A1718" s="67" t="s">
        <v>3200</v>
      </c>
      <c r="B1718" s="70">
        <v>46196</v>
      </c>
      <c r="C1718" s="67" t="s">
        <v>1448</v>
      </c>
      <c r="D1718" s="67" t="s">
        <v>1520</v>
      </c>
      <c r="E1718" s="67" t="s">
        <v>1433</v>
      </c>
      <c r="F1718" s="67" t="s">
        <v>1462</v>
      </c>
      <c r="G1718" s="69">
        <v>213</v>
      </c>
    </row>
    <row r="1719" spans="1:7">
      <c r="A1719" s="67" t="s">
        <v>3201</v>
      </c>
      <c r="B1719" s="70">
        <v>46197</v>
      </c>
      <c r="C1719" s="67" t="s">
        <v>1359</v>
      </c>
      <c r="D1719" s="67" t="s">
        <v>367</v>
      </c>
      <c r="E1719" s="67" t="s">
        <v>1368</v>
      </c>
      <c r="F1719" s="67" t="s">
        <v>1488</v>
      </c>
      <c r="G1719" s="69">
        <v>8</v>
      </c>
    </row>
    <row r="1720" spans="1:7">
      <c r="A1720" s="67" t="s">
        <v>3202</v>
      </c>
      <c r="B1720" s="70">
        <v>46197</v>
      </c>
      <c r="C1720" s="67" t="s">
        <v>1366</v>
      </c>
      <c r="D1720" s="67" t="s">
        <v>353</v>
      </c>
      <c r="E1720" s="67" t="s">
        <v>1368</v>
      </c>
      <c r="F1720" s="67" t="s">
        <v>1462</v>
      </c>
      <c r="G1720" s="69">
        <v>507</v>
      </c>
    </row>
    <row r="1721" spans="1:7">
      <c r="A1721" s="67" t="s">
        <v>3203</v>
      </c>
      <c r="B1721" s="70">
        <v>46197</v>
      </c>
      <c r="C1721" s="67" t="s">
        <v>1366</v>
      </c>
      <c r="D1721" s="67" t="s">
        <v>367</v>
      </c>
      <c r="E1721" s="67" t="s">
        <v>1368</v>
      </c>
      <c r="F1721" s="67" t="s">
        <v>1462</v>
      </c>
      <c r="G1721" s="69">
        <v>541</v>
      </c>
    </row>
    <row r="1722" spans="1:7">
      <c r="A1722" s="67" t="s">
        <v>3204</v>
      </c>
      <c r="B1722" s="70">
        <v>46197</v>
      </c>
      <c r="C1722" s="67" t="s">
        <v>1375</v>
      </c>
      <c r="D1722" s="67" t="s">
        <v>367</v>
      </c>
      <c r="E1722" s="67" t="s">
        <v>1368</v>
      </c>
      <c r="F1722" s="67" t="s">
        <v>1462</v>
      </c>
      <c r="G1722" s="69">
        <v>498</v>
      </c>
    </row>
    <row r="1723" spans="1:7">
      <c r="A1723" s="67" t="s">
        <v>3205</v>
      </c>
      <c r="B1723" s="70">
        <v>46197</v>
      </c>
      <c r="C1723" s="67" t="s">
        <v>1378</v>
      </c>
      <c r="D1723" s="67" t="s">
        <v>358</v>
      </c>
      <c r="E1723" s="67" t="s">
        <v>1368</v>
      </c>
      <c r="F1723" s="67" t="s">
        <v>1462</v>
      </c>
      <c r="G1723" s="69">
        <v>456</v>
      </c>
    </row>
    <row r="1724" spans="1:7">
      <c r="A1724" s="67" t="s">
        <v>3206</v>
      </c>
      <c r="B1724" s="70">
        <v>46197</v>
      </c>
      <c r="C1724" s="67" t="s">
        <v>1381</v>
      </c>
      <c r="D1724" s="67" t="s">
        <v>365</v>
      </c>
      <c r="E1724" s="67" t="s">
        <v>1368</v>
      </c>
      <c r="F1724" s="67" t="s">
        <v>1460</v>
      </c>
      <c r="G1724" s="69">
        <v>23</v>
      </c>
    </row>
    <row r="1725" spans="1:7">
      <c r="A1725" s="67" t="s">
        <v>3207</v>
      </c>
      <c r="B1725" s="70">
        <v>46197</v>
      </c>
      <c r="C1725" s="67" t="s">
        <v>1381</v>
      </c>
      <c r="D1725" s="67" t="s">
        <v>367</v>
      </c>
      <c r="E1725" s="67" t="s">
        <v>1368</v>
      </c>
      <c r="F1725" s="67" t="s">
        <v>1460</v>
      </c>
      <c r="G1725" s="69">
        <v>10</v>
      </c>
    </row>
    <row r="1726" spans="1:7">
      <c r="A1726" s="67" t="s">
        <v>3208</v>
      </c>
      <c r="B1726" s="70">
        <v>46197</v>
      </c>
      <c r="C1726" s="67" t="s">
        <v>1384</v>
      </c>
      <c r="D1726" s="67" t="s">
        <v>1466</v>
      </c>
      <c r="E1726" s="67" t="s">
        <v>1386</v>
      </c>
      <c r="F1726" s="67" t="s">
        <v>1462</v>
      </c>
      <c r="G1726" s="69">
        <v>44</v>
      </c>
    </row>
    <row r="1727" spans="1:7">
      <c r="A1727" s="67" t="s">
        <v>3209</v>
      </c>
      <c r="B1727" s="70">
        <v>46197</v>
      </c>
      <c r="C1727" s="67" t="s">
        <v>1389</v>
      </c>
      <c r="D1727" s="67" t="s">
        <v>1491</v>
      </c>
      <c r="E1727" s="67" t="s">
        <v>1470</v>
      </c>
      <c r="F1727" s="67" t="s">
        <v>1460</v>
      </c>
      <c r="G1727" s="69">
        <v>5</v>
      </c>
    </row>
    <row r="1728" spans="1:7">
      <c r="A1728" s="67" t="s">
        <v>3210</v>
      </c>
      <c r="B1728" s="70">
        <v>46197</v>
      </c>
      <c r="C1728" s="67" t="s">
        <v>1393</v>
      </c>
      <c r="D1728" s="67" t="s">
        <v>369</v>
      </c>
      <c r="E1728" s="67" t="s">
        <v>1368</v>
      </c>
      <c r="F1728" s="67" t="s">
        <v>1462</v>
      </c>
      <c r="G1728" s="69">
        <v>582</v>
      </c>
    </row>
    <row r="1729" spans="1:7">
      <c r="A1729" s="67" t="s">
        <v>3211</v>
      </c>
      <c r="B1729" s="70">
        <v>46197</v>
      </c>
      <c r="C1729" s="67" t="s">
        <v>1411</v>
      </c>
      <c r="D1729" s="67" t="s">
        <v>1506</v>
      </c>
      <c r="E1729" s="67" t="s">
        <v>1482</v>
      </c>
      <c r="F1729" s="67" t="s">
        <v>1488</v>
      </c>
      <c r="G1729" s="69">
        <v>9</v>
      </c>
    </row>
    <row r="1730" spans="1:7">
      <c r="A1730" s="67" t="s">
        <v>3212</v>
      </c>
      <c r="B1730" s="70">
        <v>46197</v>
      </c>
      <c r="C1730" s="67" t="s">
        <v>1414</v>
      </c>
      <c r="D1730" s="67" t="s">
        <v>1511</v>
      </c>
      <c r="E1730" s="67" t="s">
        <v>1470</v>
      </c>
      <c r="F1730" s="67" t="s">
        <v>1462</v>
      </c>
      <c r="G1730" s="69">
        <v>389</v>
      </c>
    </row>
    <row r="1731" spans="1:7">
      <c r="A1731" s="67" t="s">
        <v>3213</v>
      </c>
      <c r="B1731" s="70">
        <v>46197</v>
      </c>
      <c r="C1731" s="67" t="s">
        <v>1414</v>
      </c>
      <c r="D1731" s="67" t="s">
        <v>1511</v>
      </c>
      <c r="E1731" s="67" t="s">
        <v>1470</v>
      </c>
      <c r="F1731" s="67" t="s">
        <v>1462</v>
      </c>
      <c r="G1731" s="69">
        <v>351</v>
      </c>
    </row>
    <row r="1732" spans="1:7">
      <c r="A1732" s="67" t="s">
        <v>3214</v>
      </c>
      <c r="B1732" s="70">
        <v>46197</v>
      </c>
      <c r="C1732" s="67" t="s">
        <v>1414</v>
      </c>
      <c r="D1732" s="67" t="s">
        <v>1469</v>
      </c>
      <c r="E1732" s="67" t="s">
        <v>1470</v>
      </c>
      <c r="F1732" s="67" t="s">
        <v>1462</v>
      </c>
      <c r="G1732" s="69">
        <v>129</v>
      </c>
    </row>
    <row r="1733" spans="1:7">
      <c r="A1733" s="67" t="s">
        <v>3215</v>
      </c>
      <c r="B1733" s="70">
        <v>46197</v>
      </c>
      <c r="C1733" s="67" t="s">
        <v>1423</v>
      </c>
      <c r="D1733" s="67" t="s">
        <v>1487</v>
      </c>
      <c r="E1733" s="67" t="s">
        <v>1410</v>
      </c>
      <c r="F1733" s="67" t="s">
        <v>1462</v>
      </c>
      <c r="G1733" s="69">
        <v>274</v>
      </c>
    </row>
    <row r="1734" spans="1:7">
      <c r="A1734" s="67" t="s">
        <v>3216</v>
      </c>
      <c r="B1734" s="70">
        <v>46197</v>
      </c>
      <c r="C1734" s="67" t="s">
        <v>1425</v>
      </c>
      <c r="D1734" s="67" t="s">
        <v>1511</v>
      </c>
      <c r="E1734" s="67" t="s">
        <v>1470</v>
      </c>
      <c r="F1734" s="67" t="s">
        <v>1462</v>
      </c>
      <c r="G1734" s="69">
        <v>323</v>
      </c>
    </row>
    <row r="1735" spans="1:7">
      <c r="A1735" s="67" t="s">
        <v>3217</v>
      </c>
      <c r="B1735" s="70">
        <v>46197</v>
      </c>
      <c r="C1735" s="67" t="s">
        <v>1425</v>
      </c>
      <c r="D1735" s="67" t="s">
        <v>1484</v>
      </c>
      <c r="E1735" s="67" t="s">
        <v>1470</v>
      </c>
      <c r="F1735" s="67" t="s">
        <v>1462</v>
      </c>
      <c r="G1735" s="69">
        <v>470</v>
      </c>
    </row>
    <row r="1736" spans="1:7">
      <c r="A1736" s="67" t="s">
        <v>3218</v>
      </c>
      <c r="B1736" s="70">
        <v>46197</v>
      </c>
      <c r="C1736" s="67" t="s">
        <v>1429</v>
      </c>
      <c r="D1736" s="67" t="s">
        <v>353</v>
      </c>
      <c r="E1736" s="67" t="s">
        <v>1368</v>
      </c>
      <c r="F1736" s="67" t="s">
        <v>1462</v>
      </c>
      <c r="G1736" s="69">
        <v>257</v>
      </c>
    </row>
    <row r="1737" spans="1:7">
      <c r="A1737" s="67" t="s">
        <v>3219</v>
      </c>
      <c r="B1737" s="70">
        <v>46197</v>
      </c>
      <c r="C1737" s="67" t="s">
        <v>1444</v>
      </c>
      <c r="D1737" s="67" t="s">
        <v>367</v>
      </c>
      <c r="E1737" s="67" t="s">
        <v>1368</v>
      </c>
      <c r="F1737" s="67" t="s">
        <v>1462</v>
      </c>
      <c r="G1737" s="69">
        <v>133</v>
      </c>
    </row>
    <row r="1738" spans="1:7">
      <c r="A1738" s="67" t="s">
        <v>3220</v>
      </c>
      <c r="B1738" s="70">
        <v>46197</v>
      </c>
      <c r="C1738" s="67" t="s">
        <v>1444</v>
      </c>
      <c r="D1738" s="67" t="s">
        <v>1459</v>
      </c>
      <c r="E1738" s="67" t="s">
        <v>1362</v>
      </c>
      <c r="F1738" s="67" t="s">
        <v>1462</v>
      </c>
      <c r="G1738" s="69">
        <v>408</v>
      </c>
    </row>
    <row r="1739" spans="1:7">
      <c r="A1739" s="67" t="s">
        <v>3221</v>
      </c>
      <c r="B1739" s="70">
        <v>46197</v>
      </c>
      <c r="C1739" s="67" t="s">
        <v>1446</v>
      </c>
      <c r="D1739" s="67" t="s">
        <v>1459</v>
      </c>
      <c r="E1739" s="67" t="s">
        <v>1362</v>
      </c>
      <c r="F1739" s="67" t="s">
        <v>1462</v>
      </c>
      <c r="G1739" s="69">
        <v>143</v>
      </c>
    </row>
    <row r="1740" spans="1:7">
      <c r="A1740" s="67" t="s">
        <v>3222</v>
      </c>
      <c r="B1740" s="70">
        <v>46198</v>
      </c>
      <c r="C1740" s="67" t="s">
        <v>1371</v>
      </c>
      <c r="D1740" s="67" t="s">
        <v>367</v>
      </c>
      <c r="E1740" s="67" t="s">
        <v>1368</v>
      </c>
      <c r="F1740" s="67" t="s">
        <v>1462</v>
      </c>
      <c r="G1740" s="69">
        <v>90</v>
      </c>
    </row>
    <row r="1741" spans="1:7">
      <c r="A1741" s="67" t="s">
        <v>3223</v>
      </c>
      <c r="B1741" s="70">
        <v>46198</v>
      </c>
      <c r="C1741" s="67" t="s">
        <v>1371</v>
      </c>
      <c r="D1741" s="67" t="s">
        <v>1466</v>
      </c>
      <c r="E1741" s="67" t="s">
        <v>1386</v>
      </c>
      <c r="F1741" s="67" t="s">
        <v>1462</v>
      </c>
      <c r="G1741" s="69">
        <v>517</v>
      </c>
    </row>
    <row r="1742" spans="1:7">
      <c r="A1742" s="67" t="s">
        <v>3224</v>
      </c>
      <c r="B1742" s="70">
        <v>46198</v>
      </c>
      <c r="C1742" s="67" t="s">
        <v>1384</v>
      </c>
      <c r="D1742" s="67" t="s">
        <v>1466</v>
      </c>
      <c r="E1742" s="67" t="s">
        <v>1386</v>
      </c>
      <c r="F1742" s="67" t="s">
        <v>1488</v>
      </c>
      <c r="G1742" s="69">
        <v>6</v>
      </c>
    </row>
    <row r="1743" spans="1:7">
      <c r="A1743" s="67" t="s">
        <v>3225</v>
      </c>
      <c r="B1743" s="70">
        <v>46198</v>
      </c>
      <c r="C1743" s="67" t="s">
        <v>1399</v>
      </c>
      <c r="D1743" s="67" t="s">
        <v>1459</v>
      </c>
      <c r="E1743" s="67" t="s">
        <v>1362</v>
      </c>
      <c r="F1743" s="67" t="s">
        <v>1462</v>
      </c>
      <c r="G1743" s="69">
        <v>166</v>
      </c>
    </row>
    <row r="1744" spans="1:7">
      <c r="A1744" s="67" t="s">
        <v>3226</v>
      </c>
      <c r="B1744" s="70">
        <v>46198</v>
      </c>
      <c r="C1744" s="67" t="s">
        <v>1404</v>
      </c>
      <c r="D1744" s="67" t="s">
        <v>365</v>
      </c>
      <c r="E1744" s="67" t="s">
        <v>1368</v>
      </c>
      <c r="F1744" s="67" t="s">
        <v>1462</v>
      </c>
      <c r="G1744" s="69">
        <v>401</v>
      </c>
    </row>
    <row r="1745" spans="1:7">
      <c r="A1745" s="67" t="s">
        <v>3227</v>
      </c>
      <c r="B1745" s="70">
        <v>46198</v>
      </c>
      <c r="C1745" s="67" t="s">
        <v>1411</v>
      </c>
      <c r="D1745" s="67" t="s">
        <v>367</v>
      </c>
      <c r="E1745" s="67" t="s">
        <v>1368</v>
      </c>
      <c r="F1745" s="67" t="s">
        <v>1460</v>
      </c>
      <c r="G1745" s="69">
        <v>16</v>
      </c>
    </row>
    <row r="1746" spans="1:7">
      <c r="A1746" s="67" t="s">
        <v>3228</v>
      </c>
      <c r="B1746" s="70">
        <v>46198</v>
      </c>
      <c r="C1746" s="67" t="s">
        <v>1411</v>
      </c>
      <c r="D1746" s="67" t="s">
        <v>1481</v>
      </c>
      <c r="E1746" s="67" t="s">
        <v>1482</v>
      </c>
      <c r="F1746" s="67" t="s">
        <v>1462</v>
      </c>
      <c r="G1746" s="69">
        <v>590</v>
      </c>
    </row>
    <row r="1747" spans="1:7">
      <c r="A1747" s="67" t="s">
        <v>3229</v>
      </c>
      <c r="B1747" s="70">
        <v>46198</v>
      </c>
      <c r="C1747" s="67" t="s">
        <v>1423</v>
      </c>
      <c r="D1747" s="67" t="s">
        <v>1743</v>
      </c>
      <c r="E1747" s="67" t="s">
        <v>1410</v>
      </c>
      <c r="F1747" s="67" t="s">
        <v>1462</v>
      </c>
      <c r="G1747" s="69">
        <v>491</v>
      </c>
    </row>
    <row r="1748" spans="1:7">
      <c r="A1748" s="67" t="s">
        <v>3230</v>
      </c>
      <c r="B1748" s="70">
        <v>46198</v>
      </c>
      <c r="C1748" s="67" t="s">
        <v>1425</v>
      </c>
      <c r="D1748" s="67" t="s">
        <v>1511</v>
      </c>
      <c r="E1748" s="67" t="s">
        <v>1470</v>
      </c>
      <c r="F1748" s="67" t="s">
        <v>1488</v>
      </c>
      <c r="G1748" s="69">
        <v>7</v>
      </c>
    </row>
    <row r="1749" spans="1:7">
      <c r="A1749" s="67" t="s">
        <v>3231</v>
      </c>
      <c r="B1749" s="70">
        <v>46198</v>
      </c>
      <c r="C1749" s="67" t="s">
        <v>1425</v>
      </c>
      <c r="D1749" s="67" t="s">
        <v>1459</v>
      </c>
      <c r="E1749" s="67" t="s">
        <v>1362</v>
      </c>
      <c r="F1749" s="67" t="s">
        <v>1462</v>
      </c>
      <c r="G1749" s="69">
        <v>533</v>
      </c>
    </row>
    <row r="1750" spans="1:7">
      <c r="A1750" s="67" t="s">
        <v>3232</v>
      </c>
      <c r="B1750" s="70">
        <v>46198</v>
      </c>
      <c r="C1750" s="67" t="s">
        <v>1427</v>
      </c>
      <c r="D1750" s="67" t="s">
        <v>369</v>
      </c>
      <c r="E1750" s="67" t="s">
        <v>1368</v>
      </c>
      <c r="F1750" s="67" t="s">
        <v>1460</v>
      </c>
      <c r="G1750" s="69">
        <v>13</v>
      </c>
    </row>
    <row r="1751" spans="1:7">
      <c r="A1751" s="67" t="s">
        <v>3233</v>
      </c>
      <c r="B1751" s="70">
        <v>46198</v>
      </c>
      <c r="C1751" s="67" t="s">
        <v>1427</v>
      </c>
      <c r="D1751" s="67" t="s">
        <v>1551</v>
      </c>
      <c r="E1751" s="67" t="s">
        <v>1362</v>
      </c>
      <c r="F1751" s="67" t="s">
        <v>1488</v>
      </c>
      <c r="G1751" s="69">
        <v>5</v>
      </c>
    </row>
    <row r="1752" spans="1:7">
      <c r="A1752" s="67" t="s">
        <v>3234</v>
      </c>
      <c r="B1752" s="70">
        <v>46198</v>
      </c>
      <c r="C1752" s="67" t="s">
        <v>1444</v>
      </c>
      <c r="D1752" s="67" t="s">
        <v>1459</v>
      </c>
      <c r="E1752" s="67" t="s">
        <v>1362</v>
      </c>
      <c r="F1752" s="67" t="s">
        <v>1462</v>
      </c>
      <c r="G1752" s="69">
        <v>468</v>
      </c>
    </row>
    <row r="1753" spans="1:7">
      <c r="A1753" s="67" t="s">
        <v>3235</v>
      </c>
      <c r="B1753" s="70">
        <v>46199</v>
      </c>
      <c r="C1753" s="67" t="s">
        <v>1359</v>
      </c>
      <c r="D1753" s="67" t="s">
        <v>1466</v>
      </c>
      <c r="E1753" s="67" t="s">
        <v>1386</v>
      </c>
      <c r="F1753" s="67" t="s">
        <v>1460</v>
      </c>
      <c r="G1753" s="69">
        <v>18</v>
      </c>
    </row>
    <row r="1754" spans="1:7">
      <c r="A1754" s="67" t="s">
        <v>3236</v>
      </c>
      <c r="B1754" s="70">
        <v>46199</v>
      </c>
      <c r="C1754" s="67" t="s">
        <v>1359</v>
      </c>
      <c r="D1754" s="67" t="s">
        <v>1551</v>
      </c>
      <c r="E1754" s="67" t="s">
        <v>1362</v>
      </c>
      <c r="F1754" s="67" t="s">
        <v>1462</v>
      </c>
      <c r="G1754" s="69">
        <v>122</v>
      </c>
    </row>
    <row r="1755" spans="1:7">
      <c r="A1755" s="67" t="s">
        <v>3237</v>
      </c>
      <c r="B1755" s="70">
        <v>46199</v>
      </c>
      <c r="C1755" s="67" t="s">
        <v>1381</v>
      </c>
      <c r="D1755" s="67" t="s">
        <v>356</v>
      </c>
      <c r="E1755" s="67" t="s">
        <v>1368</v>
      </c>
      <c r="F1755" s="67" t="s">
        <v>1462</v>
      </c>
      <c r="G1755" s="69">
        <v>427</v>
      </c>
    </row>
    <row r="1756" spans="1:7">
      <c r="A1756" s="67" t="s">
        <v>3238</v>
      </c>
      <c r="B1756" s="70">
        <v>46199</v>
      </c>
      <c r="C1756" s="67" t="s">
        <v>1393</v>
      </c>
      <c r="D1756" s="67" t="s">
        <v>353</v>
      </c>
      <c r="E1756" s="67" t="s">
        <v>1368</v>
      </c>
      <c r="F1756" s="67" t="s">
        <v>1462</v>
      </c>
      <c r="G1756" s="69">
        <v>216</v>
      </c>
    </row>
    <row r="1757" spans="1:7">
      <c r="A1757" s="67" t="s">
        <v>3239</v>
      </c>
      <c r="B1757" s="70">
        <v>46199</v>
      </c>
      <c r="C1757" s="67" t="s">
        <v>1393</v>
      </c>
      <c r="D1757" s="67" t="s">
        <v>367</v>
      </c>
      <c r="E1757" s="67" t="s">
        <v>1368</v>
      </c>
      <c r="F1757" s="67" t="s">
        <v>1462</v>
      </c>
      <c r="G1757" s="69">
        <v>263</v>
      </c>
    </row>
    <row r="1758" spans="1:7">
      <c r="A1758" s="67" t="s">
        <v>3240</v>
      </c>
      <c r="B1758" s="70">
        <v>46199</v>
      </c>
      <c r="C1758" s="67" t="s">
        <v>1404</v>
      </c>
      <c r="D1758" s="67" t="s">
        <v>356</v>
      </c>
      <c r="E1758" s="67" t="s">
        <v>1368</v>
      </c>
      <c r="F1758" s="67" t="s">
        <v>1462</v>
      </c>
      <c r="G1758" s="69">
        <v>186</v>
      </c>
    </row>
    <row r="1759" spans="1:7">
      <c r="A1759" s="67" t="s">
        <v>3241</v>
      </c>
      <c r="B1759" s="70">
        <v>46199</v>
      </c>
      <c r="C1759" s="67" t="s">
        <v>1411</v>
      </c>
      <c r="D1759" s="67" t="s">
        <v>1506</v>
      </c>
      <c r="E1759" s="67" t="s">
        <v>1482</v>
      </c>
      <c r="F1759" s="67" t="s">
        <v>1460</v>
      </c>
      <c r="G1759" s="69">
        <v>5</v>
      </c>
    </row>
    <row r="1760" spans="1:7">
      <c r="A1760" s="67" t="s">
        <v>3242</v>
      </c>
      <c r="B1760" s="70">
        <v>46199</v>
      </c>
      <c r="C1760" s="67" t="s">
        <v>1411</v>
      </c>
      <c r="D1760" s="67" t="s">
        <v>1481</v>
      </c>
      <c r="E1760" s="67" t="s">
        <v>1482</v>
      </c>
      <c r="F1760" s="67" t="s">
        <v>1462</v>
      </c>
      <c r="G1760" s="69">
        <v>99</v>
      </c>
    </row>
    <row r="1761" spans="1:7">
      <c r="A1761" s="67" t="s">
        <v>3243</v>
      </c>
      <c r="B1761" s="70">
        <v>46199</v>
      </c>
      <c r="C1761" s="67" t="s">
        <v>1421</v>
      </c>
      <c r="D1761" s="67" t="s">
        <v>1582</v>
      </c>
      <c r="E1761" s="67" t="s">
        <v>5</v>
      </c>
      <c r="F1761" s="67" t="s">
        <v>1462</v>
      </c>
      <c r="G1761" s="69">
        <v>599</v>
      </c>
    </row>
    <row r="1762" spans="1:7">
      <c r="A1762" s="67" t="s">
        <v>3244</v>
      </c>
      <c r="B1762" s="70">
        <v>46199</v>
      </c>
      <c r="C1762" s="67" t="s">
        <v>1421</v>
      </c>
      <c r="D1762" s="67" t="s">
        <v>2005</v>
      </c>
      <c r="E1762" s="67" t="s">
        <v>5</v>
      </c>
      <c r="F1762" s="67" t="s">
        <v>1462</v>
      </c>
      <c r="G1762" s="69">
        <v>183</v>
      </c>
    </row>
    <row r="1763" spans="1:7">
      <c r="A1763" s="67" t="s">
        <v>3245</v>
      </c>
      <c r="B1763" s="70">
        <v>46199</v>
      </c>
      <c r="C1763" s="67" t="s">
        <v>1423</v>
      </c>
      <c r="D1763" s="67" t="s">
        <v>1743</v>
      </c>
      <c r="E1763" s="67" t="s">
        <v>1410</v>
      </c>
      <c r="F1763" s="67" t="s">
        <v>1460</v>
      </c>
      <c r="G1763" s="69">
        <v>30</v>
      </c>
    </row>
    <row r="1764" spans="1:7">
      <c r="A1764" s="67" t="s">
        <v>3246</v>
      </c>
      <c r="B1764" s="70">
        <v>46199</v>
      </c>
      <c r="C1764" s="67" t="s">
        <v>1425</v>
      </c>
      <c r="D1764" s="67" t="s">
        <v>1511</v>
      </c>
      <c r="E1764" s="67" t="s">
        <v>1470</v>
      </c>
      <c r="F1764" s="67" t="s">
        <v>1462</v>
      </c>
      <c r="G1764" s="69">
        <v>422</v>
      </c>
    </row>
    <row r="1765" spans="1:7">
      <c r="A1765" s="67" t="s">
        <v>3247</v>
      </c>
      <c r="B1765" s="70">
        <v>46199</v>
      </c>
      <c r="C1765" s="67" t="s">
        <v>1429</v>
      </c>
      <c r="D1765" s="67" t="s">
        <v>369</v>
      </c>
      <c r="E1765" s="67" t="s">
        <v>1368</v>
      </c>
      <c r="F1765" s="67" t="s">
        <v>1462</v>
      </c>
      <c r="G1765" s="69">
        <v>461</v>
      </c>
    </row>
    <row r="1766" spans="1:7">
      <c r="A1766" s="67" t="s">
        <v>3248</v>
      </c>
      <c r="B1766" s="70">
        <v>46199</v>
      </c>
      <c r="C1766" s="67" t="s">
        <v>1429</v>
      </c>
      <c r="D1766" s="67" t="s">
        <v>358</v>
      </c>
      <c r="E1766" s="67" t="s">
        <v>1368</v>
      </c>
      <c r="F1766" s="67" t="s">
        <v>1488</v>
      </c>
      <c r="G1766" s="69">
        <v>3</v>
      </c>
    </row>
    <row r="1767" spans="1:7">
      <c r="A1767" s="67" t="s">
        <v>3249</v>
      </c>
      <c r="B1767" s="70">
        <v>46199</v>
      </c>
      <c r="C1767" s="67" t="s">
        <v>1438</v>
      </c>
      <c r="D1767" s="67" t="s">
        <v>369</v>
      </c>
      <c r="E1767" s="67" t="s">
        <v>1368</v>
      </c>
      <c r="F1767" s="67" t="s">
        <v>1462</v>
      </c>
      <c r="G1767" s="69">
        <v>309</v>
      </c>
    </row>
    <row r="1768" spans="1:7">
      <c r="A1768" s="67" t="s">
        <v>3250</v>
      </c>
      <c r="B1768" s="70">
        <v>46199</v>
      </c>
      <c r="C1768" s="67" t="s">
        <v>1446</v>
      </c>
      <c r="D1768" s="67" t="s">
        <v>356</v>
      </c>
      <c r="E1768" s="67" t="s">
        <v>1368</v>
      </c>
      <c r="F1768" s="67" t="s">
        <v>1462</v>
      </c>
      <c r="G1768" s="69">
        <v>484</v>
      </c>
    </row>
    <row r="1769" spans="1:7">
      <c r="A1769" s="67" t="s">
        <v>3251</v>
      </c>
      <c r="B1769" s="70">
        <v>46199</v>
      </c>
      <c r="C1769" s="67" t="s">
        <v>1446</v>
      </c>
      <c r="D1769" s="67" t="s">
        <v>356</v>
      </c>
      <c r="E1769" s="67" t="s">
        <v>1368</v>
      </c>
      <c r="F1769" s="67" t="s">
        <v>1488</v>
      </c>
      <c r="G1769" s="69">
        <v>9</v>
      </c>
    </row>
    <row r="1770" spans="1:7">
      <c r="A1770" s="67" t="s">
        <v>3252</v>
      </c>
      <c r="B1770" s="70">
        <v>46199</v>
      </c>
      <c r="C1770" s="67" t="s">
        <v>1446</v>
      </c>
      <c r="D1770" s="67" t="s">
        <v>1476</v>
      </c>
      <c r="E1770" s="67" t="s">
        <v>1362</v>
      </c>
      <c r="F1770" s="67" t="s">
        <v>1460</v>
      </c>
      <c r="G1770" s="69">
        <v>18</v>
      </c>
    </row>
    <row r="1771" spans="1:7">
      <c r="A1771" s="67" t="s">
        <v>3253</v>
      </c>
      <c r="B1771" s="70">
        <v>46199</v>
      </c>
      <c r="C1771" s="67" t="s">
        <v>1446</v>
      </c>
      <c r="D1771" s="67" t="s">
        <v>1459</v>
      </c>
      <c r="E1771" s="67" t="s">
        <v>1362</v>
      </c>
      <c r="F1771" s="67" t="s">
        <v>1462</v>
      </c>
      <c r="G1771" s="69">
        <v>272</v>
      </c>
    </row>
    <row r="1772" spans="1:7">
      <c r="A1772" s="67" t="s">
        <v>3254</v>
      </c>
      <c r="B1772" s="70">
        <v>46200</v>
      </c>
      <c r="C1772" s="67" t="s">
        <v>1359</v>
      </c>
      <c r="D1772" s="67" t="s">
        <v>1466</v>
      </c>
      <c r="E1772" s="67" t="s">
        <v>1386</v>
      </c>
      <c r="F1772" s="67" t="s">
        <v>1462</v>
      </c>
      <c r="G1772" s="69">
        <v>408</v>
      </c>
    </row>
    <row r="1773" spans="1:7">
      <c r="A1773" s="67" t="s">
        <v>3255</v>
      </c>
      <c r="B1773" s="70">
        <v>46200</v>
      </c>
      <c r="C1773" s="67" t="s">
        <v>1366</v>
      </c>
      <c r="D1773" s="67" t="s">
        <v>353</v>
      </c>
      <c r="E1773" s="67" t="s">
        <v>1368</v>
      </c>
      <c r="F1773" s="67" t="s">
        <v>1460</v>
      </c>
      <c r="G1773" s="69">
        <v>29</v>
      </c>
    </row>
    <row r="1774" spans="1:7">
      <c r="A1774" s="67" t="s">
        <v>3256</v>
      </c>
      <c r="B1774" s="70">
        <v>46200</v>
      </c>
      <c r="C1774" s="67" t="s">
        <v>1366</v>
      </c>
      <c r="D1774" s="67" t="s">
        <v>369</v>
      </c>
      <c r="E1774" s="67" t="s">
        <v>1368</v>
      </c>
      <c r="F1774" s="67" t="s">
        <v>1462</v>
      </c>
      <c r="G1774" s="69">
        <v>465</v>
      </c>
    </row>
    <row r="1775" spans="1:7">
      <c r="A1775" s="67" t="s">
        <v>3257</v>
      </c>
      <c r="B1775" s="70">
        <v>46200</v>
      </c>
      <c r="C1775" s="67" t="s">
        <v>1366</v>
      </c>
      <c r="D1775" s="67" t="s">
        <v>369</v>
      </c>
      <c r="E1775" s="67" t="s">
        <v>1368</v>
      </c>
      <c r="F1775" s="67" t="s">
        <v>1462</v>
      </c>
      <c r="G1775" s="69">
        <v>214</v>
      </c>
    </row>
    <row r="1776" spans="1:7">
      <c r="A1776" s="67" t="s">
        <v>3258</v>
      </c>
      <c r="B1776" s="70">
        <v>46200</v>
      </c>
      <c r="C1776" s="67" t="s">
        <v>1371</v>
      </c>
      <c r="D1776" s="67" t="s">
        <v>1476</v>
      </c>
      <c r="E1776" s="67" t="s">
        <v>1362</v>
      </c>
      <c r="F1776" s="67" t="s">
        <v>1462</v>
      </c>
      <c r="G1776" s="69">
        <v>382</v>
      </c>
    </row>
    <row r="1777" spans="1:7">
      <c r="A1777" s="67" t="s">
        <v>3259</v>
      </c>
      <c r="B1777" s="70">
        <v>46200</v>
      </c>
      <c r="C1777" s="67" t="s">
        <v>1371</v>
      </c>
      <c r="D1777" s="67" t="s">
        <v>1551</v>
      </c>
      <c r="E1777" s="67" t="s">
        <v>1362</v>
      </c>
      <c r="F1777" s="67" t="s">
        <v>1460</v>
      </c>
      <c r="G1777" s="69">
        <v>25</v>
      </c>
    </row>
    <row r="1778" spans="1:7">
      <c r="A1778" s="67" t="s">
        <v>3260</v>
      </c>
      <c r="B1778" s="70">
        <v>46200</v>
      </c>
      <c r="C1778" s="67" t="s">
        <v>1375</v>
      </c>
      <c r="D1778" s="67" t="s">
        <v>367</v>
      </c>
      <c r="E1778" s="67" t="s">
        <v>1368</v>
      </c>
      <c r="F1778" s="67" t="s">
        <v>1460</v>
      </c>
      <c r="G1778" s="69">
        <v>14</v>
      </c>
    </row>
    <row r="1779" spans="1:7">
      <c r="A1779" s="67" t="s">
        <v>3261</v>
      </c>
      <c r="B1779" s="70">
        <v>46200</v>
      </c>
      <c r="C1779" s="67" t="s">
        <v>1378</v>
      </c>
      <c r="D1779" s="67" t="s">
        <v>369</v>
      </c>
      <c r="E1779" s="67" t="s">
        <v>1368</v>
      </c>
      <c r="F1779" s="67" t="s">
        <v>1462</v>
      </c>
      <c r="G1779" s="69">
        <v>96</v>
      </c>
    </row>
    <row r="1780" spans="1:7">
      <c r="A1780" s="67" t="s">
        <v>3262</v>
      </c>
      <c r="B1780" s="70">
        <v>46200</v>
      </c>
      <c r="C1780" s="67" t="s">
        <v>1378</v>
      </c>
      <c r="D1780" s="67" t="s">
        <v>369</v>
      </c>
      <c r="E1780" s="67" t="s">
        <v>1368</v>
      </c>
      <c r="F1780" s="67" t="s">
        <v>1462</v>
      </c>
      <c r="G1780" s="69">
        <v>538</v>
      </c>
    </row>
    <row r="1781" spans="1:7">
      <c r="A1781" s="67" t="s">
        <v>3263</v>
      </c>
      <c r="B1781" s="70">
        <v>46200</v>
      </c>
      <c r="C1781" s="67" t="s">
        <v>1381</v>
      </c>
      <c r="D1781" s="67" t="s">
        <v>369</v>
      </c>
      <c r="E1781" s="67" t="s">
        <v>1368</v>
      </c>
      <c r="F1781" s="67" t="s">
        <v>1462</v>
      </c>
      <c r="G1781" s="69">
        <v>243</v>
      </c>
    </row>
    <row r="1782" spans="1:7">
      <c r="A1782" s="67" t="s">
        <v>3264</v>
      </c>
      <c r="B1782" s="70">
        <v>46200</v>
      </c>
      <c r="C1782" s="67" t="s">
        <v>1381</v>
      </c>
      <c r="D1782" s="67" t="s">
        <v>1469</v>
      </c>
      <c r="E1782" s="67" t="s">
        <v>1470</v>
      </c>
      <c r="F1782" s="67" t="s">
        <v>1462</v>
      </c>
      <c r="G1782" s="69">
        <v>583</v>
      </c>
    </row>
    <row r="1783" spans="1:7">
      <c r="A1783" s="67" t="s">
        <v>3265</v>
      </c>
      <c r="B1783" s="70">
        <v>46200</v>
      </c>
      <c r="C1783" s="67" t="s">
        <v>1393</v>
      </c>
      <c r="D1783" s="67" t="s">
        <v>363</v>
      </c>
      <c r="E1783" s="67" t="s">
        <v>1368</v>
      </c>
      <c r="F1783" s="67" t="s">
        <v>1460</v>
      </c>
      <c r="G1783" s="69">
        <v>17</v>
      </c>
    </row>
    <row r="1784" spans="1:7">
      <c r="A1784" s="67" t="s">
        <v>3266</v>
      </c>
      <c r="B1784" s="70">
        <v>46200</v>
      </c>
      <c r="C1784" s="67" t="s">
        <v>1393</v>
      </c>
      <c r="D1784" s="67" t="s">
        <v>367</v>
      </c>
      <c r="E1784" s="67" t="s">
        <v>1368</v>
      </c>
      <c r="F1784" s="67" t="s">
        <v>1462</v>
      </c>
      <c r="G1784" s="69">
        <v>97</v>
      </c>
    </row>
    <row r="1785" spans="1:7">
      <c r="A1785" s="67" t="s">
        <v>3267</v>
      </c>
      <c r="B1785" s="70">
        <v>46200</v>
      </c>
      <c r="C1785" s="67" t="s">
        <v>1404</v>
      </c>
      <c r="D1785" s="67" t="s">
        <v>353</v>
      </c>
      <c r="E1785" s="67" t="s">
        <v>1368</v>
      </c>
      <c r="F1785" s="67" t="s">
        <v>1460</v>
      </c>
      <c r="G1785" s="69">
        <v>11</v>
      </c>
    </row>
    <row r="1786" spans="1:7">
      <c r="A1786" s="67" t="s">
        <v>3268</v>
      </c>
      <c r="B1786" s="70">
        <v>46200</v>
      </c>
      <c r="C1786" s="67" t="s">
        <v>1404</v>
      </c>
      <c r="D1786" s="67" t="s">
        <v>1607</v>
      </c>
      <c r="E1786" s="67" t="s">
        <v>1470</v>
      </c>
      <c r="F1786" s="67" t="s">
        <v>1462</v>
      </c>
      <c r="G1786" s="69">
        <v>349</v>
      </c>
    </row>
    <row r="1787" spans="1:7">
      <c r="A1787" s="67" t="s">
        <v>3269</v>
      </c>
      <c r="B1787" s="70">
        <v>46200</v>
      </c>
      <c r="C1787" s="67" t="s">
        <v>1411</v>
      </c>
      <c r="D1787" s="67" t="s">
        <v>1481</v>
      </c>
      <c r="E1787" s="67" t="s">
        <v>1482</v>
      </c>
      <c r="F1787" s="67" t="s">
        <v>1462</v>
      </c>
      <c r="G1787" s="69">
        <v>347</v>
      </c>
    </row>
    <row r="1788" spans="1:7">
      <c r="A1788" s="67" t="s">
        <v>3270</v>
      </c>
      <c r="B1788" s="70">
        <v>46200</v>
      </c>
      <c r="C1788" s="67" t="s">
        <v>1425</v>
      </c>
      <c r="D1788" s="67" t="s">
        <v>1476</v>
      </c>
      <c r="E1788" s="67" t="s">
        <v>1362</v>
      </c>
      <c r="F1788" s="67" t="s">
        <v>1460</v>
      </c>
      <c r="G1788" s="69">
        <v>28</v>
      </c>
    </row>
    <row r="1789" spans="1:7">
      <c r="A1789" s="67" t="s">
        <v>3271</v>
      </c>
      <c r="B1789" s="70">
        <v>46200</v>
      </c>
      <c r="C1789" s="67" t="s">
        <v>1429</v>
      </c>
      <c r="D1789" s="67" t="s">
        <v>363</v>
      </c>
      <c r="E1789" s="67" t="s">
        <v>1368</v>
      </c>
      <c r="F1789" s="67" t="s">
        <v>1460</v>
      </c>
      <c r="G1789" s="69">
        <v>21</v>
      </c>
    </row>
    <row r="1790" spans="1:7">
      <c r="A1790" s="67" t="s">
        <v>3272</v>
      </c>
      <c r="B1790" s="70">
        <v>46201</v>
      </c>
      <c r="C1790" s="67" t="s">
        <v>1359</v>
      </c>
      <c r="D1790" s="67" t="s">
        <v>1476</v>
      </c>
      <c r="E1790" s="67" t="s">
        <v>1362</v>
      </c>
      <c r="F1790" s="67" t="s">
        <v>1462</v>
      </c>
      <c r="G1790" s="69">
        <v>467</v>
      </c>
    </row>
    <row r="1791" spans="1:7">
      <c r="A1791" s="67" t="s">
        <v>3273</v>
      </c>
      <c r="B1791" s="70">
        <v>46201</v>
      </c>
      <c r="C1791" s="67" t="s">
        <v>1359</v>
      </c>
      <c r="D1791" s="67" t="s">
        <v>1551</v>
      </c>
      <c r="E1791" s="67" t="s">
        <v>1362</v>
      </c>
      <c r="F1791" s="67" t="s">
        <v>1460</v>
      </c>
      <c r="G1791" s="69">
        <v>22</v>
      </c>
    </row>
    <row r="1792" spans="1:7">
      <c r="A1792" s="67" t="s">
        <v>3274</v>
      </c>
      <c r="B1792" s="70">
        <v>46201</v>
      </c>
      <c r="C1792" s="67" t="s">
        <v>1359</v>
      </c>
      <c r="D1792" s="67" t="s">
        <v>1551</v>
      </c>
      <c r="E1792" s="67" t="s">
        <v>1362</v>
      </c>
      <c r="F1792" s="67" t="s">
        <v>1462</v>
      </c>
      <c r="G1792" s="69">
        <v>92</v>
      </c>
    </row>
    <row r="1793" spans="1:7">
      <c r="A1793" s="67" t="s">
        <v>3275</v>
      </c>
      <c r="B1793" s="70">
        <v>46201</v>
      </c>
      <c r="C1793" s="67" t="s">
        <v>1359</v>
      </c>
      <c r="D1793" s="67" t="s">
        <v>1459</v>
      </c>
      <c r="E1793" s="67" t="s">
        <v>1362</v>
      </c>
      <c r="F1793" s="67" t="s">
        <v>1462</v>
      </c>
      <c r="G1793" s="69">
        <v>141</v>
      </c>
    </row>
    <row r="1794" spans="1:7">
      <c r="A1794" s="67" t="s">
        <v>3276</v>
      </c>
      <c r="B1794" s="70">
        <v>46201</v>
      </c>
      <c r="C1794" s="67" t="s">
        <v>1366</v>
      </c>
      <c r="D1794" s="67" t="s">
        <v>356</v>
      </c>
      <c r="E1794" s="67" t="s">
        <v>1368</v>
      </c>
      <c r="F1794" s="67" t="s">
        <v>1462</v>
      </c>
      <c r="G1794" s="69">
        <v>526</v>
      </c>
    </row>
    <row r="1795" spans="1:7">
      <c r="A1795" s="67" t="s">
        <v>3277</v>
      </c>
      <c r="B1795" s="70">
        <v>46201</v>
      </c>
      <c r="C1795" s="67" t="s">
        <v>1366</v>
      </c>
      <c r="D1795" s="67" t="s">
        <v>367</v>
      </c>
      <c r="E1795" s="67" t="s">
        <v>1368</v>
      </c>
      <c r="F1795" s="67" t="s">
        <v>1488</v>
      </c>
      <c r="G1795" s="69">
        <v>6</v>
      </c>
    </row>
    <row r="1796" spans="1:7">
      <c r="A1796" s="67" t="s">
        <v>3278</v>
      </c>
      <c r="B1796" s="70">
        <v>46201</v>
      </c>
      <c r="C1796" s="67" t="s">
        <v>1371</v>
      </c>
      <c r="D1796" s="67" t="s">
        <v>1466</v>
      </c>
      <c r="E1796" s="67" t="s">
        <v>1386</v>
      </c>
      <c r="F1796" s="67" t="s">
        <v>1462</v>
      </c>
      <c r="G1796" s="69">
        <v>45</v>
      </c>
    </row>
    <row r="1797" spans="1:7">
      <c r="A1797" s="67" t="s">
        <v>3279</v>
      </c>
      <c r="B1797" s="70">
        <v>46201</v>
      </c>
      <c r="C1797" s="67" t="s">
        <v>1371</v>
      </c>
      <c r="D1797" s="67" t="s">
        <v>1459</v>
      </c>
      <c r="E1797" s="67" t="s">
        <v>1362</v>
      </c>
      <c r="F1797" s="67" t="s">
        <v>1462</v>
      </c>
      <c r="G1797" s="69">
        <v>132</v>
      </c>
    </row>
    <row r="1798" spans="1:7">
      <c r="A1798" s="67" t="s">
        <v>3280</v>
      </c>
      <c r="B1798" s="70">
        <v>46201</v>
      </c>
      <c r="C1798" s="67" t="s">
        <v>1371</v>
      </c>
      <c r="D1798" s="67" t="s">
        <v>1459</v>
      </c>
      <c r="E1798" s="67" t="s">
        <v>1362</v>
      </c>
      <c r="F1798" s="67" t="s">
        <v>1462</v>
      </c>
      <c r="G1798" s="69">
        <v>208</v>
      </c>
    </row>
    <row r="1799" spans="1:7">
      <c r="A1799" s="67" t="s">
        <v>3281</v>
      </c>
      <c r="B1799" s="70">
        <v>46201</v>
      </c>
      <c r="C1799" s="67" t="s">
        <v>1378</v>
      </c>
      <c r="D1799" s="67" t="s">
        <v>1551</v>
      </c>
      <c r="E1799" s="67" t="s">
        <v>1362</v>
      </c>
      <c r="F1799" s="67" t="s">
        <v>1460</v>
      </c>
      <c r="G1799" s="69">
        <v>16</v>
      </c>
    </row>
    <row r="1800" spans="1:7">
      <c r="A1800" s="67" t="s">
        <v>3282</v>
      </c>
      <c r="B1800" s="70">
        <v>46201</v>
      </c>
      <c r="C1800" s="67" t="s">
        <v>1381</v>
      </c>
      <c r="D1800" s="67" t="s">
        <v>365</v>
      </c>
      <c r="E1800" s="67" t="s">
        <v>1368</v>
      </c>
      <c r="F1800" s="67" t="s">
        <v>1462</v>
      </c>
      <c r="G1800" s="69">
        <v>441</v>
      </c>
    </row>
    <row r="1801" spans="1:7">
      <c r="A1801" s="67" t="s">
        <v>3283</v>
      </c>
      <c r="B1801" s="70">
        <v>46201</v>
      </c>
      <c r="C1801" s="67" t="s">
        <v>1381</v>
      </c>
      <c r="D1801" s="67" t="s">
        <v>358</v>
      </c>
      <c r="E1801" s="67" t="s">
        <v>1368</v>
      </c>
      <c r="F1801" s="67" t="s">
        <v>1462</v>
      </c>
      <c r="G1801" s="69">
        <v>499</v>
      </c>
    </row>
    <row r="1802" spans="1:7">
      <c r="A1802" s="67" t="s">
        <v>3284</v>
      </c>
      <c r="B1802" s="70">
        <v>46201</v>
      </c>
      <c r="C1802" s="67" t="s">
        <v>1384</v>
      </c>
      <c r="D1802" s="67" t="s">
        <v>1466</v>
      </c>
      <c r="E1802" s="67" t="s">
        <v>1386</v>
      </c>
      <c r="F1802" s="67" t="s">
        <v>1462</v>
      </c>
      <c r="G1802" s="69">
        <v>525</v>
      </c>
    </row>
    <row r="1803" spans="1:7">
      <c r="A1803" s="67" t="s">
        <v>3285</v>
      </c>
      <c r="B1803" s="70">
        <v>46201</v>
      </c>
      <c r="C1803" s="67" t="s">
        <v>1393</v>
      </c>
      <c r="D1803" s="67" t="s">
        <v>365</v>
      </c>
      <c r="E1803" s="67" t="s">
        <v>1368</v>
      </c>
      <c r="F1803" s="67" t="s">
        <v>1460</v>
      </c>
      <c r="G1803" s="69">
        <v>18</v>
      </c>
    </row>
    <row r="1804" spans="1:7">
      <c r="A1804" s="67" t="s">
        <v>3286</v>
      </c>
      <c r="B1804" s="70">
        <v>46201</v>
      </c>
      <c r="C1804" s="67" t="s">
        <v>1399</v>
      </c>
      <c r="D1804" s="67" t="s">
        <v>1459</v>
      </c>
      <c r="E1804" s="67" t="s">
        <v>1362</v>
      </c>
      <c r="F1804" s="67" t="s">
        <v>1460</v>
      </c>
      <c r="G1804" s="69">
        <v>9</v>
      </c>
    </row>
    <row r="1805" spans="1:7">
      <c r="A1805" s="67" t="s">
        <v>3287</v>
      </c>
      <c r="B1805" s="70">
        <v>46201</v>
      </c>
      <c r="C1805" s="67" t="s">
        <v>1404</v>
      </c>
      <c r="D1805" s="67" t="s">
        <v>363</v>
      </c>
      <c r="E1805" s="67" t="s">
        <v>1368</v>
      </c>
      <c r="F1805" s="67" t="s">
        <v>1462</v>
      </c>
      <c r="G1805" s="69">
        <v>531</v>
      </c>
    </row>
    <row r="1806" spans="1:7">
      <c r="A1806" s="67" t="s">
        <v>3288</v>
      </c>
      <c r="B1806" s="70">
        <v>46201</v>
      </c>
      <c r="C1806" s="67" t="s">
        <v>1404</v>
      </c>
      <c r="D1806" s="67" t="s">
        <v>1484</v>
      </c>
      <c r="E1806" s="67" t="s">
        <v>1470</v>
      </c>
      <c r="F1806" s="67" t="s">
        <v>1462</v>
      </c>
      <c r="G1806" s="69">
        <v>465</v>
      </c>
    </row>
    <row r="1807" spans="1:7">
      <c r="A1807" s="67" t="s">
        <v>3289</v>
      </c>
      <c r="B1807" s="70">
        <v>46201</v>
      </c>
      <c r="C1807" s="67" t="s">
        <v>1404</v>
      </c>
      <c r="D1807" s="67" t="s">
        <v>1484</v>
      </c>
      <c r="E1807" s="67" t="s">
        <v>1470</v>
      </c>
      <c r="F1807" s="67" t="s">
        <v>1462</v>
      </c>
      <c r="G1807" s="69">
        <v>496</v>
      </c>
    </row>
    <row r="1808" spans="1:7">
      <c r="A1808" s="67" t="s">
        <v>3290</v>
      </c>
      <c r="B1808" s="70">
        <v>46201</v>
      </c>
      <c r="C1808" s="67" t="s">
        <v>1411</v>
      </c>
      <c r="D1808" s="67" t="s">
        <v>1506</v>
      </c>
      <c r="E1808" s="67" t="s">
        <v>1482</v>
      </c>
      <c r="F1808" s="67" t="s">
        <v>1462</v>
      </c>
      <c r="G1808" s="69">
        <v>433</v>
      </c>
    </row>
    <row r="1809" spans="1:7">
      <c r="A1809" s="67" t="s">
        <v>3291</v>
      </c>
      <c r="B1809" s="70">
        <v>46201</v>
      </c>
      <c r="C1809" s="67" t="s">
        <v>1414</v>
      </c>
      <c r="D1809" s="67" t="s">
        <v>1459</v>
      </c>
      <c r="E1809" s="67" t="s">
        <v>1362</v>
      </c>
      <c r="F1809" s="67" t="s">
        <v>1462</v>
      </c>
      <c r="G1809" s="69">
        <v>266</v>
      </c>
    </row>
    <row r="1810" spans="1:7">
      <c r="A1810" s="67" t="s">
        <v>3292</v>
      </c>
      <c r="B1810" s="70">
        <v>46201</v>
      </c>
      <c r="C1810" s="67" t="s">
        <v>1425</v>
      </c>
      <c r="D1810" s="67" t="s">
        <v>1491</v>
      </c>
      <c r="E1810" s="67" t="s">
        <v>1470</v>
      </c>
      <c r="F1810" s="67" t="s">
        <v>1460</v>
      </c>
      <c r="G1810" s="69">
        <v>17</v>
      </c>
    </row>
    <row r="1811" spans="1:7">
      <c r="A1811" s="67" t="s">
        <v>3293</v>
      </c>
      <c r="B1811" s="70">
        <v>46201</v>
      </c>
      <c r="C1811" s="67" t="s">
        <v>1429</v>
      </c>
      <c r="D1811" s="67" t="s">
        <v>365</v>
      </c>
      <c r="E1811" s="67" t="s">
        <v>1368</v>
      </c>
      <c r="F1811" s="67" t="s">
        <v>1462</v>
      </c>
      <c r="G1811" s="69">
        <v>89</v>
      </c>
    </row>
    <row r="1812" spans="1:7">
      <c r="A1812" s="67" t="s">
        <v>3294</v>
      </c>
      <c r="B1812" s="70">
        <v>46201</v>
      </c>
      <c r="C1812" s="67" t="s">
        <v>1431</v>
      </c>
      <c r="D1812" s="67" t="s">
        <v>1520</v>
      </c>
      <c r="E1812" s="67" t="s">
        <v>1433</v>
      </c>
      <c r="F1812" s="67" t="s">
        <v>1462</v>
      </c>
      <c r="G1812" s="69">
        <v>222</v>
      </c>
    </row>
    <row r="1813" spans="1:7">
      <c r="A1813" s="67" t="s">
        <v>3295</v>
      </c>
      <c r="B1813" s="70">
        <v>46201</v>
      </c>
      <c r="C1813" s="67" t="s">
        <v>1444</v>
      </c>
      <c r="D1813" s="67" t="s">
        <v>1466</v>
      </c>
      <c r="E1813" s="67" t="s">
        <v>1386</v>
      </c>
      <c r="F1813" s="67" t="s">
        <v>1462</v>
      </c>
      <c r="G1813" s="69">
        <v>530</v>
      </c>
    </row>
    <row r="1814" spans="1:7">
      <c r="A1814" s="67" t="s">
        <v>3296</v>
      </c>
      <c r="B1814" s="70">
        <v>46202</v>
      </c>
      <c r="C1814" s="67" t="s">
        <v>1375</v>
      </c>
      <c r="D1814" s="67" t="s">
        <v>367</v>
      </c>
      <c r="E1814" s="67" t="s">
        <v>1368</v>
      </c>
      <c r="F1814" s="67" t="s">
        <v>1462</v>
      </c>
      <c r="G1814" s="69">
        <v>551</v>
      </c>
    </row>
    <row r="1815" spans="1:7">
      <c r="A1815" s="67" t="s">
        <v>3297</v>
      </c>
      <c r="B1815" s="70">
        <v>46202</v>
      </c>
      <c r="C1815" s="67" t="s">
        <v>1378</v>
      </c>
      <c r="D1815" s="67" t="s">
        <v>358</v>
      </c>
      <c r="E1815" s="67" t="s">
        <v>1368</v>
      </c>
      <c r="F1815" s="67" t="s">
        <v>1460</v>
      </c>
      <c r="G1815" s="69">
        <v>9</v>
      </c>
    </row>
    <row r="1816" spans="1:7">
      <c r="A1816" s="67" t="s">
        <v>3298</v>
      </c>
      <c r="B1816" s="70">
        <v>46202</v>
      </c>
      <c r="C1816" s="67" t="s">
        <v>1399</v>
      </c>
      <c r="D1816" s="67" t="s">
        <v>1551</v>
      </c>
      <c r="E1816" s="67" t="s">
        <v>1362</v>
      </c>
      <c r="F1816" s="67" t="s">
        <v>1462</v>
      </c>
      <c r="G1816" s="69">
        <v>106</v>
      </c>
    </row>
    <row r="1817" spans="1:7">
      <c r="A1817" s="67" t="s">
        <v>3299</v>
      </c>
      <c r="B1817" s="70">
        <v>46202</v>
      </c>
      <c r="C1817" s="67" t="s">
        <v>1399</v>
      </c>
      <c r="D1817" s="67" t="s">
        <v>1551</v>
      </c>
      <c r="E1817" s="67" t="s">
        <v>1362</v>
      </c>
      <c r="F1817" s="67" t="s">
        <v>1460</v>
      </c>
      <c r="G1817" s="69">
        <v>20</v>
      </c>
    </row>
    <row r="1818" spans="1:7">
      <c r="A1818" s="67" t="s">
        <v>3300</v>
      </c>
      <c r="B1818" s="70">
        <v>46202</v>
      </c>
      <c r="C1818" s="67" t="s">
        <v>1404</v>
      </c>
      <c r="D1818" s="67" t="s">
        <v>353</v>
      </c>
      <c r="E1818" s="67" t="s">
        <v>1368</v>
      </c>
      <c r="F1818" s="67" t="s">
        <v>1462</v>
      </c>
      <c r="G1818" s="69">
        <v>176</v>
      </c>
    </row>
    <row r="1819" spans="1:7">
      <c r="A1819" s="67" t="s">
        <v>3301</v>
      </c>
      <c r="B1819" s="70">
        <v>46202</v>
      </c>
      <c r="C1819" s="67" t="s">
        <v>1404</v>
      </c>
      <c r="D1819" s="67" t="s">
        <v>369</v>
      </c>
      <c r="E1819" s="67" t="s">
        <v>1368</v>
      </c>
      <c r="F1819" s="67" t="s">
        <v>1460</v>
      </c>
      <c r="G1819" s="69">
        <v>8</v>
      </c>
    </row>
    <row r="1820" spans="1:7">
      <c r="A1820" s="67" t="s">
        <v>3302</v>
      </c>
      <c r="B1820" s="70">
        <v>46202</v>
      </c>
      <c r="C1820" s="67" t="s">
        <v>1411</v>
      </c>
      <c r="D1820" s="67" t="s">
        <v>1481</v>
      </c>
      <c r="E1820" s="67" t="s">
        <v>1482</v>
      </c>
      <c r="F1820" s="67" t="s">
        <v>1462</v>
      </c>
      <c r="G1820" s="69">
        <v>448</v>
      </c>
    </row>
    <row r="1821" spans="1:7">
      <c r="A1821" s="67" t="s">
        <v>3303</v>
      </c>
      <c r="B1821" s="70">
        <v>46202</v>
      </c>
      <c r="C1821" s="67" t="s">
        <v>1414</v>
      </c>
      <c r="D1821" s="67" t="s">
        <v>1511</v>
      </c>
      <c r="E1821" s="67" t="s">
        <v>1470</v>
      </c>
      <c r="F1821" s="67" t="s">
        <v>1462</v>
      </c>
      <c r="G1821" s="69">
        <v>186</v>
      </c>
    </row>
    <row r="1822" spans="1:7">
      <c r="A1822" s="67" t="s">
        <v>3304</v>
      </c>
      <c r="B1822" s="70">
        <v>46202</v>
      </c>
      <c r="C1822" s="67" t="s">
        <v>1414</v>
      </c>
      <c r="D1822" s="67" t="s">
        <v>1491</v>
      </c>
      <c r="E1822" s="67" t="s">
        <v>1470</v>
      </c>
      <c r="F1822" s="67" t="s">
        <v>1462</v>
      </c>
      <c r="G1822" s="69">
        <v>374</v>
      </c>
    </row>
    <row r="1823" spans="1:7">
      <c r="A1823" s="67" t="s">
        <v>3305</v>
      </c>
      <c r="B1823" s="70">
        <v>46202</v>
      </c>
      <c r="C1823" s="67" t="s">
        <v>1425</v>
      </c>
      <c r="D1823" s="67" t="s">
        <v>1484</v>
      </c>
      <c r="E1823" s="67" t="s">
        <v>1470</v>
      </c>
      <c r="F1823" s="67" t="s">
        <v>1462</v>
      </c>
      <c r="G1823" s="69">
        <v>91</v>
      </c>
    </row>
    <row r="1824" spans="1:7">
      <c r="A1824" s="67" t="s">
        <v>3306</v>
      </c>
      <c r="B1824" s="70">
        <v>46202</v>
      </c>
      <c r="C1824" s="67" t="s">
        <v>1425</v>
      </c>
      <c r="D1824" s="67" t="s">
        <v>1469</v>
      </c>
      <c r="E1824" s="67" t="s">
        <v>1470</v>
      </c>
      <c r="F1824" s="67" t="s">
        <v>1462</v>
      </c>
      <c r="G1824" s="69">
        <v>444</v>
      </c>
    </row>
    <row r="1825" spans="1:7">
      <c r="A1825" s="67" t="s">
        <v>3307</v>
      </c>
      <c r="B1825" s="70">
        <v>46202</v>
      </c>
      <c r="C1825" s="67" t="s">
        <v>1427</v>
      </c>
      <c r="D1825" s="67" t="s">
        <v>1466</v>
      </c>
      <c r="E1825" s="67" t="s">
        <v>1386</v>
      </c>
      <c r="F1825" s="67" t="s">
        <v>1462</v>
      </c>
      <c r="G1825" s="69">
        <v>348</v>
      </c>
    </row>
    <row r="1826" spans="1:7">
      <c r="A1826" s="67" t="s">
        <v>3308</v>
      </c>
      <c r="B1826" s="70">
        <v>46202</v>
      </c>
      <c r="C1826" s="67" t="s">
        <v>1444</v>
      </c>
      <c r="D1826" s="67" t="s">
        <v>356</v>
      </c>
      <c r="E1826" s="67" t="s">
        <v>1368</v>
      </c>
      <c r="F1826" s="67" t="s">
        <v>1460</v>
      </c>
      <c r="G1826" s="69">
        <v>29</v>
      </c>
    </row>
    <row r="1827" spans="1:7">
      <c r="A1827" s="67" t="s">
        <v>3309</v>
      </c>
      <c r="B1827" s="70">
        <v>46203</v>
      </c>
      <c r="C1827" s="67" t="s">
        <v>1359</v>
      </c>
      <c r="D1827" s="67" t="s">
        <v>1551</v>
      </c>
      <c r="E1827" s="67" t="s">
        <v>1362</v>
      </c>
      <c r="F1827" s="67" t="s">
        <v>1462</v>
      </c>
      <c r="G1827" s="69">
        <v>333</v>
      </c>
    </row>
    <row r="1828" spans="1:7">
      <c r="A1828" s="67" t="s">
        <v>3310</v>
      </c>
      <c r="B1828" s="70">
        <v>46203</v>
      </c>
      <c r="C1828" s="67" t="s">
        <v>1359</v>
      </c>
      <c r="D1828" s="67" t="s">
        <v>1602</v>
      </c>
      <c r="E1828" s="67" t="s">
        <v>1386</v>
      </c>
      <c r="F1828" s="67" t="s">
        <v>1462</v>
      </c>
      <c r="G1828" s="69">
        <v>254</v>
      </c>
    </row>
    <row r="1829" spans="1:7">
      <c r="A1829" s="67" t="s">
        <v>3311</v>
      </c>
      <c r="B1829" s="70">
        <v>46203</v>
      </c>
      <c r="C1829" s="67" t="s">
        <v>1366</v>
      </c>
      <c r="D1829" s="67" t="s">
        <v>356</v>
      </c>
      <c r="E1829" s="67" t="s">
        <v>1368</v>
      </c>
      <c r="F1829" s="67" t="s">
        <v>1488</v>
      </c>
      <c r="G1829" s="69">
        <v>9</v>
      </c>
    </row>
    <row r="1830" spans="1:7">
      <c r="A1830" s="67" t="s">
        <v>3312</v>
      </c>
      <c r="B1830" s="70">
        <v>46203</v>
      </c>
      <c r="C1830" s="67" t="s">
        <v>1375</v>
      </c>
      <c r="D1830" s="67" t="s">
        <v>356</v>
      </c>
      <c r="E1830" s="67" t="s">
        <v>1368</v>
      </c>
      <c r="F1830" s="67" t="s">
        <v>1462</v>
      </c>
      <c r="G1830" s="69">
        <v>366</v>
      </c>
    </row>
    <row r="1831" spans="1:7">
      <c r="A1831" s="67" t="s">
        <v>3313</v>
      </c>
      <c r="B1831" s="70">
        <v>46203</v>
      </c>
      <c r="C1831" s="67" t="s">
        <v>1389</v>
      </c>
      <c r="D1831" s="67" t="s">
        <v>367</v>
      </c>
      <c r="E1831" s="67" t="s">
        <v>1368</v>
      </c>
      <c r="F1831" s="67" t="s">
        <v>1462</v>
      </c>
      <c r="G1831" s="69">
        <v>156</v>
      </c>
    </row>
    <row r="1832" spans="1:7">
      <c r="A1832" s="67" t="s">
        <v>3314</v>
      </c>
      <c r="B1832" s="70">
        <v>46203</v>
      </c>
      <c r="C1832" s="67" t="s">
        <v>1389</v>
      </c>
      <c r="D1832" s="67" t="s">
        <v>367</v>
      </c>
      <c r="E1832" s="67" t="s">
        <v>1368</v>
      </c>
      <c r="F1832" s="67" t="s">
        <v>1462</v>
      </c>
      <c r="G1832" s="69">
        <v>317</v>
      </c>
    </row>
    <row r="1833" spans="1:7">
      <c r="A1833" s="67" t="s">
        <v>3315</v>
      </c>
      <c r="B1833" s="70">
        <v>46203</v>
      </c>
      <c r="C1833" s="67" t="s">
        <v>1399</v>
      </c>
      <c r="D1833" s="67" t="s">
        <v>1551</v>
      </c>
      <c r="E1833" s="67" t="s">
        <v>1362</v>
      </c>
      <c r="F1833" s="67" t="s">
        <v>1462</v>
      </c>
      <c r="G1833" s="69">
        <v>314</v>
      </c>
    </row>
    <row r="1834" spans="1:7">
      <c r="A1834" s="67" t="s">
        <v>3316</v>
      </c>
      <c r="B1834" s="70">
        <v>46203</v>
      </c>
      <c r="C1834" s="67" t="s">
        <v>1404</v>
      </c>
      <c r="D1834" s="67" t="s">
        <v>1484</v>
      </c>
      <c r="E1834" s="67" t="s">
        <v>1470</v>
      </c>
      <c r="F1834" s="67" t="s">
        <v>1462</v>
      </c>
      <c r="G1834" s="69">
        <v>126</v>
      </c>
    </row>
    <row r="1835" spans="1:7">
      <c r="A1835" s="67" t="s">
        <v>3317</v>
      </c>
      <c r="B1835" s="70">
        <v>46203</v>
      </c>
      <c r="C1835" s="67" t="s">
        <v>1404</v>
      </c>
      <c r="D1835" s="67" t="s">
        <v>365</v>
      </c>
      <c r="E1835" s="67" t="s">
        <v>1368</v>
      </c>
      <c r="F1835" s="67" t="s">
        <v>1460</v>
      </c>
      <c r="G1835" s="69">
        <v>20</v>
      </c>
    </row>
    <row r="1836" spans="1:7">
      <c r="A1836" s="67" t="s">
        <v>3318</v>
      </c>
      <c r="B1836" s="70">
        <v>46203</v>
      </c>
      <c r="C1836" s="67" t="s">
        <v>1404</v>
      </c>
      <c r="D1836" s="67" t="s">
        <v>365</v>
      </c>
      <c r="E1836" s="67" t="s">
        <v>1368</v>
      </c>
      <c r="F1836" s="67" t="s">
        <v>1462</v>
      </c>
      <c r="G1836" s="69">
        <v>322</v>
      </c>
    </row>
    <row r="1837" spans="1:7">
      <c r="A1837" s="67" t="s">
        <v>3319</v>
      </c>
      <c r="B1837" s="70">
        <v>46203</v>
      </c>
      <c r="C1837" s="67" t="s">
        <v>1406</v>
      </c>
      <c r="D1837" s="67" t="s">
        <v>358</v>
      </c>
      <c r="E1837" s="67" t="s">
        <v>1368</v>
      </c>
      <c r="F1837" s="67" t="s">
        <v>1462</v>
      </c>
      <c r="G1837" s="69">
        <v>143</v>
      </c>
    </row>
    <row r="1838" spans="1:7">
      <c r="A1838" s="67" t="s">
        <v>3320</v>
      </c>
      <c r="B1838" s="70">
        <v>46203</v>
      </c>
      <c r="C1838" s="67" t="s">
        <v>1408</v>
      </c>
      <c r="D1838" s="67" t="s">
        <v>1487</v>
      </c>
      <c r="E1838" s="67" t="s">
        <v>1410</v>
      </c>
      <c r="F1838" s="67" t="s">
        <v>1462</v>
      </c>
      <c r="G1838" s="69">
        <v>396</v>
      </c>
    </row>
    <row r="1839" spans="1:7">
      <c r="A1839" s="67" t="s">
        <v>3321</v>
      </c>
      <c r="B1839" s="70">
        <v>46203</v>
      </c>
      <c r="C1839" s="67" t="s">
        <v>1411</v>
      </c>
      <c r="D1839" s="67" t="s">
        <v>353</v>
      </c>
      <c r="E1839" s="67" t="s">
        <v>1368</v>
      </c>
      <c r="F1839" s="67" t="s">
        <v>1462</v>
      </c>
      <c r="G1839" s="69">
        <v>400</v>
      </c>
    </row>
    <row r="1840" spans="1:7">
      <c r="A1840" s="67" t="s">
        <v>3322</v>
      </c>
      <c r="B1840" s="70">
        <v>46203</v>
      </c>
      <c r="C1840" s="67" t="s">
        <v>1411</v>
      </c>
      <c r="D1840" s="67" t="s">
        <v>1481</v>
      </c>
      <c r="E1840" s="67" t="s">
        <v>1482</v>
      </c>
      <c r="F1840" s="67" t="s">
        <v>1488</v>
      </c>
      <c r="G1840" s="69">
        <v>3</v>
      </c>
    </row>
    <row r="1841" spans="1:7">
      <c r="A1841" s="67" t="s">
        <v>3323</v>
      </c>
      <c r="B1841" s="70">
        <v>46203</v>
      </c>
      <c r="C1841" s="67" t="s">
        <v>1414</v>
      </c>
      <c r="D1841" s="67" t="s">
        <v>1484</v>
      </c>
      <c r="E1841" s="67" t="s">
        <v>1470</v>
      </c>
      <c r="F1841" s="67" t="s">
        <v>1462</v>
      </c>
      <c r="G1841" s="69">
        <v>554</v>
      </c>
    </row>
    <row r="1842" spans="1:7">
      <c r="A1842" s="67" t="s">
        <v>3324</v>
      </c>
      <c r="B1842" s="70">
        <v>46203</v>
      </c>
      <c r="C1842" s="67" t="s">
        <v>1423</v>
      </c>
      <c r="D1842" s="67" t="s">
        <v>1743</v>
      </c>
      <c r="E1842" s="67" t="s">
        <v>1410</v>
      </c>
      <c r="F1842" s="67" t="s">
        <v>1462</v>
      </c>
      <c r="G1842" s="69">
        <v>101</v>
      </c>
    </row>
    <row r="1843" spans="1:7">
      <c r="A1843" s="67" t="s">
        <v>3325</v>
      </c>
      <c r="B1843" s="70">
        <v>46203</v>
      </c>
      <c r="C1843" s="67" t="s">
        <v>1425</v>
      </c>
      <c r="D1843" s="67" t="s">
        <v>1551</v>
      </c>
      <c r="E1843" s="67" t="s">
        <v>1362</v>
      </c>
      <c r="F1843" s="67" t="s">
        <v>1462</v>
      </c>
      <c r="G1843" s="69">
        <v>352</v>
      </c>
    </row>
    <row r="1844" spans="1:7">
      <c r="A1844" s="67" t="s">
        <v>3326</v>
      </c>
      <c r="B1844" s="70">
        <v>46204</v>
      </c>
      <c r="C1844" s="67" t="s">
        <v>1359</v>
      </c>
      <c r="D1844" s="67" t="s">
        <v>1476</v>
      </c>
      <c r="E1844" s="67" t="s">
        <v>1362</v>
      </c>
      <c r="F1844" s="67" t="s">
        <v>1462</v>
      </c>
      <c r="G1844" s="69">
        <v>221</v>
      </c>
    </row>
    <row r="1845" spans="1:7">
      <c r="A1845" s="67" t="s">
        <v>3327</v>
      </c>
      <c r="B1845" s="70">
        <v>46204</v>
      </c>
      <c r="C1845" s="67" t="s">
        <v>1359</v>
      </c>
      <c r="D1845" s="67" t="s">
        <v>1466</v>
      </c>
      <c r="E1845" s="67" t="s">
        <v>1386</v>
      </c>
      <c r="F1845" s="67" t="s">
        <v>1462</v>
      </c>
      <c r="G1845" s="69">
        <v>475</v>
      </c>
    </row>
    <row r="1846" spans="1:7">
      <c r="A1846" s="67" t="s">
        <v>3328</v>
      </c>
      <c r="B1846" s="70">
        <v>46204</v>
      </c>
      <c r="C1846" s="67" t="s">
        <v>1366</v>
      </c>
      <c r="D1846" s="67" t="s">
        <v>353</v>
      </c>
      <c r="E1846" s="67" t="s">
        <v>1368</v>
      </c>
      <c r="F1846" s="67" t="s">
        <v>1462</v>
      </c>
      <c r="G1846" s="69">
        <v>149</v>
      </c>
    </row>
    <row r="1847" spans="1:7">
      <c r="A1847" s="67" t="s">
        <v>3329</v>
      </c>
      <c r="B1847" s="70">
        <v>46204</v>
      </c>
      <c r="C1847" s="67" t="s">
        <v>1366</v>
      </c>
      <c r="D1847" s="67" t="s">
        <v>356</v>
      </c>
      <c r="E1847" s="67" t="s">
        <v>1368</v>
      </c>
      <c r="F1847" s="67" t="s">
        <v>1460</v>
      </c>
      <c r="G1847" s="69">
        <v>11</v>
      </c>
    </row>
    <row r="1848" spans="1:7">
      <c r="A1848" s="67" t="s">
        <v>3330</v>
      </c>
      <c r="B1848" s="70">
        <v>46204</v>
      </c>
      <c r="C1848" s="67" t="s">
        <v>1366</v>
      </c>
      <c r="D1848" s="67" t="s">
        <v>1469</v>
      </c>
      <c r="E1848" s="67" t="s">
        <v>1470</v>
      </c>
      <c r="F1848" s="67" t="s">
        <v>1462</v>
      </c>
      <c r="G1848" s="69">
        <v>516</v>
      </c>
    </row>
    <row r="1849" spans="1:7">
      <c r="A1849" s="67" t="s">
        <v>3331</v>
      </c>
      <c r="B1849" s="70">
        <v>46204</v>
      </c>
      <c r="C1849" s="67" t="s">
        <v>1371</v>
      </c>
      <c r="D1849" s="67" t="s">
        <v>1466</v>
      </c>
      <c r="E1849" s="67" t="s">
        <v>1386</v>
      </c>
      <c r="F1849" s="67" t="s">
        <v>1462</v>
      </c>
      <c r="G1849" s="69">
        <v>437</v>
      </c>
    </row>
    <row r="1850" spans="1:7">
      <c r="A1850" s="67" t="s">
        <v>3332</v>
      </c>
      <c r="B1850" s="70">
        <v>46204</v>
      </c>
      <c r="C1850" s="67" t="s">
        <v>1371</v>
      </c>
      <c r="D1850" s="67" t="s">
        <v>1551</v>
      </c>
      <c r="E1850" s="67" t="s">
        <v>1362</v>
      </c>
      <c r="F1850" s="67" t="s">
        <v>1460</v>
      </c>
      <c r="G1850" s="69">
        <v>30</v>
      </c>
    </row>
    <row r="1851" spans="1:7">
      <c r="A1851" s="67" t="s">
        <v>3333</v>
      </c>
      <c r="B1851" s="70">
        <v>46204</v>
      </c>
      <c r="C1851" s="67" t="s">
        <v>1371</v>
      </c>
      <c r="D1851" s="67" t="s">
        <v>1459</v>
      </c>
      <c r="E1851" s="67" t="s">
        <v>1362</v>
      </c>
      <c r="F1851" s="67" t="s">
        <v>1460</v>
      </c>
      <c r="G1851" s="69">
        <v>12</v>
      </c>
    </row>
    <row r="1852" spans="1:7">
      <c r="A1852" s="67" t="s">
        <v>3334</v>
      </c>
      <c r="B1852" s="70">
        <v>46204</v>
      </c>
      <c r="C1852" s="67" t="s">
        <v>1381</v>
      </c>
      <c r="D1852" s="67" t="s">
        <v>369</v>
      </c>
      <c r="E1852" s="67" t="s">
        <v>1368</v>
      </c>
      <c r="F1852" s="67" t="s">
        <v>1462</v>
      </c>
      <c r="G1852" s="69">
        <v>417</v>
      </c>
    </row>
    <row r="1853" spans="1:7">
      <c r="A1853" s="67" t="s">
        <v>3335</v>
      </c>
      <c r="B1853" s="70">
        <v>46204</v>
      </c>
      <c r="C1853" s="67" t="s">
        <v>1384</v>
      </c>
      <c r="D1853" s="67" t="s">
        <v>1466</v>
      </c>
      <c r="E1853" s="67" t="s">
        <v>1386</v>
      </c>
      <c r="F1853" s="67" t="s">
        <v>1462</v>
      </c>
      <c r="G1853" s="69">
        <v>252</v>
      </c>
    </row>
    <row r="1854" spans="1:7">
      <c r="A1854" s="67" t="s">
        <v>3336</v>
      </c>
      <c r="B1854" s="70">
        <v>46204</v>
      </c>
      <c r="C1854" s="67" t="s">
        <v>1393</v>
      </c>
      <c r="D1854" s="67" t="s">
        <v>363</v>
      </c>
      <c r="E1854" s="67" t="s">
        <v>1368</v>
      </c>
      <c r="F1854" s="67" t="s">
        <v>1460</v>
      </c>
      <c r="G1854" s="69">
        <v>17</v>
      </c>
    </row>
    <row r="1855" spans="1:7">
      <c r="A1855" s="67" t="s">
        <v>3337</v>
      </c>
      <c r="B1855" s="70">
        <v>46204</v>
      </c>
      <c r="C1855" s="67" t="s">
        <v>1399</v>
      </c>
      <c r="D1855" s="67" t="s">
        <v>1459</v>
      </c>
      <c r="E1855" s="67" t="s">
        <v>1362</v>
      </c>
      <c r="F1855" s="67" t="s">
        <v>1462</v>
      </c>
      <c r="G1855" s="69">
        <v>107</v>
      </c>
    </row>
    <row r="1856" spans="1:7">
      <c r="A1856" s="67" t="s">
        <v>3338</v>
      </c>
      <c r="B1856" s="70">
        <v>46204</v>
      </c>
      <c r="C1856" s="67" t="s">
        <v>1404</v>
      </c>
      <c r="D1856" s="67" t="s">
        <v>1484</v>
      </c>
      <c r="E1856" s="67" t="s">
        <v>1470</v>
      </c>
      <c r="F1856" s="67" t="s">
        <v>1462</v>
      </c>
      <c r="G1856" s="69">
        <v>387</v>
      </c>
    </row>
    <row r="1857" spans="1:7">
      <c r="A1857" s="67" t="s">
        <v>3339</v>
      </c>
      <c r="B1857" s="70">
        <v>46204</v>
      </c>
      <c r="C1857" s="67" t="s">
        <v>1448</v>
      </c>
      <c r="D1857" s="67" t="s">
        <v>1618</v>
      </c>
      <c r="E1857" s="67" t="s">
        <v>1433</v>
      </c>
      <c r="F1857" s="67" t="s">
        <v>1462</v>
      </c>
      <c r="G1857" s="69">
        <v>517</v>
      </c>
    </row>
    <row r="1858" spans="1:7">
      <c r="A1858" s="67" t="s">
        <v>3340</v>
      </c>
      <c r="B1858" s="70">
        <v>46205</v>
      </c>
      <c r="C1858" s="67" t="s">
        <v>1359</v>
      </c>
      <c r="D1858" s="67" t="s">
        <v>1466</v>
      </c>
      <c r="E1858" s="67" t="s">
        <v>1386</v>
      </c>
      <c r="F1858" s="67" t="s">
        <v>1462</v>
      </c>
      <c r="G1858" s="69">
        <v>513</v>
      </c>
    </row>
    <row r="1859" spans="1:7">
      <c r="A1859" s="67" t="s">
        <v>3341</v>
      </c>
      <c r="B1859" s="70">
        <v>46205</v>
      </c>
      <c r="C1859" s="67" t="s">
        <v>1359</v>
      </c>
      <c r="D1859" s="67" t="s">
        <v>1551</v>
      </c>
      <c r="E1859" s="67" t="s">
        <v>1362</v>
      </c>
      <c r="F1859" s="67" t="s">
        <v>1462</v>
      </c>
      <c r="G1859" s="69">
        <v>201</v>
      </c>
    </row>
    <row r="1860" spans="1:7">
      <c r="A1860" s="67" t="s">
        <v>3342</v>
      </c>
      <c r="B1860" s="70">
        <v>46205</v>
      </c>
      <c r="C1860" s="67" t="s">
        <v>1359</v>
      </c>
      <c r="D1860" s="67" t="s">
        <v>1551</v>
      </c>
      <c r="E1860" s="67" t="s">
        <v>1362</v>
      </c>
      <c r="F1860" s="67" t="s">
        <v>1462</v>
      </c>
      <c r="G1860" s="69">
        <v>496</v>
      </c>
    </row>
    <row r="1861" spans="1:7">
      <c r="A1861" s="67" t="s">
        <v>3343</v>
      </c>
      <c r="B1861" s="70">
        <v>46205</v>
      </c>
      <c r="C1861" s="67" t="s">
        <v>1366</v>
      </c>
      <c r="D1861" s="67" t="s">
        <v>356</v>
      </c>
      <c r="E1861" s="67" t="s">
        <v>1368</v>
      </c>
      <c r="F1861" s="67" t="s">
        <v>1462</v>
      </c>
      <c r="G1861" s="69">
        <v>28</v>
      </c>
    </row>
    <row r="1862" spans="1:7">
      <c r="A1862" s="67" t="s">
        <v>3344</v>
      </c>
      <c r="B1862" s="70">
        <v>46205</v>
      </c>
      <c r="C1862" s="67" t="s">
        <v>1371</v>
      </c>
      <c r="D1862" s="67" t="s">
        <v>1551</v>
      </c>
      <c r="E1862" s="67" t="s">
        <v>1362</v>
      </c>
      <c r="F1862" s="67" t="s">
        <v>1462</v>
      </c>
      <c r="G1862" s="69">
        <v>140</v>
      </c>
    </row>
    <row r="1863" spans="1:7">
      <c r="A1863" s="67" t="s">
        <v>3345</v>
      </c>
      <c r="B1863" s="70">
        <v>46205</v>
      </c>
      <c r="C1863" s="67" t="s">
        <v>1371</v>
      </c>
      <c r="D1863" s="67" t="s">
        <v>1551</v>
      </c>
      <c r="E1863" s="67" t="s">
        <v>1362</v>
      </c>
      <c r="F1863" s="67" t="s">
        <v>1462</v>
      </c>
      <c r="G1863" s="69">
        <v>250</v>
      </c>
    </row>
    <row r="1864" spans="1:7">
      <c r="A1864" s="67" t="s">
        <v>3346</v>
      </c>
      <c r="B1864" s="70">
        <v>46205</v>
      </c>
      <c r="C1864" s="67" t="s">
        <v>1375</v>
      </c>
      <c r="D1864" s="67" t="s">
        <v>363</v>
      </c>
      <c r="E1864" s="67" t="s">
        <v>1368</v>
      </c>
      <c r="F1864" s="67" t="s">
        <v>1462</v>
      </c>
      <c r="G1864" s="69">
        <v>143</v>
      </c>
    </row>
    <row r="1865" spans="1:7">
      <c r="A1865" s="67" t="s">
        <v>3347</v>
      </c>
      <c r="B1865" s="70">
        <v>46205</v>
      </c>
      <c r="C1865" s="67" t="s">
        <v>1381</v>
      </c>
      <c r="D1865" s="67" t="s">
        <v>353</v>
      </c>
      <c r="E1865" s="67" t="s">
        <v>1368</v>
      </c>
      <c r="F1865" s="67" t="s">
        <v>1462</v>
      </c>
      <c r="G1865" s="69">
        <v>418</v>
      </c>
    </row>
    <row r="1866" spans="1:7">
      <c r="A1866" s="67" t="s">
        <v>3348</v>
      </c>
      <c r="B1866" s="70">
        <v>46205</v>
      </c>
      <c r="C1866" s="67" t="s">
        <v>1381</v>
      </c>
      <c r="D1866" s="67" t="s">
        <v>353</v>
      </c>
      <c r="E1866" s="67" t="s">
        <v>1368</v>
      </c>
      <c r="F1866" s="67" t="s">
        <v>1488</v>
      </c>
      <c r="G1866" s="69">
        <v>10</v>
      </c>
    </row>
    <row r="1867" spans="1:7">
      <c r="A1867" s="67" t="s">
        <v>3349</v>
      </c>
      <c r="B1867" s="70">
        <v>46205</v>
      </c>
      <c r="C1867" s="67" t="s">
        <v>1381</v>
      </c>
      <c r="D1867" s="67" t="s">
        <v>353</v>
      </c>
      <c r="E1867" s="67" t="s">
        <v>1368</v>
      </c>
      <c r="F1867" s="67" t="s">
        <v>1462</v>
      </c>
      <c r="G1867" s="69">
        <v>298</v>
      </c>
    </row>
    <row r="1868" spans="1:7">
      <c r="A1868" s="67" t="s">
        <v>3350</v>
      </c>
      <c r="B1868" s="70">
        <v>46205</v>
      </c>
      <c r="C1868" s="67" t="s">
        <v>1384</v>
      </c>
      <c r="D1868" s="67" t="s">
        <v>1466</v>
      </c>
      <c r="E1868" s="67" t="s">
        <v>1386</v>
      </c>
      <c r="F1868" s="67" t="s">
        <v>1462</v>
      </c>
      <c r="G1868" s="69">
        <v>477</v>
      </c>
    </row>
    <row r="1869" spans="1:7">
      <c r="A1869" s="67" t="s">
        <v>3351</v>
      </c>
      <c r="B1869" s="70">
        <v>46205</v>
      </c>
      <c r="C1869" s="67" t="s">
        <v>1393</v>
      </c>
      <c r="D1869" s="67" t="s">
        <v>353</v>
      </c>
      <c r="E1869" s="67" t="s">
        <v>1368</v>
      </c>
      <c r="F1869" s="67" t="s">
        <v>1460</v>
      </c>
      <c r="G1869" s="69">
        <v>16</v>
      </c>
    </row>
    <row r="1870" spans="1:7">
      <c r="A1870" s="67" t="s">
        <v>3352</v>
      </c>
      <c r="B1870" s="70">
        <v>46205</v>
      </c>
      <c r="C1870" s="67" t="s">
        <v>1404</v>
      </c>
      <c r="D1870" s="67" t="s">
        <v>367</v>
      </c>
      <c r="E1870" s="67" t="s">
        <v>1368</v>
      </c>
      <c r="F1870" s="67" t="s">
        <v>1462</v>
      </c>
      <c r="G1870" s="69">
        <v>86</v>
      </c>
    </row>
    <row r="1871" spans="1:7">
      <c r="A1871" s="67" t="s">
        <v>3353</v>
      </c>
      <c r="B1871" s="70">
        <v>46205</v>
      </c>
      <c r="C1871" s="67" t="s">
        <v>1411</v>
      </c>
      <c r="D1871" s="67" t="s">
        <v>1506</v>
      </c>
      <c r="E1871" s="67" t="s">
        <v>1482</v>
      </c>
      <c r="F1871" s="67" t="s">
        <v>1462</v>
      </c>
      <c r="G1871" s="69">
        <v>327</v>
      </c>
    </row>
    <row r="1872" spans="1:7">
      <c r="A1872" s="67" t="s">
        <v>3354</v>
      </c>
      <c r="B1872" s="70">
        <v>46205</v>
      </c>
      <c r="C1872" s="67" t="s">
        <v>1411</v>
      </c>
      <c r="D1872" s="67" t="s">
        <v>1481</v>
      </c>
      <c r="E1872" s="67" t="s">
        <v>1482</v>
      </c>
      <c r="F1872" s="67" t="s">
        <v>1462</v>
      </c>
      <c r="G1872" s="69">
        <v>103</v>
      </c>
    </row>
    <row r="1873" spans="1:7">
      <c r="A1873" s="67" t="s">
        <v>3355</v>
      </c>
      <c r="B1873" s="70">
        <v>46205</v>
      </c>
      <c r="C1873" s="67" t="s">
        <v>1411</v>
      </c>
      <c r="D1873" s="67" t="s">
        <v>1481</v>
      </c>
      <c r="E1873" s="67" t="s">
        <v>1482</v>
      </c>
      <c r="F1873" s="67" t="s">
        <v>1460</v>
      </c>
      <c r="G1873" s="69">
        <v>5</v>
      </c>
    </row>
    <row r="1874" spans="1:7">
      <c r="A1874" s="67" t="s">
        <v>3356</v>
      </c>
      <c r="B1874" s="70">
        <v>46205</v>
      </c>
      <c r="C1874" s="67" t="s">
        <v>1414</v>
      </c>
      <c r="D1874" s="67" t="s">
        <v>1469</v>
      </c>
      <c r="E1874" s="67" t="s">
        <v>1470</v>
      </c>
      <c r="F1874" s="67" t="s">
        <v>1462</v>
      </c>
      <c r="G1874" s="69">
        <v>548</v>
      </c>
    </row>
    <row r="1875" spans="1:7">
      <c r="A1875" s="67" t="s">
        <v>3357</v>
      </c>
      <c r="B1875" s="70">
        <v>46205</v>
      </c>
      <c r="C1875" s="67" t="s">
        <v>1444</v>
      </c>
      <c r="D1875" s="67" t="s">
        <v>1551</v>
      </c>
      <c r="E1875" s="67" t="s">
        <v>1362</v>
      </c>
      <c r="F1875" s="67" t="s">
        <v>1462</v>
      </c>
      <c r="G1875" s="69">
        <v>432</v>
      </c>
    </row>
    <row r="1876" spans="1:7">
      <c r="A1876" s="67" t="s">
        <v>3358</v>
      </c>
      <c r="B1876" s="70">
        <v>46205</v>
      </c>
      <c r="C1876" s="67" t="s">
        <v>1446</v>
      </c>
      <c r="D1876" s="67" t="s">
        <v>356</v>
      </c>
      <c r="E1876" s="67" t="s">
        <v>1368</v>
      </c>
      <c r="F1876" s="67" t="s">
        <v>1462</v>
      </c>
      <c r="G1876" s="69">
        <v>555</v>
      </c>
    </row>
    <row r="1877" spans="1:7">
      <c r="A1877" s="67" t="s">
        <v>3359</v>
      </c>
      <c r="B1877" s="70">
        <v>46206</v>
      </c>
      <c r="C1877" s="67" t="s">
        <v>1359</v>
      </c>
      <c r="D1877" s="67" t="s">
        <v>367</v>
      </c>
      <c r="E1877" s="67" t="s">
        <v>1368</v>
      </c>
      <c r="F1877" s="67" t="s">
        <v>1460</v>
      </c>
      <c r="G1877" s="69">
        <v>24</v>
      </c>
    </row>
    <row r="1878" spans="1:7">
      <c r="A1878" s="67" t="s">
        <v>3360</v>
      </c>
      <c r="B1878" s="70">
        <v>46206</v>
      </c>
      <c r="C1878" s="67" t="s">
        <v>1366</v>
      </c>
      <c r="D1878" s="67" t="s">
        <v>353</v>
      </c>
      <c r="E1878" s="67" t="s">
        <v>1368</v>
      </c>
      <c r="F1878" s="67" t="s">
        <v>1462</v>
      </c>
      <c r="G1878" s="69">
        <v>505</v>
      </c>
    </row>
    <row r="1879" spans="1:7">
      <c r="A1879" s="67" t="s">
        <v>3361</v>
      </c>
      <c r="B1879" s="70">
        <v>46206</v>
      </c>
      <c r="C1879" s="67" t="s">
        <v>1366</v>
      </c>
      <c r="D1879" s="67" t="s">
        <v>353</v>
      </c>
      <c r="E1879" s="67" t="s">
        <v>1368</v>
      </c>
      <c r="F1879" s="67" t="s">
        <v>1462</v>
      </c>
      <c r="G1879" s="69">
        <v>179</v>
      </c>
    </row>
    <row r="1880" spans="1:7">
      <c r="A1880" s="67" t="s">
        <v>3362</v>
      </c>
      <c r="B1880" s="70">
        <v>46206</v>
      </c>
      <c r="C1880" s="67" t="s">
        <v>1366</v>
      </c>
      <c r="D1880" s="67" t="s">
        <v>1511</v>
      </c>
      <c r="E1880" s="67" t="s">
        <v>1470</v>
      </c>
      <c r="F1880" s="67" t="s">
        <v>1462</v>
      </c>
      <c r="G1880" s="69">
        <v>199</v>
      </c>
    </row>
    <row r="1881" spans="1:7">
      <c r="A1881" s="67" t="s">
        <v>3363</v>
      </c>
      <c r="B1881" s="70">
        <v>46206</v>
      </c>
      <c r="C1881" s="67" t="s">
        <v>1378</v>
      </c>
      <c r="D1881" s="67" t="s">
        <v>1459</v>
      </c>
      <c r="E1881" s="67" t="s">
        <v>1362</v>
      </c>
      <c r="F1881" s="67" t="s">
        <v>1462</v>
      </c>
      <c r="G1881" s="69">
        <v>93</v>
      </c>
    </row>
    <row r="1882" spans="1:7">
      <c r="A1882" s="67" t="s">
        <v>3364</v>
      </c>
      <c r="B1882" s="70">
        <v>46206</v>
      </c>
      <c r="C1882" s="67" t="s">
        <v>1393</v>
      </c>
      <c r="D1882" s="67" t="s">
        <v>1520</v>
      </c>
      <c r="E1882" s="67" t="s">
        <v>1433</v>
      </c>
      <c r="F1882" s="67" t="s">
        <v>1462</v>
      </c>
      <c r="G1882" s="69">
        <v>212</v>
      </c>
    </row>
    <row r="1883" spans="1:7">
      <c r="A1883" s="67" t="s">
        <v>3365</v>
      </c>
      <c r="B1883" s="70">
        <v>46206</v>
      </c>
      <c r="C1883" s="67" t="s">
        <v>1404</v>
      </c>
      <c r="D1883" s="67" t="s">
        <v>356</v>
      </c>
      <c r="E1883" s="67" t="s">
        <v>1368</v>
      </c>
      <c r="F1883" s="67" t="s">
        <v>1462</v>
      </c>
      <c r="G1883" s="69">
        <v>324</v>
      </c>
    </row>
    <row r="1884" spans="1:7">
      <c r="A1884" s="67" t="s">
        <v>3366</v>
      </c>
      <c r="B1884" s="70">
        <v>46206</v>
      </c>
      <c r="C1884" s="67" t="s">
        <v>1406</v>
      </c>
      <c r="D1884" s="67" t="s">
        <v>367</v>
      </c>
      <c r="E1884" s="67" t="s">
        <v>1368</v>
      </c>
      <c r="F1884" s="67" t="s">
        <v>1460</v>
      </c>
      <c r="G1884" s="69">
        <v>16</v>
      </c>
    </row>
    <row r="1885" spans="1:7">
      <c r="A1885" s="67" t="s">
        <v>3367</v>
      </c>
      <c r="B1885" s="70">
        <v>46206</v>
      </c>
      <c r="C1885" s="67" t="s">
        <v>1411</v>
      </c>
      <c r="D1885" s="67" t="s">
        <v>1506</v>
      </c>
      <c r="E1885" s="67" t="s">
        <v>1482</v>
      </c>
      <c r="F1885" s="67" t="s">
        <v>1488</v>
      </c>
      <c r="G1885" s="69">
        <v>4</v>
      </c>
    </row>
    <row r="1886" spans="1:7">
      <c r="A1886" s="67" t="s">
        <v>3368</v>
      </c>
      <c r="B1886" s="70">
        <v>46206</v>
      </c>
      <c r="C1886" s="67" t="s">
        <v>1411</v>
      </c>
      <c r="D1886" s="67" t="s">
        <v>1506</v>
      </c>
      <c r="E1886" s="67" t="s">
        <v>1482</v>
      </c>
      <c r="F1886" s="67" t="s">
        <v>1462</v>
      </c>
      <c r="G1886" s="69">
        <v>191</v>
      </c>
    </row>
    <row r="1887" spans="1:7">
      <c r="A1887" s="67" t="s">
        <v>3369</v>
      </c>
      <c r="B1887" s="70">
        <v>46206</v>
      </c>
      <c r="C1887" s="67" t="s">
        <v>1429</v>
      </c>
      <c r="D1887" s="67" t="s">
        <v>1511</v>
      </c>
      <c r="E1887" s="67" t="s">
        <v>1470</v>
      </c>
      <c r="F1887" s="67" t="s">
        <v>1460</v>
      </c>
      <c r="G1887" s="69">
        <v>20</v>
      </c>
    </row>
    <row r="1888" spans="1:7">
      <c r="A1888" s="67" t="s">
        <v>3370</v>
      </c>
      <c r="B1888" s="70">
        <v>46206</v>
      </c>
      <c r="C1888" s="67" t="s">
        <v>1444</v>
      </c>
      <c r="D1888" s="67" t="s">
        <v>1551</v>
      </c>
      <c r="E1888" s="67" t="s">
        <v>1362</v>
      </c>
      <c r="F1888" s="67" t="s">
        <v>1462</v>
      </c>
      <c r="G1888" s="69">
        <v>472</v>
      </c>
    </row>
    <row r="1889" spans="1:7">
      <c r="A1889" s="67" t="s">
        <v>3371</v>
      </c>
      <c r="B1889" s="70">
        <v>46207</v>
      </c>
      <c r="C1889" s="67" t="s">
        <v>1359</v>
      </c>
      <c r="D1889" s="67" t="s">
        <v>365</v>
      </c>
      <c r="E1889" s="67" t="s">
        <v>1368</v>
      </c>
      <c r="F1889" s="67" t="s">
        <v>1460</v>
      </c>
      <c r="G1889" s="69">
        <v>19</v>
      </c>
    </row>
    <row r="1890" spans="1:7">
      <c r="A1890" s="67" t="s">
        <v>3372</v>
      </c>
      <c r="B1890" s="70">
        <v>46207</v>
      </c>
      <c r="C1890" s="67" t="s">
        <v>1371</v>
      </c>
      <c r="D1890" s="67" t="s">
        <v>356</v>
      </c>
      <c r="E1890" s="67" t="s">
        <v>1368</v>
      </c>
      <c r="F1890" s="67" t="s">
        <v>1462</v>
      </c>
      <c r="G1890" s="69">
        <v>39</v>
      </c>
    </row>
    <row r="1891" spans="1:7">
      <c r="A1891" s="67" t="s">
        <v>3373</v>
      </c>
      <c r="B1891" s="70">
        <v>46207</v>
      </c>
      <c r="C1891" s="67" t="s">
        <v>1381</v>
      </c>
      <c r="D1891" s="67" t="s">
        <v>353</v>
      </c>
      <c r="E1891" s="67" t="s">
        <v>1368</v>
      </c>
      <c r="F1891" s="67" t="s">
        <v>1460</v>
      </c>
      <c r="G1891" s="69">
        <v>19</v>
      </c>
    </row>
    <row r="1892" spans="1:7">
      <c r="A1892" s="67" t="s">
        <v>3374</v>
      </c>
      <c r="B1892" s="70">
        <v>46207</v>
      </c>
      <c r="C1892" s="67" t="s">
        <v>1381</v>
      </c>
      <c r="D1892" s="67" t="s">
        <v>367</v>
      </c>
      <c r="E1892" s="67" t="s">
        <v>1368</v>
      </c>
      <c r="F1892" s="67" t="s">
        <v>1462</v>
      </c>
      <c r="G1892" s="69">
        <v>410</v>
      </c>
    </row>
    <row r="1893" spans="1:7">
      <c r="A1893" s="67" t="s">
        <v>3375</v>
      </c>
      <c r="B1893" s="70">
        <v>46207</v>
      </c>
      <c r="C1893" s="67" t="s">
        <v>1389</v>
      </c>
      <c r="D1893" s="67" t="s">
        <v>1476</v>
      </c>
      <c r="E1893" s="67" t="s">
        <v>1362</v>
      </c>
      <c r="F1893" s="67" t="s">
        <v>1462</v>
      </c>
      <c r="G1893" s="69">
        <v>258</v>
      </c>
    </row>
    <row r="1894" spans="1:7">
      <c r="A1894" s="67" t="s">
        <v>3376</v>
      </c>
      <c r="B1894" s="70">
        <v>46207</v>
      </c>
      <c r="C1894" s="67" t="s">
        <v>1393</v>
      </c>
      <c r="D1894" s="67" t="s">
        <v>367</v>
      </c>
      <c r="E1894" s="67" t="s">
        <v>1368</v>
      </c>
      <c r="F1894" s="67" t="s">
        <v>1460</v>
      </c>
      <c r="G1894" s="69">
        <v>5</v>
      </c>
    </row>
    <row r="1895" spans="1:7">
      <c r="A1895" s="67" t="s">
        <v>3377</v>
      </c>
      <c r="B1895" s="70">
        <v>46207</v>
      </c>
      <c r="C1895" s="67" t="s">
        <v>1393</v>
      </c>
      <c r="D1895" s="67" t="s">
        <v>369</v>
      </c>
      <c r="E1895" s="67" t="s">
        <v>1368</v>
      </c>
      <c r="F1895" s="67" t="s">
        <v>1462</v>
      </c>
      <c r="G1895" s="69">
        <v>105</v>
      </c>
    </row>
    <row r="1896" spans="1:7">
      <c r="A1896" s="67" t="s">
        <v>3378</v>
      </c>
      <c r="B1896" s="70">
        <v>46207</v>
      </c>
      <c r="C1896" s="67" t="s">
        <v>1404</v>
      </c>
      <c r="D1896" s="67" t="s">
        <v>353</v>
      </c>
      <c r="E1896" s="67" t="s">
        <v>1368</v>
      </c>
      <c r="F1896" s="67" t="s">
        <v>1462</v>
      </c>
      <c r="G1896" s="69">
        <v>313</v>
      </c>
    </row>
    <row r="1897" spans="1:7">
      <c r="A1897" s="67" t="s">
        <v>3379</v>
      </c>
      <c r="B1897" s="70">
        <v>46207</v>
      </c>
      <c r="C1897" s="67" t="s">
        <v>1406</v>
      </c>
      <c r="D1897" s="67" t="s">
        <v>367</v>
      </c>
      <c r="E1897" s="67" t="s">
        <v>1368</v>
      </c>
      <c r="F1897" s="67" t="s">
        <v>1462</v>
      </c>
      <c r="G1897" s="69">
        <v>375</v>
      </c>
    </row>
    <row r="1898" spans="1:7">
      <c r="A1898" s="67" t="s">
        <v>3380</v>
      </c>
      <c r="B1898" s="70">
        <v>46207</v>
      </c>
      <c r="C1898" s="67" t="s">
        <v>1411</v>
      </c>
      <c r="D1898" s="67" t="s">
        <v>353</v>
      </c>
      <c r="E1898" s="67" t="s">
        <v>1368</v>
      </c>
      <c r="F1898" s="67" t="s">
        <v>1460</v>
      </c>
      <c r="G1898" s="69">
        <v>29</v>
      </c>
    </row>
    <row r="1899" spans="1:7">
      <c r="A1899" s="67" t="s">
        <v>3381</v>
      </c>
      <c r="B1899" s="70">
        <v>46207</v>
      </c>
      <c r="C1899" s="67" t="s">
        <v>1411</v>
      </c>
      <c r="D1899" s="67" t="s">
        <v>1506</v>
      </c>
      <c r="E1899" s="67" t="s">
        <v>1482</v>
      </c>
      <c r="F1899" s="67" t="s">
        <v>1462</v>
      </c>
      <c r="G1899" s="69">
        <v>80</v>
      </c>
    </row>
    <row r="1900" spans="1:7">
      <c r="A1900" s="67" t="s">
        <v>3382</v>
      </c>
      <c r="B1900" s="70">
        <v>46207</v>
      </c>
      <c r="C1900" s="67" t="s">
        <v>1414</v>
      </c>
      <c r="D1900" s="67" t="s">
        <v>1469</v>
      </c>
      <c r="E1900" s="67" t="s">
        <v>1470</v>
      </c>
      <c r="F1900" s="67" t="s">
        <v>1462</v>
      </c>
      <c r="G1900" s="69">
        <v>459</v>
      </c>
    </row>
    <row r="1901" spans="1:7">
      <c r="A1901" s="67" t="s">
        <v>3383</v>
      </c>
      <c r="B1901" s="70">
        <v>46207</v>
      </c>
      <c r="C1901" s="67" t="s">
        <v>1425</v>
      </c>
      <c r="D1901" s="67" t="s">
        <v>1511</v>
      </c>
      <c r="E1901" s="67" t="s">
        <v>1470</v>
      </c>
      <c r="F1901" s="67" t="s">
        <v>1460</v>
      </c>
      <c r="G1901" s="69">
        <v>17</v>
      </c>
    </row>
    <row r="1902" spans="1:7">
      <c r="A1902" s="67" t="s">
        <v>3384</v>
      </c>
      <c r="B1902" s="70">
        <v>46207</v>
      </c>
      <c r="C1902" s="67" t="s">
        <v>1444</v>
      </c>
      <c r="D1902" s="67" t="s">
        <v>356</v>
      </c>
      <c r="E1902" s="67" t="s">
        <v>1368</v>
      </c>
      <c r="F1902" s="67" t="s">
        <v>1462</v>
      </c>
      <c r="G1902" s="69">
        <v>140</v>
      </c>
    </row>
    <row r="1903" spans="1:7">
      <c r="A1903" s="67" t="s">
        <v>3385</v>
      </c>
      <c r="B1903" s="70">
        <v>46207</v>
      </c>
      <c r="C1903" s="67" t="s">
        <v>1444</v>
      </c>
      <c r="D1903" s="67" t="s">
        <v>1551</v>
      </c>
      <c r="E1903" s="67" t="s">
        <v>1362</v>
      </c>
      <c r="F1903" s="67" t="s">
        <v>1462</v>
      </c>
      <c r="G1903" s="69">
        <v>248</v>
      </c>
    </row>
    <row r="1904" spans="1:7">
      <c r="A1904" s="67" t="s">
        <v>3386</v>
      </c>
      <c r="B1904" s="70">
        <v>46207</v>
      </c>
      <c r="C1904" s="67" t="s">
        <v>1450</v>
      </c>
      <c r="D1904" s="67" t="s">
        <v>369</v>
      </c>
      <c r="E1904" s="67" t="s">
        <v>1368</v>
      </c>
      <c r="F1904" s="67" t="s">
        <v>1460</v>
      </c>
      <c r="G1904" s="69">
        <v>29</v>
      </c>
    </row>
    <row r="1905" spans="1:7">
      <c r="A1905" s="67" t="s">
        <v>3387</v>
      </c>
      <c r="B1905" s="70">
        <v>46208</v>
      </c>
      <c r="C1905" s="67" t="s">
        <v>1359</v>
      </c>
      <c r="D1905" s="67" t="s">
        <v>1551</v>
      </c>
      <c r="E1905" s="67" t="s">
        <v>1362</v>
      </c>
      <c r="F1905" s="67" t="s">
        <v>1462</v>
      </c>
      <c r="G1905" s="69">
        <v>509</v>
      </c>
    </row>
    <row r="1906" spans="1:7">
      <c r="A1906" s="67" t="s">
        <v>3388</v>
      </c>
      <c r="B1906" s="70">
        <v>46208</v>
      </c>
      <c r="C1906" s="67" t="s">
        <v>1371</v>
      </c>
      <c r="D1906" s="67" t="s">
        <v>1459</v>
      </c>
      <c r="E1906" s="67" t="s">
        <v>1362</v>
      </c>
      <c r="F1906" s="67" t="s">
        <v>1462</v>
      </c>
      <c r="G1906" s="69">
        <v>148</v>
      </c>
    </row>
    <row r="1907" spans="1:7">
      <c r="A1907" s="67" t="s">
        <v>3389</v>
      </c>
      <c r="B1907" s="70">
        <v>46208</v>
      </c>
      <c r="C1907" s="67" t="s">
        <v>1393</v>
      </c>
      <c r="D1907" s="67" t="s">
        <v>358</v>
      </c>
      <c r="E1907" s="67" t="s">
        <v>1368</v>
      </c>
      <c r="F1907" s="67" t="s">
        <v>1462</v>
      </c>
      <c r="G1907" s="69">
        <v>105</v>
      </c>
    </row>
    <row r="1908" spans="1:7">
      <c r="A1908" s="67" t="s">
        <v>3390</v>
      </c>
      <c r="B1908" s="70">
        <v>46208</v>
      </c>
      <c r="C1908" s="67" t="s">
        <v>1399</v>
      </c>
      <c r="D1908" s="67" t="s">
        <v>1459</v>
      </c>
      <c r="E1908" s="67" t="s">
        <v>1362</v>
      </c>
      <c r="F1908" s="67" t="s">
        <v>1462</v>
      </c>
      <c r="G1908" s="69">
        <v>104</v>
      </c>
    </row>
    <row r="1909" spans="1:7">
      <c r="A1909" s="67" t="s">
        <v>3391</v>
      </c>
      <c r="B1909" s="70">
        <v>46208</v>
      </c>
      <c r="C1909" s="67" t="s">
        <v>1404</v>
      </c>
      <c r="D1909" s="67" t="s">
        <v>356</v>
      </c>
      <c r="E1909" s="67" t="s">
        <v>1368</v>
      </c>
      <c r="F1909" s="67" t="s">
        <v>1462</v>
      </c>
      <c r="G1909" s="69">
        <v>508</v>
      </c>
    </row>
    <row r="1910" spans="1:7">
      <c r="A1910" s="67" t="s">
        <v>3392</v>
      </c>
      <c r="B1910" s="70">
        <v>46208</v>
      </c>
      <c r="C1910" s="67" t="s">
        <v>1411</v>
      </c>
      <c r="D1910" s="67" t="s">
        <v>1506</v>
      </c>
      <c r="E1910" s="67" t="s">
        <v>1482</v>
      </c>
      <c r="F1910" s="67" t="s">
        <v>1462</v>
      </c>
      <c r="G1910" s="69">
        <v>469</v>
      </c>
    </row>
    <row r="1911" spans="1:7">
      <c r="A1911" s="67" t="s">
        <v>3393</v>
      </c>
      <c r="B1911" s="70">
        <v>46208</v>
      </c>
      <c r="C1911" s="67" t="s">
        <v>1411</v>
      </c>
      <c r="D1911" s="67" t="s">
        <v>1506</v>
      </c>
      <c r="E1911" s="67" t="s">
        <v>1482</v>
      </c>
      <c r="F1911" s="67" t="s">
        <v>1460</v>
      </c>
      <c r="G1911" s="69">
        <v>23</v>
      </c>
    </row>
    <row r="1912" spans="1:7">
      <c r="A1912" s="67" t="s">
        <v>3394</v>
      </c>
      <c r="B1912" s="70">
        <v>46208</v>
      </c>
      <c r="C1912" s="67" t="s">
        <v>1411</v>
      </c>
      <c r="D1912" s="67" t="s">
        <v>1481</v>
      </c>
      <c r="E1912" s="67" t="s">
        <v>1482</v>
      </c>
      <c r="F1912" s="67" t="s">
        <v>1460</v>
      </c>
      <c r="G1912" s="69">
        <v>6</v>
      </c>
    </row>
    <row r="1913" spans="1:7">
      <c r="A1913" s="67" t="s">
        <v>3395</v>
      </c>
      <c r="B1913" s="70">
        <v>46208</v>
      </c>
      <c r="C1913" s="67" t="s">
        <v>1414</v>
      </c>
      <c r="D1913" s="67" t="s">
        <v>1511</v>
      </c>
      <c r="E1913" s="67" t="s">
        <v>1470</v>
      </c>
      <c r="F1913" s="67" t="s">
        <v>1462</v>
      </c>
      <c r="G1913" s="69">
        <v>481</v>
      </c>
    </row>
    <row r="1914" spans="1:7">
      <c r="A1914" s="67" t="s">
        <v>3396</v>
      </c>
      <c r="B1914" s="70">
        <v>46208</v>
      </c>
      <c r="C1914" s="67" t="s">
        <v>1414</v>
      </c>
      <c r="D1914" s="67" t="s">
        <v>1491</v>
      </c>
      <c r="E1914" s="67" t="s">
        <v>1470</v>
      </c>
      <c r="F1914" s="67" t="s">
        <v>1462</v>
      </c>
      <c r="G1914" s="69">
        <v>126</v>
      </c>
    </row>
    <row r="1915" spans="1:7">
      <c r="A1915" s="67" t="s">
        <v>3397</v>
      </c>
      <c r="B1915" s="70">
        <v>46208</v>
      </c>
      <c r="C1915" s="67" t="s">
        <v>1423</v>
      </c>
      <c r="D1915" s="67" t="s">
        <v>1743</v>
      </c>
      <c r="E1915" s="67" t="s">
        <v>1410</v>
      </c>
      <c r="F1915" s="67" t="s">
        <v>1462</v>
      </c>
      <c r="G1915" s="69">
        <v>36</v>
      </c>
    </row>
    <row r="1916" spans="1:7">
      <c r="A1916" s="67" t="s">
        <v>3398</v>
      </c>
      <c r="B1916" s="70">
        <v>46208</v>
      </c>
      <c r="C1916" s="67" t="s">
        <v>1429</v>
      </c>
      <c r="D1916" s="67" t="s">
        <v>369</v>
      </c>
      <c r="E1916" s="67" t="s">
        <v>1368</v>
      </c>
      <c r="F1916" s="67" t="s">
        <v>1462</v>
      </c>
      <c r="G1916" s="69">
        <v>477</v>
      </c>
    </row>
    <row r="1917" spans="1:7">
      <c r="A1917" s="67" t="s">
        <v>3399</v>
      </c>
      <c r="B1917" s="70">
        <v>46208</v>
      </c>
      <c r="C1917" s="67" t="s">
        <v>1429</v>
      </c>
      <c r="D1917" s="67" t="s">
        <v>358</v>
      </c>
      <c r="E1917" s="67" t="s">
        <v>1368</v>
      </c>
      <c r="F1917" s="67" t="s">
        <v>1488</v>
      </c>
      <c r="G1917" s="69">
        <v>7</v>
      </c>
    </row>
    <row r="1918" spans="1:7">
      <c r="A1918" s="67" t="s">
        <v>3400</v>
      </c>
      <c r="B1918" s="70">
        <v>46208</v>
      </c>
      <c r="C1918" s="67" t="s">
        <v>1438</v>
      </c>
      <c r="D1918" s="67" t="s">
        <v>356</v>
      </c>
      <c r="E1918" s="67" t="s">
        <v>1368</v>
      </c>
      <c r="F1918" s="67" t="s">
        <v>1462</v>
      </c>
      <c r="G1918" s="69">
        <v>157</v>
      </c>
    </row>
    <row r="1919" spans="1:7">
      <c r="A1919" s="67" t="s">
        <v>3401</v>
      </c>
      <c r="B1919" s="70">
        <v>46208</v>
      </c>
      <c r="C1919" s="67" t="s">
        <v>1444</v>
      </c>
      <c r="D1919" s="67" t="s">
        <v>1459</v>
      </c>
      <c r="E1919" s="67" t="s">
        <v>1362</v>
      </c>
      <c r="F1919" s="67" t="s">
        <v>1462</v>
      </c>
      <c r="G1919" s="69">
        <v>400</v>
      </c>
    </row>
    <row r="1920" spans="1:7">
      <c r="A1920" s="67" t="s">
        <v>3402</v>
      </c>
      <c r="B1920" s="70">
        <v>46209</v>
      </c>
      <c r="C1920" s="67" t="s">
        <v>1359</v>
      </c>
      <c r="D1920" s="67" t="s">
        <v>358</v>
      </c>
      <c r="E1920" s="67" t="s">
        <v>1368</v>
      </c>
      <c r="F1920" s="67" t="s">
        <v>1462</v>
      </c>
      <c r="G1920" s="69">
        <v>363</v>
      </c>
    </row>
    <row r="1921" spans="1:7">
      <c r="A1921" s="67" t="s">
        <v>3403</v>
      </c>
      <c r="B1921" s="70">
        <v>46209</v>
      </c>
      <c r="C1921" s="67" t="s">
        <v>1375</v>
      </c>
      <c r="D1921" s="67" t="s">
        <v>369</v>
      </c>
      <c r="E1921" s="67" t="s">
        <v>1368</v>
      </c>
      <c r="F1921" s="67" t="s">
        <v>1462</v>
      </c>
      <c r="G1921" s="69">
        <v>507</v>
      </c>
    </row>
    <row r="1922" spans="1:7">
      <c r="A1922" s="67" t="s">
        <v>3404</v>
      </c>
      <c r="B1922" s="70">
        <v>46209</v>
      </c>
      <c r="C1922" s="67" t="s">
        <v>1384</v>
      </c>
      <c r="D1922" s="67" t="s">
        <v>1551</v>
      </c>
      <c r="E1922" s="67" t="s">
        <v>1362</v>
      </c>
      <c r="F1922" s="67" t="s">
        <v>1460</v>
      </c>
      <c r="G1922" s="69">
        <v>16</v>
      </c>
    </row>
    <row r="1923" spans="1:7">
      <c r="A1923" s="67" t="s">
        <v>3405</v>
      </c>
      <c r="B1923" s="70">
        <v>46209</v>
      </c>
      <c r="C1923" s="67" t="s">
        <v>1399</v>
      </c>
      <c r="D1923" s="67" t="s">
        <v>1476</v>
      </c>
      <c r="E1923" s="67" t="s">
        <v>1362</v>
      </c>
      <c r="F1923" s="67" t="s">
        <v>1462</v>
      </c>
      <c r="G1923" s="69">
        <v>45</v>
      </c>
    </row>
    <row r="1924" spans="1:7">
      <c r="A1924" s="67" t="s">
        <v>3406</v>
      </c>
      <c r="B1924" s="70">
        <v>46209</v>
      </c>
      <c r="C1924" s="67" t="s">
        <v>1399</v>
      </c>
      <c r="D1924" s="67" t="s">
        <v>1459</v>
      </c>
      <c r="E1924" s="67" t="s">
        <v>1362</v>
      </c>
      <c r="F1924" s="67" t="s">
        <v>1462</v>
      </c>
      <c r="G1924" s="69">
        <v>491</v>
      </c>
    </row>
    <row r="1925" spans="1:7">
      <c r="A1925" s="67" t="s">
        <v>3407</v>
      </c>
      <c r="B1925" s="70">
        <v>46209</v>
      </c>
      <c r="C1925" s="67" t="s">
        <v>1404</v>
      </c>
      <c r="D1925" s="67" t="s">
        <v>1511</v>
      </c>
      <c r="E1925" s="67" t="s">
        <v>1470</v>
      </c>
      <c r="F1925" s="67" t="s">
        <v>1460</v>
      </c>
      <c r="G1925" s="69">
        <v>18</v>
      </c>
    </row>
    <row r="1926" spans="1:7">
      <c r="A1926" s="67" t="s">
        <v>3408</v>
      </c>
      <c r="B1926" s="70">
        <v>46209</v>
      </c>
      <c r="C1926" s="67" t="s">
        <v>1404</v>
      </c>
      <c r="D1926" s="67" t="s">
        <v>367</v>
      </c>
      <c r="E1926" s="67" t="s">
        <v>1368</v>
      </c>
      <c r="F1926" s="67" t="s">
        <v>1462</v>
      </c>
      <c r="G1926" s="69">
        <v>49</v>
      </c>
    </row>
    <row r="1927" spans="1:7">
      <c r="A1927" s="67" t="s">
        <v>3409</v>
      </c>
      <c r="B1927" s="70">
        <v>46209</v>
      </c>
      <c r="C1927" s="67" t="s">
        <v>1414</v>
      </c>
      <c r="D1927" s="67" t="s">
        <v>1511</v>
      </c>
      <c r="E1927" s="67" t="s">
        <v>1470</v>
      </c>
      <c r="F1927" s="67" t="s">
        <v>1462</v>
      </c>
      <c r="G1927" s="69">
        <v>209</v>
      </c>
    </row>
    <row r="1928" spans="1:7">
      <c r="A1928" s="67" t="s">
        <v>3410</v>
      </c>
      <c r="B1928" s="70">
        <v>46209</v>
      </c>
      <c r="C1928" s="67" t="s">
        <v>1414</v>
      </c>
      <c r="D1928" s="67" t="s">
        <v>1607</v>
      </c>
      <c r="E1928" s="67" t="s">
        <v>1470</v>
      </c>
      <c r="F1928" s="67" t="s">
        <v>1462</v>
      </c>
      <c r="G1928" s="69">
        <v>553</v>
      </c>
    </row>
    <row r="1929" spans="1:7">
      <c r="A1929" s="67" t="s">
        <v>3411</v>
      </c>
      <c r="B1929" s="70">
        <v>46209</v>
      </c>
      <c r="C1929" s="67" t="s">
        <v>1414</v>
      </c>
      <c r="D1929" s="67" t="s">
        <v>1491</v>
      </c>
      <c r="E1929" s="67" t="s">
        <v>1470</v>
      </c>
      <c r="F1929" s="67" t="s">
        <v>1460</v>
      </c>
      <c r="G1929" s="69">
        <v>25</v>
      </c>
    </row>
    <row r="1930" spans="1:7">
      <c r="A1930" s="67" t="s">
        <v>3412</v>
      </c>
      <c r="B1930" s="70">
        <v>46209</v>
      </c>
      <c r="C1930" s="67" t="s">
        <v>1423</v>
      </c>
      <c r="D1930" s="67" t="s">
        <v>1515</v>
      </c>
      <c r="E1930" s="67" t="s">
        <v>1410</v>
      </c>
      <c r="F1930" s="67" t="s">
        <v>1462</v>
      </c>
      <c r="G1930" s="69">
        <v>51</v>
      </c>
    </row>
    <row r="1931" spans="1:7">
      <c r="A1931" s="67" t="s">
        <v>3413</v>
      </c>
      <c r="B1931" s="70">
        <v>46209</v>
      </c>
      <c r="C1931" s="67" t="s">
        <v>1429</v>
      </c>
      <c r="D1931" s="67" t="s">
        <v>369</v>
      </c>
      <c r="E1931" s="67" t="s">
        <v>1368</v>
      </c>
      <c r="F1931" s="67" t="s">
        <v>1462</v>
      </c>
      <c r="G1931" s="69">
        <v>394</v>
      </c>
    </row>
    <row r="1932" spans="1:7">
      <c r="A1932" s="67" t="s">
        <v>3414</v>
      </c>
      <c r="B1932" s="70">
        <v>46209</v>
      </c>
      <c r="C1932" s="67" t="s">
        <v>1444</v>
      </c>
      <c r="D1932" s="67" t="s">
        <v>367</v>
      </c>
      <c r="E1932" s="67" t="s">
        <v>1368</v>
      </c>
      <c r="F1932" s="67" t="s">
        <v>1488</v>
      </c>
      <c r="G1932" s="69">
        <v>9</v>
      </c>
    </row>
    <row r="1933" spans="1:7">
      <c r="A1933" s="67" t="s">
        <v>3415</v>
      </c>
      <c r="B1933" s="70">
        <v>46209</v>
      </c>
      <c r="C1933" s="67" t="s">
        <v>1444</v>
      </c>
      <c r="D1933" s="67" t="s">
        <v>1459</v>
      </c>
      <c r="E1933" s="67" t="s">
        <v>1362</v>
      </c>
      <c r="F1933" s="67" t="s">
        <v>1462</v>
      </c>
      <c r="G1933" s="69">
        <v>257</v>
      </c>
    </row>
    <row r="1934" spans="1:7">
      <c r="A1934" s="67" t="s">
        <v>3416</v>
      </c>
      <c r="B1934" s="70">
        <v>46210</v>
      </c>
      <c r="C1934" s="67" t="s">
        <v>1359</v>
      </c>
      <c r="D1934" s="67" t="s">
        <v>1476</v>
      </c>
      <c r="E1934" s="67" t="s">
        <v>1362</v>
      </c>
      <c r="F1934" s="67" t="s">
        <v>1462</v>
      </c>
      <c r="G1934" s="69">
        <v>435</v>
      </c>
    </row>
    <row r="1935" spans="1:7">
      <c r="A1935" s="67" t="s">
        <v>3417</v>
      </c>
      <c r="B1935" s="70">
        <v>46210</v>
      </c>
      <c r="C1935" s="67" t="s">
        <v>1359</v>
      </c>
      <c r="D1935" s="67" t="s">
        <v>369</v>
      </c>
      <c r="E1935" s="67" t="s">
        <v>1368</v>
      </c>
      <c r="F1935" s="67" t="s">
        <v>1462</v>
      </c>
      <c r="G1935" s="69">
        <v>433</v>
      </c>
    </row>
    <row r="1936" spans="1:7">
      <c r="A1936" s="67" t="s">
        <v>3418</v>
      </c>
      <c r="B1936" s="70">
        <v>46210</v>
      </c>
      <c r="C1936" s="67" t="s">
        <v>1359</v>
      </c>
      <c r="D1936" s="67" t="s">
        <v>1466</v>
      </c>
      <c r="E1936" s="67" t="s">
        <v>1386</v>
      </c>
      <c r="F1936" s="67" t="s">
        <v>1460</v>
      </c>
      <c r="G1936" s="69">
        <v>8</v>
      </c>
    </row>
    <row r="1937" spans="1:7">
      <c r="A1937" s="67" t="s">
        <v>3419</v>
      </c>
      <c r="B1937" s="70">
        <v>46210</v>
      </c>
      <c r="C1937" s="67" t="s">
        <v>1359</v>
      </c>
      <c r="D1937" s="67" t="s">
        <v>1551</v>
      </c>
      <c r="E1937" s="67" t="s">
        <v>1362</v>
      </c>
      <c r="F1937" s="67" t="s">
        <v>1462</v>
      </c>
      <c r="G1937" s="69">
        <v>547</v>
      </c>
    </row>
    <row r="1938" spans="1:7">
      <c r="A1938" s="67" t="s">
        <v>3420</v>
      </c>
      <c r="B1938" s="70">
        <v>46210</v>
      </c>
      <c r="C1938" s="67" t="s">
        <v>1371</v>
      </c>
      <c r="D1938" s="67" t="s">
        <v>1602</v>
      </c>
      <c r="E1938" s="67" t="s">
        <v>1386</v>
      </c>
      <c r="F1938" s="67" t="s">
        <v>1460</v>
      </c>
      <c r="G1938" s="69">
        <v>17</v>
      </c>
    </row>
    <row r="1939" spans="1:7">
      <c r="A1939" s="67" t="s">
        <v>3421</v>
      </c>
      <c r="B1939" s="70">
        <v>46210</v>
      </c>
      <c r="C1939" s="67" t="s">
        <v>1381</v>
      </c>
      <c r="D1939" s="67" t="s">
        <v>358</v>
      </c>
      <c r="E1939" s="67" t="s">
        <v>1368</v>
      </c>
      <c r="F1939" s="67" t="s">
        <v>1462</v>
      </c>
      <c r="G1939" s="69">
        <v>475</v>
      </c>
    </row>
    <row r="1940" spans="1:7">
      <c r="A1940" s="67" t="s">
        <v>3422</v>
      </c>
      <c r="B1940" s="70">
        <v>46210</v>
      </c>
      <c r="C1940" s="67" t="s">
        <v>1389</v>
      </c>
      <c r="D1940" s="67" t="s">
        <v>363</v>
      </c>
      <c r="E1940" s="67" t="s">
        <v>1368</v>
      </c>
      <c r="F1940" s="67" t="s">
        <v>1462</v>
      </c>
      <c r="G1940" s="69">
        <v>174</v>
      </c>
    </row>
    <row r="1941" spans="1:7">
      <c r="A1941" s="67" t="s">
        <v>3423</v>
      </c>
      <c r="B1941" s="70">
        <v>46210</v>
      </c>
      <c r="C1941" s="67" t="s">
        <v>1414</v>
      </c>
      <c r="D1941" s="67" t="s">
        <v>1551</v>
      </c>
      <c r="E1941" s="67" t="s">
        <v>1362</v>
      </c>
      <c r="F1941" s="67" t="s">
        <v>1462</v>
      </c>
      <c r="G1941" s="69">
        <v>507</v>
      </c>
    </row>
    <row r="1942" spans="1:7">
      <c r="A1942" s="67" t="s">
        <v>3424</v>
      </c>
      <c r="B1942" s="70">
        <v>46210</v>
      </c>
      <c r="C1942" s="67" t="s">
        <v>1429</v>
      </c>
      <c r="D1942" s="67" t="s">
        <v>353</v>
      </c>
      <c r="E1942" s="67" t="s">
        <v>1368</v>
      </c>
      <c r="F1942" s="67" t="s">
        <v>1462</v>
      </c>
      <c r="G1942" s="69">
        <v>298</v>
      </c>
    </row>
    <row r="1943" spans="1:7">
      <c r="A1943" s="67" t="s">
        <v>3425</v>
      </c>
      <c r="B1943" s="70">
        <v>46210</v>
      </c>
      <c r="C1943" s="67" t="s">
        <v>1429</v>
      </c>
      <c r="D1943" s="67" t="s">
        <v>356</v>
      </c>
      <c r="E1943" s="67" t="s">
        <v>1368</v>
      </c>
      <c r="F1943" s="67" t="s">
        <v>1462</v>
      </c>
      <c r="G1943" s="69">
        <v>376</v>
      </c>
    </row>
    <row r="1944" spans="1:7">
      <c r="A1944" s="67" t="s">
        <v>3426</v>
      </c>
      <c r="B1944" s="70">
        <v>46210</v>
      </c>
      <c r="C1944" s="67" t="s">
        <v>1446</v>
      </c>
      <c r="D1944" s="67" t="s">
        <v>1551</v>
      </c>
      <c r="E1944" s="67" t="s">
        <v>1362</v>
      </c>
      <c r="F1944" s="67" t="s">
        <v>1462</v>
      </c>
      <c r="G1944" s="69">
        <v>291</v>
      </c>
    </row>
    <row r="1945" spans="1:7">
      <c r="A1945" s="67" t="s">
        <v>3427</v>
      </c>
      <c r="B1945" s="70">
        <v>46211</v>
      </c>
      <c r="C1945" s="67" t="s">
        <v>1359</v>
      </c>
      <c r="D1945" s="67" t="s">
        <v>353</v>
      </c>
      <c r="E1945" s="67" t="s">
        <v>1368</v>
      </c>
      <c r="F1945" s="67" t="s">
        <v>1462</v>
      </c>
      <c r="G1945" s="69">
        <v>374</v>
      </c>
    </row>
    <row r="1946" spans="1:7">
      <c r="A1946" s="67" t="s">
        <v>3428</v>
      </c>
      <c r="B1946" s="70">
        <v>46211</v>
      </c>
      <c r="C1946" s="67" t="s">
        <v>1359</v>
      </c>
      <c r="D1946" s="67" t="s">
        <v>1551</v>
      </c>
      <c r="E1946" s="67" t="s">
        <v>1362</v>
      </c>
      <c r="F1946" s="67" t="s">
        <v>1462</v>
      </c>
      <c r="G1946" s="69">
        <v>399</v>
      </c>
    </row>
    <row r="1947" spans="1:7">
      <c r="A1947" s="67" t="s">
        <v>3429</v>
      </c>
      <c r="B1947" s="70">
        <v>46211</v>
      </c>
      <c r="C1947" s="67" t="s">
        <v>1366</v>
      </c>
      <c r="D1947" s="67" t="s">
        <v>1484</v>
      </c>
      <c r="E1947" s="67" t="s">
        <v>1470</v>
      </c>
      <c r="F1947" s="67" t="s">
        <v>1462</v>
      </c>
      <c r="G1947" s="69">
        <v>229</v>
      </c>
    </row>
    <row r="1948" spans="1:7">
      <c r="A1948" s="67" t="s">
        <v>3430</v>
      </c>
      <c r="B1948" s="70">
        <v>46211</v>
      </c>
      <c r="C1948" s="67" t="s">
        <v>1366</v>
      </c>
      <c r="D1948" s="67" t="s">
        <v>367</v>
      </c>
      <c r="E1948" s="67" t="s">
        <v>1368</v>
      </c>
      <c r="F1948" s="67" t="s">
        <v>1460</v>
      </c>
      <c r="G1948" s="69">
        <v>13</v>
      </c>
    </row>
    <row r="1949" spans="1:7">
      <c r="A1949" s="67" t="s">
        <v>3431</v>
      </c>
      <c r="B1949" s="70">
        <v>46211</v>
      </c>
      <c r="C1949" s="67" t="s">
        <v>1371</v>
      </c>
      <c r="D1949" s="67" t="s">
        <v>1551</v>
      </c>
      <c r="E1949" s="67" t="s">
        <v>1362</v>
      </c>
      <c r="F1949" s="67" t="s">
        <v>1462</v>
      </c>
      <c r="G1949" s="69">
        <v>586</v>
      </c>
    </row>
    <row r="1950" spans="1:7">
      <c r="A1950" s="67" t="s">
        <v>3432</v>
      </c>
      <c r="B1950" s="70">
        <v>46211</v>
      </c>
      <c r="C1950" s="67" t="s">
        <v>1381</v>
      </c>
      <c r="D1950" s="67" t="s">
        <v>367</v>
      </c>
      <c r="E1950" s="67" t="s">
        <v>1368</v>
      </c>
      <c r="F1950" s="67" t="s">
        <v>1462</v>
      </c>
      <c r="G1950" s="69">
        <v>327</v>
      </c>
    </row>
    <row r="1951" spans="1:7">
      <c r="A1951" s="67" t="s">
        <v>3433</v>
      </c>
      <c r="B1951" s="70">
        <v>46211</v>
      </c>
      <c r="C1951" s="67" t="s">
        <v>1381</v>
      </c>
      <c r="D1951" s="67" t="s">
        <v>1551</v>
      </c>
      <c r="E1951" s="67" t="s">
        <v>1362</v>
      </c>
      <c r="F1951" s="67" t="s">
        <v>1462</v>
      </c>
      <c r="G1951" s="69">
        <v>270</v>
      </c>
    </row>
    <row r="1952" spans="1:7">
      <c r="A1952" s="67" t="s">
        <v>3434</v>
      </c>
      <c r="B1952" s="70">
        <v>46211</v>
      </c>
      <c r="C1952" s="67" t="s">
        <v>1381</v>
      </c>
      <c r="D1952" s="67" t="s">
        <v>1551</v>
      </c>
      <c r="E1952" s="67" t="s">
        <v>1362</v>
      </c>
      <c r="F1952" s="67" t="s">
        <v>1460</v>
      </c>
      <c r="G1952" s="69">
        <v>22</v>
      </c>
    </row>
    <row r="1953" spans="1:7">
      <c r="A1953" s="67" t="s">
        <v>3435</v>
      </c>
      <c r="B1953" s="70">
        <v>46211</v>
      </c>
      <c r="C1953" s="67" t="s">
        <v>1389</v>
      </c>
      <c r="D1953" s="67" t="s">
        <v>353</v>
      </c>
      <c r="E1953" s="67" t="s">
        <v>1368</v>
      </c>
      <c r="F1953" s="67" t="s">
        <v>1460</v>
      </c>
      <c r="G1953" s="69">
        <v>30</v>
      </c>
    </row>
    <row r="1954" spans="1:7">
      <c r="A1954" s="67" t="s">
        <v>3436</v>
      </c>
      <c r="B1954" s="70">
        <v>46211</v>
      </c>
      <c r="C1954" s="67" t="s">
        <v>1404</v>
      </c>
      <c r="D1954" s="67" t="s">
        <v>356</v>
      </c>
      <c r="E1954" s="67" t="s">
        <v>1368</v>
      </c>
      <c r="F1954" s="67" t="s">
        <v>1462</v>
      </c>
      <c r="G1954" s="69">
        <v>436</v>
      </c>
    </row>
    <row r="1955" spans="1:7">
      <c r="A1955" s="67" t="s">
        <v>3437</v>
      </c>
      <c r="B1955" s="70">
        <v>46211</v>
      </c>
      <c r="C1955" s="67" t="s">
        <v>1404</v>
      </c>
      <c r="D1955" s="67" t="s">
        <v>365</v>
      </c>
      <c r="E1955" s="67" t="s">
        <v>1368</v>
      </c>
      <c r="F1955" s="67" t="s">
        <v>1462</v>
      </c>
      <c r="G1955" s="69">
        <v>184</v>
      </c>
    </row>
    <row r="1956" spans="1:7">
      <c r="A1956" s="67" t="s">
        <v>3438</v>
      </c>
      <c r="B1956" s="70">
        <v>46211</v>
      </c>
      <c r="C1956" s="67" t="s">
        <v>1406</v>
      </c>
      <c r="D1956" s="67" t="s">
        <v>356</v>
      </c>
      <c r="E1956" s="67" t="s">
        <v>1368</v>
      </c>
      <c r="F1956" s="67" t="s">
        <v>1460</v>
      </c>
      <c r="G1956" s="69">
        <v>7</v>
      </c>
    </row>
    <row r="1957" spans="1:7">
      <c r="A1957" s="67" t="s">
        <v>3439</v>
      </c>
      <c r="B1957" s="70">
        <v>46211</v>
      </c>
      <c r="C1957" s="67" t="s">
        <v>1408</v>
      </c>
      <c r="D1957" s="67" t="s">
        <v>358</v>
      </c>
      <c r="E1957" s="67" t="s">
        <v>1368</v>
      </c>
      <c r="F1957" s="67" t="s">
        <v>1488</v>
      </c>
      <c r="G1957" s="69">
        <v>5</v>
      </c>
    </row>
    <row r="1958" spans="1:7">
      <c r="A1958" s="67" t="s">
        <v>3440</v>
      </c>
      <c r="B1958" s="70">
        <v>46211</v>
      </c>
      <c r="C1958" s="67" t="s">
        <v>1411</v>
      </c>
      <c r="D1958" s="67" t="s">
        <v>1506</v>
      </c>
      <c r="E1958" s="67" t="s">
        <v>1482</v>
      </c>
      <c r="F1958" s="67" t="s">
        <v>1462</v>
      </c>
      <c r="G1958" s="69">
        <v>141</v>
      </c>
    </row>
    <row r="1959" spans="1:7">
      <c r="A1959" s="67" t="s">
        <v>3441</v>
      </c>
      <c r="B1959" s="70">
        <v>46211</v>
      </c>
      <c r="C1959" s="67" t="s">
        <v>1411</v>
      </c>
      <c r="D1959" s="67" t="s">
        <v>1506</v>
      </c>
      <c r="E1959" s="67" t="s">
        <v>1482</v>
      </c>
      <c r="F1959" s="67" t="s">
        <v>1460</v>
      </c>
      <c r="G1959" s="69">
        <v>21</v>
      </c>
    </row>
    <row r="1960" spans="1:7">
      <c r="A1960" s="67" t="s">
        <v>3442</v>
      </c>
      <c r="B1960" s="70">
        <v>46211</v>
      </c>
      <c r="C1960" s="67" t="s">
        <v>1411</v>
      </c>
      <c r="D1960" s="67" t="s">
        <v>1506</v>
      </c>
      <c r="E1960" s="67" t="s">
        <v>1482</v>
      </c>
      <c r="F1960" s="67" t="s">
        <v>1462</v>
      </c>
      <c r="G1960" s="69">
        <v>481</v>
      </c>
    </row>
    <row r="1961" spans="1:7">
      <c r="A1961" s="67" t="s">
        <v>3443</v>
      </c>
      <c r="B1961" s="70">
        <v>46211</v>
      </c>
      <c r="C1961" s="67" t="s">
        <v>1411</v>
      </c>
      <c r="D1961" s="67" t="s">
        <v>1481</v>
      </c>
      <c r="E1961" s="67" t="s">
        <v>1482</v>
      </c>
      <c r="F1961" s="67" t="s">
        <v>1462</v>
      </c>
      <c r="G1961" s="69">
        <v>262</v>
      </c>
    </row>
    <row r="1962" spans="1:7">
      <c r="A1962" s="67" t="s">
        <v>3444</v>
      </c>
      <c r="B1962" s="70">
        <v>46211</v>
      </c>
      <c r="C1962" s="67" t="s">
        <v>1414</v>
      </c>
      <c r="D1962" s="67" t="s">
        <v>1607</v>
      </c>
      <c r="E1962" s="67" t="s">
        <v>1470</v>
      </c>
      <c r="F1962" s="67" t="s">
        <v>1462</v>
      </c>
      <c r="G1962" s="69">
        <v>89</v>
      </c>
    </row>
    <row r="1963" spans="1:7">
      <c r="A1963" s="67" t="s">
        <v>3445</v>
      </c>
      <c r="B1963" s="70">
        <v>46211</v>
      </c>
      <c r="C1963" s="67" t="s">
        <v>1414</v>
      </c>
      <c r="D1963" s="67" t="s">
        <v>1484</v>
      </c>
      <c r="E1963" s="67" t="s">
        <v>1470</v>
      </c>
      <c r="F1963" s="67" t="s">
        <v>1460</v>
      </c>
      <c r="G1963" s="69">
        <v>29</v>
      </c>
    </row>
    <row r="1964" spans="1:7">
      <c r="A1964" s="67" t="s">
        <v>3446</v>
      </c>
      <c r="B1964" s="70">
        <v>46211</v>
      </c>
      <c r="C1964" s="67" t="s">
        <v>1414</v>
      </c>
      <c r="D1964" s="67" t="s">
        <v>1469</v>
      </c>
      <c r="E1964" s="67" t="s">
        <v>1470</v>
      </c>
      <c r="F1964" s="67" t="s">
        <v>1462</v>
      </c>
      <c r="G1964" s="69">
        <v>385</v>
      </c>
    </row>
    <row r="1965" spans="1:7">
      <c r="A1965" s="67" t="s">
        <v>3447</v>
      </c>
      <c r="B1965" s="70">
        <v>46211</v>
      </c>
      <c r="C1965" s="67" t="s">
        <v>1414</v>
      </c>
      <c r="D1965" s="67" t="s">
        <v>1469</v>
      </c>
      <c r="E1965" s="67" t="s">
        <v>1470</v>
      </c>
      <c r="F1965" s="67" t="s">
        <v>1462</v>
      </c>
      <c r="G1965" s="69">
        <v>78</v>
      </c>
    </row>
    <row r="1966" spans="1:7">
      <c r="A1966" s="67" t="s">
        <v>3448</v>
      </c>
      <c r="B1966" s="70">
        <v>46211</v>
      </c>
      <c r="C1966" s="67" t="s">
        <v>1425</v>
      </c>
      <c r="D1966" s="67" t="s">
        <v>1511</v>
      </c>
      <c r="E1966" s="67" t="s">
        <v>1470</v>
      </c>
      <c r="F1966" s="67" t="s">
        <v>1462</v>
      </c>
      <c r="G1966" s="69">
        <v>381</v>
      </c>
    </row>
    <row r="1967" spans="1:7">
      <c r="A1967" s="67" t="s">
        <v>3449</v>
      </c>
      <c r="B1967" s="70">
        <v>46211</v>
      </c>
      <c r="C1967" s="67" t="s">
        <v>1429</v>
      </c>
      <c r="D1967" s="67" t="s">
        <v>356</v>
      </c>
      <c r="E1967" s="67" t="s">
        <v>1368</v>
      </c>
      <c r="F1967" s="67" t="s">
        <v>1462</v>
      </c>
      <c r="G1967" s="69">
        <v>517</v>
      </c>
    </row>
    <row r="1968" spans="1:7">
      <c r="A1968" s="67" t="s">
        <v>3450</v>
      </c>
      <c r="B1968" s="70">
        <v>46211</v>
      </c>
      <c r="C1968" s="67" t="s">
        <v>1450</v>
      </c>
      <c r="D1968" s="67" t="s">
        <v>1481</v>
      </c>
      <c r="E1968" s="67" t="s">
        <v>1482</v>
      </c>
      <c r="F1968" s="67" t="s">
        <v>1462</v>
      </c>
      <c r="G1968" s="69">
        <v>234</v>
      </c>
    </row>
    <row r="1969" spans="1:7">
      <c r="A1969" s="67" t="s">
        <v>3451</v>
      </c>
      <c r="B1969" s="70">
        <v>46212</v>
      </c>
      <c r="C1969" s="67" t="s">
        <v>1359</v>
      </c>
      <c r="D1969" s="67" t="s">
        <v>1551</v>
      </c>
      <c r="E1969" s="67" t="s">
        <v>1362</v>
      </c>
      <c r="F1969" s="67" t="s">
        <v>1462</v>
      </c>
      <c r="G1969" s="69">
        <v>68</v>
      </c>
    </row>
    <row r="1970" spans="1:7">
      <c r="A1970" s="67" t="s">
        <v>3452</v>
      </c>
      <c r="B1970" s="70">
        <v>46212</v>
      </c>
      <c r="C1970" s="67" t="s">
        <v>1366</v>
      </c>
      <c r="D1970" s="67" t="s">
        <v>353</v>
      </c>
      <c r="E1970" s="67" t="s">
        <v>1368</v>
      </c>
      <c r="F1970" s="67" t="s">
        <v>1460</v>
      </c>
      <c r="G1970" s="69">
        <v>10</v>
      </c>
    </row>
    <row r="1971" spans="1:7">
      <c r="A1971" s="67" t="s">
        <v>3453</v>
      </c>
      <c r="B1971" s="70">
        <v>46212</v>
      </c>
      <c r="C1971" s="67" t="s">
        <v>1371</v>
      </c>
      <c r="D1971" s="67" t="s">
        <v>1466</v>
      </c>
      <c r="E1971" s="67" t="s">
        <v>1386</v>
      </c>
      <c r="F1971" s="67" t="s">
        <v>1462</v>
      </c>
      <c r="G1971" s="69">
        <v>488</v>
      </c>
    </row>
    <row r="1972" spans="1:7">
      <c r="A1972" s="67" t="s">
        <v>3454</v>
      </c>
      <c r="B1972" s="70">
        <v>46212</v>
      </c>
      <c r="C1972" s="67" t="s">
        <v>1371</v>
      </c>
      <c r="D1972" s="67" t="s">
        <v>1459</v>
      </c>
      <c r="E1972" s="67" t="s">
        <v>1362</v>
      </c>
      <c r="F1972" s="67" t="s">
        <v>1462</v>
      </c>
      <c r="G1972" s="69">
        <v>74</v>
      </c>
    </row>
    <row r="1973" spans="1:7">
      <c r="A1973" s="67" t="s">
        <v>3455</v>
      </c>
      <c r="B1973" s="70">
        <v>46212</v>
      </c>
      <c r="C1973" s="67" t="s">
        <v>1375</v>
      </c>
      <c r="D1973" s="67" t="s">
        <v>356</v>
      </c>
      <c r="E1973" s="67" t="s">
        <v>1368</v>
      </c>
      <c r="F1973" s="67" t="s">
        <v>1460</v>
      </c>
      <c r="G1973" s="69">
        <v>30</v>
      </c>
    </row>
    <row r="1974" spans="1:7">
      <c r="A1974" s="67" t="s">
        <v>3456</v>
      </c>
      <c r="B1974" s="70">
        <v>46212</v>
      </c>
      <c r="C1974" s="67" t="s">
        <v>1381</v>
      </c>
      <c r="D1974" s="67" t="s">
        <v>353</v>
      </c>
      <c r="E1974" s="67" t="s">
        <v>1368</v>
      </c>
      <c r="F1974" s="67" t="s">
        <v>1462</v>
      </c>
      <c r="G1974" s="69">
        <v>369</v>
      </c>
    </row>
    <row r="1975" spans="1:7">
      <c r="A1975" s="67" t="s">
        <v>3457</v>
      </c>
      <c r="B1975" s="70">
        <v>46212</v>
      </c>
      <c r="C1975" s="67" t="s">
        <v>1381</v>
      </c>
      <c r="D1975" s="67" t="s">
        <v>353</v>
      </c>
      <c r="E1975" s="67" t="s">
        <v>1368</v>
      </c>
      <c r="F1975" s="67" t="s">
        <v>1462</v>
      </c>
      <c r="G1975" s="69">
        <v>179</v>
      </c>
    </row>
    <row r="1976" spans="1:7">
      <c r="A1976" s="67" t="s">
        <v>3458</v>
      </c>
      <c r="B1976" s="70">
        <v>46212</v>
      </c>
      <c r="C1976" s="67" t="s">
        <v>1381</v>
      </c>
      <c r="D1976" s="67" t="s">
        <v>369</v>
      </c>
      <c r="E1976" s="67" t="s">
        <v>1368</v>
      </c>
      <c r="F1976" s="67" t="s">
        <v>1462</v>
      </c>
      <c r="G1976" s="69">
        <v>576</v>
      </c>
    </row>
    <row r="1977" spans="1:7">
      <c r="A1977" s="67" t="s">
        <v>3459</v>
      </c>
      <c r="B1977" s="70">
        <v>46212</v>
      </c>
      <c r="C1977" s="67" t="s">
        <v>1384</v>
      </c>
      <c r="D1977" s="67" t="s">
        <v>1466</v>
      </c>
      <c r="E1977" s="67" t="s">
        <v>1386</v>
      </c>
      <c r="F1977" s="67" t="s">
        <v>1462</v>
      </c>
      <c r="G1977" s="69">
        <v>514</v>
      </c>
    </row>
    <row r="1978" spans="1:7">
      <c r="A1978" s="67" t="s">
        <v>3460</v>
      </c>
      <c r="B1978" s="70">
        <v>46212</v>
      </c>
      <c r="C1978" s="67" t="s">
        <v>1384</v>
      </c>
      <c r="D1978" s="67" t="s">
        <v>1459</v>
      </c>
      <c r="E1978" s="67" t="s">
        <v>1362</v>
      </c>
      <c r="F1978" s="67" t="s">
        <v>1462</v>
      </c>
      <c r="G1978" s="69">
        <v>276</v>
      </c>
    </row>
    <row r="1979" spans="1:7">
      <c r="A1979" s="67" t="s">
        <v>3461</v>
      </c>
      <c r="B1979" s="70">
        <v>46212</v>
      </c>
      <c r="C1979" s="67" t="s">
        <v>1399</v>
      </c>
      <c r="D1979" s="67" t="s">
        <v>1466</v>
      </c>
      <c r="E1979" s="67" t="s">
        <v>1386</v>
      </c>
      <c r="F1979" s="67" t="s">
        <v>1462</v>
      </c>
      <c r="G1979" s="69">
        <v>290</v>
      </c>
    </row>
    <row r="1980" spans="1:7">
      <c r="A1980" s="67" t="s">
        <v>3462</v>
      </c>
      <c r="B1980" s="70">
        <v>46212</v>
      </c>
      <c r="C1980" s="67" t="s">
        <v>1404</v>
      </c>
      <c r="D1980" s="67" t="s">
        <v>356</v>
      </c>
      <c r="E1980" s="67" t="s">
        <v>1368</v>
      </c>
      <c r="F1980" s="67" t="s">
        <v>1462</v>
      </c>
      <c r="G1980" s="69">
        <v>357</v>
      </c>
    </row>
    <row r="1981" spans="1:7">
      <c r="A1981" s="67" t="s">
        <v>3463</v>
      </c>
      <c r="B1981" s="70">
        <v>46212</v>
      </c>
      <c r="C1981" s="67" t="s">
        <v>1406</v>
      </c>
      <c r="D1981" s="67" t="s">
        <v>1469</v>
      </c>
      <c r="E1981" s="67" t="s">
        <v>1470</v>
      </c>
      <c r="F1981" s="67" t="s">
        <v>1462</v>
      </c>
      <c r="G1981" s="69">
        <v>161</v>
      </c>
    </row>
    <row r="1982" spans="1:7">
      <c r="A1982" s="67" t="s">
        <v>3464</v>
      </c>
      <c r="B1982" s="70">
        <v>46212</v>
      </c>
      <c r="C1982" s="67" t="s">
        <v>1411</v>
      </c>
      <c r="D1982" s="67" t="s">
        <v>1506</v>
      </c>
      <c r="E1982" s="67" t="s">
        <v>1482</v>
      </c>
      <c r="F1982" s="67" t="s">
        <v>1462</v>
      </c>
      <c r="G1982" s="69">
        <v>39</v>
      </c>
    </row>
    <row r="1983" spans="1:7">
      <c r="A1983" s="67" t="s">
        <v>3465</v>
      </c>
      <c r="B1983" s="70">
        <v>46212</v>
      </c>
      <c r="C1983" s="67" t="s">
        <v>1414</v>
      </c>
      <c r="D1983" s="67" t="s">
        <v>1484</v>
      </c>
      <c r="E1983" s="67" t="s">
        <v>1470</v>
      </c>
      <c r="F1983" s="67" t="s">
        <v>1462</v>
      </c>
      <c r="G1983" s="69">
        <v>270</v>
      </c>
    </row>
    <row r="1984" spans="1:7">
      <c r="A1984" s="67" t="s">
        <v>3466</v>
      </c>
      <c r="B1984" s="70">
        <v>46212</v>
      </c>
      <c r="C1984" s="67" t="s">
        <v>1429</v>
      </c>
      <c r="D1984" s="67" t="s">
        <v>356</v>
      </c>
      <c r="E1984" s="67" t="s">
        <v>1368</v>
      </c>
      <c r="F1984" s="67" t="s">
        <v>1462</v>
      </c>
      <c r="G1984" s="69">
        <v>158</v>
      </c>
    </row>
    <row r="1985" spans="1:7">
      <c r="A1985" s="67" t="s">
        <v>3467</v>
      </c>
      <c r="B1985" s="70">
        <v>46212</v>
      </c>
      <c r="C1985" s="67" t="s">
        <v>1444</v>
      </c>
      <c r="D1985" s="67" t="s">
        <v>1459</v>
      </c>
      <c r="E1985" s="67" t="s">
        <v>1362</v>
      </c>
      <c r="F1985" s="67" t="s">
        <v>1462</v>
      </c>
      <c r="G1985" s="69">
        <v>481</v>
      </c>
    </row>
    <row r="1986" spans="1:7">
      <c r="A1986" s="67" t="s">
        <v>3468</v>
      </c>
      <c r="B1986" s="70">
        <v>46213</v>
      </c>
      <c r="C1986" s="67" t="s">
        <v>1359</v>
      </c>
      <c r="D1986" s="67" t="s">
        <v>1476</v>
      </c>
      <c r="E1986" s="67" t="s">
        <v>1362</v>
      </c>
      <c r="F1986" s="67" t="s">
        <v>1462</v>
      </c>
      <c r="G1986" s="69">
        <v>387</v>
      </c>
    </row>
    <row r="1987" spans="1:7">
      <c r="A1987" s="67" t="s">
        <v>3469</v>
      </c>
      <c r="B1987" s="70">
        <v>46213</v>
      </c>
      <c r="C1987" s="67" t="s">
        <v>1359</v>
      </c>
      <c r="D1987" s="67" t="s">
        <v>1551</v>
      </c>
      <c r="E1987" s="67" t="s">
        <v>1362</v>
      </c>
      <c r="F1987" s="67" t="s">
        <v>1462</v>
      </c>
      <c r="G1987" s="69">
        <v>111</v>
      </c>
    </row>
    <row r="1988" spans="1:7">
      <c r="A1988" s="67" t="s">
        <v>3470</v>
      </c>
      <c r="B1988" s="70">
        <v>46213</v>
      </c>
      <c r="C1988" s="67" t="s">
        <v>1359</v>
      </c>
      <c r="D1988" s="67" t="s">
        <v>1551</v>
      </c>
      <c r="E1988" s="67" t="s">
        <v>1362</v>
      </c>
      <c r="F1988" s="67" t="s">
        <v>1460</v>
      </c>
      <c r="G1988" s="69">
        <v>20</v>
      </c>
    </row>
    <row r="1989" spans="1:7">
      <c r="A1989" s="67" t="s">
        <v>3471</v>
      </c>
      <c r="B1989" s="70">
        <v>46213</v>
      </c>
      <c r="C1989" s="67" t="s">
        <v>1366</v>
      </c>
      <c r="D1989" s="67" t="s">
        <v>353</v>
      </c>
      <c r="E1989" s="67" t="s">
        <v>1368</v>
      </c>
      <c r="F1989" s="67" t="s">
        <v>1462</v>
      </c>
      <c r="G1989" s="69">
        <v>563</v>
      </c>
    </row>
    <row r="1990" spans="1:7">
      <c r="A1990" s="67" t="s">
        <v>3472</v>
      </c>
      <c r="B1990" s="70">
        <v>46213</v>
      </c>
      <c r="C1990" s="67" t="s">
        <v>1381</v>
      </c>
      <c r="D1990" s="67" t="s">
        <v>367</v>
      </c>
      <c r="E1990" s="67" t="s">
        <v>1368</v>
      </c>
      <c r="F1990" s="67" t="s">
        <v>1462</v>
      </c>
      <c r="G1990" s="69">
        <v>395</v>
      </c>
    </row>
    <row r="1991" spans="1:7">
      <c r="A1991" s="67" t="s">
        <v>3473</v>
      </c>
      <c r="B1991" s="70">
        <v>46213</v>
      </c>
      <c r="C1991" s="67" t="s">
        <v>1381</v>
      </c>
      <c r="D1991" s="67" t="s">
        <v>358</v>
      </c>
      <c r="E1991" s="67" t="s">
        <v>1368</v>
      </c>
      <c r="F1991" s="67" t="s">
        <v>1462</v>
      </c>
      <c r="G1991" s="69">
        <v>107</v>
      </c>
    </row>
    <row r="1992" spans="1:7">
      <c r="A1992" s="67" t="s">
        <v>3474</v>
      </c>
      <c r="B1992" s="70">
        <v>46213</v>
      </c>
      <c r="C1992" s="67" t="s">
        <v>1404</v>
      </c>
      <c r="D1992" s="67" t="s">
        <v>353</v>
      </c>
      <c r="E1992" s="67" t="s">
        <v>1368</v>
      </c>
      <c r="F1992" s="67" t="s">
        <v>1462</v>
      </c>
      <c r="G1992" s="69">
        <v>313</v>
      </c>
    </row>
    <row r="1993" spans="1:7">
      <c r="A1993" s="67" t="s">
        <v>3475</v>
      </c>
      <c r="B1993" s="70">
        <v>46213</v>
      </c>
      <c r="C1993" s="67" t="s">
        <v>1404</v>
      </c>
      <c r="D1993" s="67" t="s">
        <v>356</v>
      </c>
      <c r="E1993" s="67" t="s">
        <v>1368</v>
      </c>
      <c r="F1993" s="67" t="s">
        <v>1462</v>
      </c>
      <c r="G1993" s="69">
        <v>590</v>
      </c>
    </row>
    <row r="1994" spans="1:7">
      <c r="A1994" s="67" t="s">
        <v>3476</v>
      </c>
      <c r="B1994" s="70">
        <v>46213</v>
      </c>
      <c r="C1994" s="67" t="s">
        <v>1404</v>
      </c>
      <c r="D1994" s="67" t="s">
        <v>1476</v>
      </c>
      <c r="E1994" s="67" t="s">
        <v>1362</v>
      </c>
      <c r="F1994" s="67" t="s">
        <v>1462</v>
      </c>
      <c r="G1994" s="69">
        <v>597</v>
      </c>
    </row>
    <row r="1995" spans="1:7">
      <c r="A1995" s="67" t="s">
        <v>3477</v>
      </c>
      <c r="B1995" s="70">
        <v>46213</v>
      </c>
      <c r="C1995" s="67" t="s">
        <v>1411</v>
      </c>
      <c r="D1995" s="67" t="s">
        <v>1506</v>
      </c>
      <c r="E1995" s="67" t="s">
        <v>1482</v>
      </c>
      <c r="F1995" s="67" t="s">
        <v>1462</v>
      </c>
      <c r="G1995" s="69">
        <v>153</v>
      </c>
    </row>
    <row r="1996" spans="1:7">
      <c r="A1996" s="67" t="s">
        <v>3478</v>
      </c>
      <c r="B1996" s="70">
        <v>46213</v>
      </c>
      <c r="C1996" s="67" t="s">
        <v>1411</v>
      </c>
      <c r="D1996" s="67" t="s">
        <v>1481</v>
      </c>
      <c r="E1996" s="67" t="s">
        <v>1482</v>
      </c>
      <c r="F1996" s="67" t="s">
        <v>1460</v>
      </c>
      <c r="G1996" s="69">
        <v>24</v>
      </c>
    </row>
    <row r="1997" spans="1:7">
      <c r="A1997" s="67" t="s">
        <v>3479</v>
      </c>
      <c r="B1997" s="70">
        <v>46213</v>
      </c>
      <c r="C1997" s="67" t="s">
        <v>1414</v>
      </c>
      <c r="D1997" s="67" t="s">
        <v>1511</v>
      </c>
      <c r="E1997" s="67" t="s">
        <v>1470</v>
      </c>
      <c r="F1997" s="67" t="s">
        <v>1462</v>
      </c>
      <c r="G1997" s="69">
        <v>584</v>
      </c>
    </row>
    <row r="1998" spans="1:7">
      <c r="A1998" s="67" t="s">
        <v>3480</v>
      </c>
      <c r="B1998" s="70">
        <v>46213</v>
      </c>
      <c r="C1998" s="67" t="s">
        <v>1414</v>
      </c>
      <c r="D1998" s="67" t="s">
        <v>1491</v>
      </c>
      <c r="E1998" s="67" t="s">
        <v>1470</v>
      </c>
      <c r="F1998" s="67" t="s">
        <v>1462</v>
      </c>
      <c r="G1998" s="69">
        <v>205</v>
      </c>
    </row>
    <row r="1999" spans="1:7">
      <c r="A1999" s="67" t="s">
        <v>3481</v>
      </c>
      <c r="B1999" s="70">
        <v>46213</v>
      </c>
      <c r="C1999" s="67" t="s">
        <v>1423</v>
      </c>
      <c r="D1999" s="67" t="s">
        <v>1743</v>
      </c>
      <c r="E1999" s="67" t="s">
        <v>1410</v>
      </c>
      <c r="F1999" s="67" t="s">
        <v>1462</v>
      </c>
      <c r="G1999" s="69">
        <v>229</v>
      </c>
    </row>
    <row r="2000" spans="1:7">
      <c r="A2000" s="67" t="s">
        <v>3482</v>
      </c>
      <c r="B2000" s="70">
        <v>46213</v>
      </c>
      <c r="C2000" s="67" t="s">
        <v>1444</v>
      </c>
      <c r="D2000" s="67" t="s">
        <v>365</v>
      </c>
      <c r="E2000" s="67" t="s">
        <v>1368</v>
      </c>
      <c r="F2000" s="67" t="s">
        <v>1462</v>
      </c>
      <c r="G2000" s="69">
        <v>393</v>
      </c>
    </row>
    <row r="2001" spans="1:7">
      <c r="A2001" s="67" t="s">
        <v>3483</v>
      </c>
      <c r="B2001" s="70">
        <v>46213</v>
      </c>
      <c r="C2001" s="67" t="s">
        <v>1444</v>
      </c>
      <c r="D2001" s="67" t="s">
        <v>1602</v>
      </c>
      <c r="E2001" s="67" t="s">
        <v>1386</v>
      </c>
      <c r="F2001" s="67" t="s">
        <v>1460</v>
      </c>
      <c r="G2001" s="69">
        <v>25</v>
      </c>
    </row>
    <row r="2002" spans="1:7">
      <c r="A2002" s="67" t="s">
        <v>3484</v>
      </c>
      <c r="B2002" s="70">
        <v>46213</v>
      </c>
      <c r="C2002" s="67" t="s">
        <v>1446</v>
      </c>
      <c r="D2002" s="67" t="s">
        <v>367</v>
      </c>
      <c r="E2002" s="67" t="s">
        <v>1368</v>
      </c>
      <c r="F2002" s="67" t="s">
        <v>1462</v>
      </c>
      <c r="G2002" s="69">
        <v>450</v>
      </c>
    </row>
    <row r="2003" spans="1:7">
      <c r="A2003" s="67" t="s">
        <v>3485</v>
      </c>
      <c r="B2003" s="70">
        <v>46214</v>
      </c>
      <c r="C2003" s="67" t="s">
        <v>1359</v>
      </c>
      <c r="D2003" s="67" t="s">
        <v>1551</v>
      </c>
      <c r="E2003" s="67" t="s">
        <v>1362</v>
      </c>
      <c r="F2003" s="67" t="s">
        <v>1462</v>
      </c>
      <c r="G2003" s="69">
        <v>591</v>
      </c>
    </row>
    <row r="2004" spans="1:7">
      <c r="A2004" s="67" t="s">
        <v>3486</v>
      </c>
      <c r="B2004" s="70">
        <v>46214</v>
      </c>
      <c r="C2004" s="67" t="s">
        <v>1359</v>
      </c>
      <c r="D2004" s="67" t="s">
        <v>1459</v>
      </c>
      <c r="E2004" s="67" t="s">
        <v>1362</v>
      </c>
      <c r="F2004" s="67" t="s">
        <v>1462</v>
      </c>
      <c r="G2004" s="69">
        <v>161</v>
      </c>
    </row>
    <row r="2005" spans="1:7">
      <c r="A2005" s="67" t="s">
        <v>3487</v>
      </c>
      <c r="B2005" s="70">
        <v>46214</v>
      </c>
      <c r="C2005" s="67" t="s">
        <v>1359</v>
      </c>
      <c r="D2005" s="67" t="s">
        <v>1459</v>
      </c>
      <c r="E2005" s="67" t="s">
        <v>1362</v>
      </c>
      <c r="F2005" s="67" t="s">
        <v>1462</v>
      </c>
      <c r="G2005" s="69">
        <v>141</v>
      </c>
    </row>
    <row r="2006" spans="1:7">
      <c r="A2006" s="67" t="s">
        <v>3488</v>
      </c>
      <c r="B2006" s="70">
        <v>46214</v>
      </c>
      <c r="C2006" s="67" t="s">
        <v>1366</v>
      </c>
      <c r="D2006" s="67" t="s">
        <v>367</v>
      </c>
      <c r="E2006" s="67" t="s">
        <v>1368</v>
      </c>
      <c r="F2006" s="67" t="s">
        <v>1462</v>
      </c>
      <c r="G2006" s="69">
        <v>207</v>
      </c>
    </row>
    <row r="2007" spans="1:7">
      <c r="A2007" s="67" t="s">
        <v>3489</v>
      </c>
      <c r="B2007" s="70">
        <v>46214</v>
      </c>
      <c r="C2007" s="67" t="s">
        <v>1366</v>
      </c>
      <c r="D2007" s="67" t="s">
        <v>369</v>
      </c>
      <c r="E2007" s="67" t="s">
        <v>1368</v>
      </c>
      <c r="F2007" s="67" t="s">
        <v>1460</v>
      </c>
      <c r="G2007" s="69">
        <v>8</v>
      </c>
    </row>
    <row r="2008" spans="1:7">
      <c r="A2008" s="67" t="s">
        <v>3490</v>
      </c>
      <c r="B2008" s="70">
        <v>46214</v>
      </c>
      <c r="C2008" s="67" t="s">
        <v>1371</v>
      </c>
      <c r="D2008" s="67" t="s">
        <v>1466</v>
      </c>
      <c r="E2008" s="67" t="s">
        <v>1386</v>
      </c>
      <c r="F2008" s="67" t="s">
        <v>1462</v>
      </c>
      <c r="G2008" s="69">
        <v>144</v>
      </c>
    </row>
    <row r="2009" spans="1:7">
      <c r="A2009" s="67" t="s">
        <v>3491</v>
      </c>
      <c r="B2009" s="70">
        <v>46214</v>
      </c>
      <c r="C2009" s="67" t="s">
        <v>1378</v>
      </c>
      <c r="D2009" s="67" t="s">
        <v>1491</v>
      </c>
      <c r="E2009" s="67" t="s">
        <v>1470</v>
      </c>
      <c r="F2009" s="67" t="s">
        <v>1460</v>
      </c>
      <c r="G2009" s="69">
        <v>11</v>
      </c>
    </row>
    <row r="2010" spans="1:7">
      <c r="A2010" s="67" t="s">
        <v>3492</v>
      </c>
      <c r="B2010" s="70">
        <v>46214</v>
      </c>
      <c r="C2010" s="67" t="s">
        <v>1381</v>
      </c>
      <c r="D2010" s="67" t="s">
        <v>367</v>
      </c>
      <c r="E2010" s="67" t="s">
        <v>1368</v>
      </c>
      <c r="F2010" s="67" t="s">
        <v>1462</v>
      </c>
      <c r="G2010" s="69">
        <v>114</v>
      </c>
    </row>
    <row r="2011" spans="1:7">
      <c r="A2011" s="67" t="s">
        <v>3493</v>
      </c>
      <c r="B2011" s="70">
        <v>46214</v>
      </c>
      <c r="C2011" s="67" t="s">
        <v>1384</v>
      </c>
      <c r="D2011" s="67" t="s">
        <v>1602</v>
      </c>
      <c r="E2011" s="67" t="s">
        <v>1386</v>
      </c>
      <c r="F2011" s="67" t="s">
        <v>1462</v>
      </c>
      <c r="G2011" s="69">
        <v>141</v>
      </c>
    </row>
    <row r="2012" spans="1:7">
      <c r="A2012" s="67" t="s">
        <v>3494</v>
      </c>
      <c r="B2012" s="70">
        <v>46214</v>
      </c>
      <c r="C2012" s="67" t="s">
        <v>1397</v>
      </c>
      <c r="D2012" s="67" t="s">
        <v>365</v>
      </c>
      <c r="E2012" s="67" t="s">
        <v>1368</v>
      </c>
      <c r="F2012" s="67" t="s">
        <v>1462</v>
      </c>
      <c r="G2012" s="69">
        <v>127</v>
      </c>
    </row>
    <row r="2013" spans="1:7">
      <c r="A2013" s="67" t="s">
        <v>3495</v>
      </c>
      <c r="B2013" s="70">
        <v>46214</v>
      </c>
      <c r="C2013" s="67" t="s">
        <v>1404</v>
      </c>
      <c r="D2013" s="67" t="s">
        <v>353</v>
      </c>
      <c r="E2013" s="67" t="s">
        <v>1368</v>
      </c>
      <c r="F2013" s="67" t="s">
        <v>1460</v>
      </c>
      <c r="G2013" s="69">
        <v>26</v>
      </c>
    </row>
    <row r="2014" spans="1:7">
      <c r="A2014" s="67" t="s">
        <v>3496</v>
      </c>
      <c r="B2014" s="70">
        <v>46214</v>
      </c>
      <c r="C2014" s="67" t="s">
        <v>1404</v>
      </c>
      <c r="D2014" s="67" t="s">
        <v>356</v>
      </c>
      <c r="E2014" s="67" t="s">
        <v>1368</v>
      </c>
      <c r="F2014" s="67" t="s">
        <v>1460</v>
      </c>
      <c r="G2014" s="69">
        <v>14</v>
      </c>
    </row>
    <row r="2015" spans="1:7">
      <c r="A2015" s="67" t="s">
        <v>3497</v>
      </c>
      <c r="B2015" s="70">
        <v>46214</v>
      </c>
      <c r="C2015" s="67" t="s">
        <v>1411</v>
      </c>
      <c r="D2015" s="67" t="s">
        <v>1506</v>
      </c>
      <c r="E2015" s="67" t="s">
        <v>1482</v>
      </c>
      <c r="F2015" s="67" t="s">
        <v>1460</v>
      </c>
      <c r="G2015" s="69">
        <v>26</v>
      </c>
    </row>
    <row r="2016" spans="1:7">
      <c r="A2016" s="67" t="s">
        <v>3498</v>
      </c>
      <c r="B2016" s="70">
        <v>46214</v>
      </c>
      <c r="C2016" s="67" t="s">
        <v>1423</v>
      </c>
      <c r="D2016" s="67" t="s">
        <v>1930</v>
      </c>
      <c r="E2016" s="67" t="s">
        <v>1410</v>
      </c>
      <c r="F2016" s="67" t="s">
        <v>1462</v>
      </c>
      <c r="G2016" s="69">
        <v>378</v>
      </c>
    </row>
    <row r="2017" spans="1:7">
      <c r="A2017" s="67" t="s">
        <v>3499</v>
      </c>
      <c r="B2017" s="70">
        <v>46214</v>
      </c>
      <c r="C2017" s="67" t="s">
        <v>1425</v>
      </c>
      <c r="D2017" s="67" t="s">
        <v>1511</v>
      </c>
      <c r="E2017" s="67" t="s">
        <v>1470</v>
      </c>
      <c r="F2017" s="67" t="s">
        <v>1462</v>
      </c>
      <c r="G2017" s="69">
        <v>87</v>
      </c>
    </row>
    <row r="2018" spans="1:7">
      <c r="A2018" s="67" t="s">
        <v>3500</v>
      </c>
      <c r="B2018" s="70">
        <v>46214</v>
      </c>
      <c r="C2018" s="67" t="s">
        <v>1425</v>
      </c>
      <c r="D2018" s="67" t="s">
        <v>1484</v>
      </c>
      <c r="E2018" s="67" t="s">
        <v>1470</v>
      </c>
      <c r="F2018" s="67" t="s">
        <v>1462</v>
      </c>
      <c r="G2018" s="69">
        <v>393</v>
      </c>
    </row>
    <row r="2019" spans="1:7">
      <c r="A2019" s="67" t="s">
        <v>3501</v>
      </c>
      <c r="B2019" s="70">
        <v>46214</v>
      </c>
      <c r="C2019" s="67" t="s">
        <v>1444</v>
      </c>
      <c r="D2019" s="67" t="s">
        <v>1459</v>
      </c>
      <c r="E2019" s="67" t="s">
        <v>1362</v>
      </c>
      <c r="F2019" s="67" t="s">
        <v>1462</v>
      </c>
      <c r="G2019" s="69">
        <v>324</v>
      </c>
    </row>
    <row r="2020" spans="1:7">
      <c r="A2020" s="67" t="s">
        <v>3502</v>
      </c>
      <c r="B2020" s="70">
        <v>46215</v>
      </c>
      <c r="C2020" s="67" t="s">
        <v>1359</v>
      </c>
      <c r="D2020" s="67" t="s">
        <v>1476</v>
      </c>
      <c r="E2020" s="67" t="s">
        <v>1362</v>
      </c>
      <c r="F2020" s="67" t="s">
        <v>1460</v>
      </c>
      <c r="G2020" s="69">
        <v>15</v>
      </c>
    </row>
    <row r="2021" spans="1:7">
      <c r="A2021" s="67" t="s">
        <v>3503</v>
      </c>
      <c r="B2021" s="70">
        <v>46215</v>
      </c>
      <c r="C2021" s="67" t="s">
        <v>1366</v>
      </c>
      <c r="D2021" s="67" t="s">
        <v>363</v>
      </c>
      <c r="E2021" s="67" t="s">
        <v>1368</v>
      </c>
      <c r="F2021" s="67" t="s">
        <v>1462</v>
      </c>
      <c r="G2021" s="69">
        <v>288</v>
      </c>
    </row>
    <row r="2022" spans="1:7">
      <c r="A2022" s="67" t="s">
        <v>3504</v>
      </c>
      <c r="B2022" s="70">
        <v>46215</v>
      </c>
      <c r="C2022" s="67" t="s">
        <v>1366</v>
      </c>
      <c r="D2022" s="67" t="s">
        <v>369</v>
      </c>
      <c r="E2022" s="67" t="s">
        <v>1368</v>
      </c>
      <c r="F2022" s="67" t="s">
        <v>1462</v>
      </c>
      <c r="G2022" s="69">
        <v>490</v>
      </c>
    </row>
    <row r="2023" spans="1:7">
      <c r="A2023" s="67" t="s">
        <v>3505</v>
      </c>
      <c r="B2023" s="70">
        <v>46215</v>
      </c>
      <c r="C2023" s="67" t="s">
        <v>1366</v>
      </c>
      <c r="D2023" s="67" t="s">
        <v>358</v>
      </c>
      <c r="E2023" s="67" t="s">
        <v>1368</v>
      </c>
      <c r="F2023" s="67" t="s">
        <v>1462</v>
      </c>
      <c r="G2023" s="69">
        <v>314</v>
      </c>
    </row>
    <row r="2024" spans="1:7">
      <c r="A2024" s="67" t="s">
        <v>3506</v>
      </c>
      <c r="B2024" s="70">
        <v>46215</v>
      </c>
      <c r="C2024" s="67" t="s">
        <v>1366</v>
      </c>
      <c r="D2024" s="67" t="s">
        <v>1469</v>
      </c>
      <c r="E2024" s="67" t="s">
        <v>1470</v>
      </c>
      <c r="F2024" s="67" t="s">
        <v>1462</v>
      </c>
      <c r="G2024" s="69">
        <v>591</v>
      </c>
    </row>
    <row r="2025" spans="1:7">
      <c r="A2025" s="67" t="s">
        <v>3507</v>
      </c>
      <c r="B2025" s="70">
        <v>46215</v>
      </c>
      <c r="C2025" s="67" t="s">
        <v>1371</v>
      </c>
      <c r="D2025" s="67" t="s">
        <v>369</v>
      </c>
      <c r="E2025" s="67" t="s">
        <v>1368</v>
      </c>
      <c r="F2025" s="67" t="s">
        <v>1462</v>
      </c>
      <c r="G2025" s="69">
        <v>224</v>
      </c>
    </row>
    <row r="2026" spans="1:7">
      <c r="A2026" s="67" t="s">
        <v>3508</v>
      </c>
      <c r="B2026" s="70">
        <v>46215</v>
      </c>
      <c r="C2026" s="67" t="s">
        <v>1375</v>
      </c>
      <c r="D2026" s="67" t="s">
        <v>367</v>
      </c>
      <c r="E2026" s="67" t="s">
        <v>1368</v>
      </c>
      <c r="F2026" s="67" t="s">
        <v>1462</v>
      </c>
      <c r="G2026" s="69">
        <v>451</v>
      </c>
    </row>
    <row r="2027" spans="1:7">
      <c r="A2027" s="67" t="s">
        <v>3509</v>
      </c>
      <c r="B2027" s="70">
        <v>46215</v>
      </c>
      <c r="C2027" s="67" t="s">
        <v>1375</v>
      </c>
      <c r="D2027" s="67" t="s">
        <v>358</v>
      </c>
      <c r="E2027" s="67" t="s">
        <v>1368</v>
      </c>
      <c r="F2027" s="67" t="s">
        <v>1462</v>
      </c>
      <c r="G2027" s="69">
        <v>479</v>
      </c>
    </row>
    <row r="2028" spans="1:7">
      <c r="A2028" s="67" t="s">
        <v>3510</v>
      </c>
      <c r="B2028" s="70">
        <v>46215</v>
      </c>
      <c r="C2028" s="67" t="s">
        <v>1378</v>
      </c>
      <c r="D2028" s="67" t="s">
        <v>365</v>
      </c>
      <c r="E2028" s="67" t="s">
        <v>1368</v>
      </c>
      <c r="F2028" s="67" t="s">
        <v>1462</v>
      </c>
      <c r="G2028" s="69">
        <v>579</v>
      </c>
    </row>
    <row r="2029" spans="1:7">
      <c r="A2029" s="67" t="s">
        <v>3511</v>
      </c>
      <c r="B2029" s="70">
        <v>46215</v>
      </c>
      <c r="C2029" s="67" t="s">
        <v>1381</v>
      </c>
      <c r="D2029" s="67" t="s">
        <v>356</v>
      </c>
      <c r="E2029" s="67" t="s">
        <v>1368</v>
      </c>
      <c r="F2029" s="67" t="s">
        <v>1462</v>
      </c>
      <c r="G2029" s="69">
        <v>570</v>
      </c>
    </row>
    <row r="2030" spans="1:7">
      <c r="A2030" s="67" t="s">
        <v>3512</v>
      </c>
      <c r="B2030" s="70">
        <v>46215</v>
      </c>
      <c r="C2030" s="67" t="s">
        <v>1381</v>
      </c>
      <c r="D2030" s="67" t="s">
        <v>1476</v>
      </c>
      <c r="E2030" s="67" t="s">
        <v>1362</v>
      </c>
      <c r="F2030" s="67" t="s">
        <v>1462</v>
      </c>
      <c r="G2030" s="69">
        <v>108</v>
      </c>
    </row>
    <row r="2031" spans="1:7">
      <c r="A2031" s="67" t="s">
        <v>3513</v>
      </c>
      <c r="B2031" s="70">
        <v>46215</v>
      </c>
      <c r="C2031" s="67" t="s">
        <v>1381</v>
      </c>
      <c r="D2031" s="67" t="s">
        <v>1491</v>
      </c>
      <c r="E2031" s="67" t="s">
        <v>1470</v>
      </c>
      <c r="F2031" s="67" t="s">
        <v>1462</v>
      </c>
      <c r="G2031" s="69">
        <v>463</v>
      </c>
    </row>
    <row r="2032" spans="1:7">
      <c r="A2032" s="67" t="s">
        <v>3514</v>
      </c>
      <c r="B2032" s="70">
        <v>46215</v>
      </c>
      <c r="C2032" s="67" t="s">
        <v>1384</v>
      </c>
      <c r="D2032" s="67" t="s">
        <v>1466</v>
      </c>
      <c r="E2032" s="67" t="s">
        <v>1386</v>
      </c>
      <c r="F2032" s="67" t="s">
        <v>1460</v>
      </c>
      <c r="G2032" s="69">
        <v>24</v>
      </c>
    </row>
    <row r="2033" spans="1:7">
      <c r="A2033" s="67" t="s">
        <v>3515</v>
      </c>
      <c r="B2033" s="70">
        <v>46215</v>
      </c>
      <c r="C2033" s="67" t="s">
        <v>1393</v>
      </c>
      <c r="D2033" s="67" t="s">
        <v>1520</v>
      </c>
      <c r="E2033" s="67" t="s">
        <v>1433</v>
      </c>
      <c r="F2033" s="67" t="s">
        <v>1462</v>
      </c>
      <c r="G2033" s="69">
        <v>263</v>
      </c>
    </row>
    <row r="2034" spans="1:7">
      <c r="A2034" s="67" t="s">
        <v>3516</v>
      </c>
      <c r="B2034" s="70">
        <v>46215</v>
      </c>
      <c r="C2034" s="67" t="s">
        <v>1399</v>
      </c>
      <c r="D2034" s="67" t="s">
        <v>356</v>
      </c>
      <c r="E2034" s="67" t="s">
        <v>1368</v>
      </c>
      <c r="F2034" s="67" t="s">
        <v>1462</v>
      </c>
      <c r="G2034" s="69">
        <v>467</v>
      </c>
    </row>
    <row r="2035" spans="1:7">
      <c r="A2035" s="67" t="s">
        <v>3517</v>
      </c>
      <c r="B2035" s="70">
        <v>46215</v>
      </c>
      <c r="C2035" s="67" t="s">
        <v>1404</v>
      </c>
      <c r="D2035" s="67" t="s">
        <v>1476</v>
      </c>
      <c r="E2035" s="67" t="s">
        <v>1362</v>
      </c>
      <c r="F2035" s="67" t="s">
        <v>1462</v>
      </c>
      <c r="G2035" s="69">
        <v>278</v>
      </c>
    </row>
    <row r="2036" spans="1:7">
      <c r="A2036" s="67" t="s">
        <v>3518</v>
      </c>
      <c r="B2036" s="70">
        <v>46215</v>
      </c>
      <c r="C2036" s="67" t="s">
        <v>1411</v>
      </c>
      <c r="D2036" s="67" t="s">
        <v>1506</v>
      </c>
      <c r="E2036" s="67" t="s">
        <v>1482</v>
      </c>
      <c r="F2036" s="67" t="s">
        <v>1462</v>
      </c>
      <c r="G2036" s="69">
        <v>143</v>
      </c>
    </row>
    <row r="2037" spans="1:7">
      <c r="A2037" s="67" t="s">
        <v>3519</v>
      </c>
      <c r="B2037" s="70">
        <v>46215</v>
      </c>
      <c r="C2037" s="67" t="s">
        <v>1411</v>
      </c>
      <c r="D2037" s="67" t="s">
        <v>1506</v>
      </c>
      <c r="E2037" s="67" t="s">
        <v>1482</v>
      </c>
      <c r="F2037" s="67" t="s">
        <v>1462</v>
      </c>
      <c r="G2037" s="69">
        <v>410</v>
      </c>
    </row>
    <row r="2038" spans="1:7">
      <c r="A2038" s="67" t="s">
        <v>3520</v>
      </c>
      <c r="B2038" s="70">
        <v>46215</v>
      </c>
      <c r="C2038" s="67" t="s">
        <v>1411</v>
      </c>
      <c r="D2038" s="67" t="s">
        <v>1506</v>
      </c>
      <c r="E2038" s="67" t="s">
        <v>1482</v>
      </c>
      <c r="F2038" s="67" t="s">
        <v>1460</v>
      </c>
      <c r="G2038" s="69">
        <v>13</v>
      </c>
    </row>
    <row r="2039" spans="1:7">
      <c r="A2039" s="67" t="s">
        <v>3521</v>
      </c>
      <c r="B2039" s="70">
        <v>46215</v>
      </c>
      <c r="C2039" s="67" t="s">
        <v>1411</v>
      </c>
      <c r="D2039" s="67" t="s">
        <v>1506</v>
      </c>
      <c r="E2039" s="67" t="s">
        <v>1482</v>
      </c>
      <c r="F2039" s="67" t="s">
        <v>1462</v>
      </c>
      <c r="G2039" s="69">
        <v>345</v>
      </c>
    </row>
    <row r="2040" spans="1:7">
      <c r="A2040" s="67" t="s">
        <v>3522</v>
      </c>
      <c r="B2040" s="70">
        <v>46215</v>
      </c>
      <c r="C2040" s="67" t="s">
        <v>1425</v>
      </c>
      <c r="D2040" s="67" t="s">
        <v>1607</v>
      </c>
      <c r="E2040" s="67" t="s">
        <v>1470</v>
      </c>
      <c r="F2040" s="67" t="s">
        <v>1462</v>
      </c>
      <c r="G2040" s="69">
        <v>30</v>
      </c>
    </row>
    <row r="2041" spans="1:7">
      <c r="A2041" s="67" t="s">
        <v>3523</v>
      </c>
      <c r="B2041" s="70">
        <v>46215</v>
      </c>
      <c r="C2041" s="67" t="s">
        <v>1448</v>
      </c>
      <c r="D2041" s="67" t="s">
        <v>1618</v>
      </c>
      <c r="E2041" s="67" t="s">
        <v>1433</v>
      </c>
      <c r="F2041" s="67" t="s">
        <v>1462</v>
      </c>
      <c r="G2041" s="69">
        <v>293</v>
      </c>
    </row>
    <row r="2042" spans="1:7">
      <c r="A2042" s="67" t="s">
        <v>3524</v>
      </c>
      <c r="B2042" s="70">
        <v>46216</v>
      </c>
      <c r="C2042" s="67" t="s">
        <v>1359</v>
      </c>
      <c r="D2042" s="67" t="s">
        <v>1551</v>
      </c>
      <c r="E2042" s="67" t="s">
        <v>1362</v>
      </c>
      <c r="F2042" s="67" t="s">
        <v>1460</v>
      </c>
      <c r="G2042" s="69">
        <v>24</v>
      </c>
    </row>
    <row r="2043" spans="1:7">
      <c r="A2043" s="67" t="s">
        <v>3525</v>
      </c>
      <c r="B2043" s="70">
        <v>46216</v>
      </c>
      <c r="C2043" s="67" t="s">
        <v>1359</v>
      </c>
      <c r="D2043" s="67" t="s">
        <v>1551</v>
      </c>
      <c r="E2043" s="67" t="s">
        <v>1362</v>
      </c>
      <c r="F2043" s="67" t="s">
        <v>1462</v>
      </c>
      <c r="G2043" s="69">
        <v>250</v>
      </c>
    </row>
    <row r="2044" spans="1:7">
      <c r="A2044" s="67" t="s">
        <v>3526</v>
      </c>
      <c r="B2044" s="70">
        <v>46216</v>
      </c>
      <c r="C2044" s="67" t="s">
        <v>1359</v>
      </c>
      <c r="D2044" s="67" t="s">
        <v>1551</v>
      </c>
      <c r="E2044" s="67" t="s">
        <v>1362</v>
      </c>
      <c r="F2044" s="67" t="s">
        <v>1462</v>
      </c>
      <c r="G2044" s="69">
        <v>57</v>
      </c>
    </row>
    <row r="2045" spans="1:7">
      <c r="A2045" s="67" t="s">
        <v>3527</v>
      </c>
      <c r="B2045" s="70">
        <v>46216</v>
      </c>
      <c r="C2045" s="67" t="s">
        <v>1366</v>
      </c>
      <c r="D2045" s="67" t="s">
        <v>353</v>
      </c>
      <c r="E2045" s="67" t="s">
        <v>1368</v>
      </c>
      <c r="F2045" s="67" t="s">
        <v>1462</v>
      </c>
      <c r="G2045" s="69">
        <v>561</v>
      </c>
    </row>
    <row r="2046" spans="1:7">
      <c r="A2046" s="67" t="s">
        <v>3528</v>
      </c>
      <c r="B2046" s="70">
        <v>46216</v>
      </c>
      <c r="C2046" s="67" t="s">
        <v>1366</v>
      </c>
      <c r="D2046" s="67" t="s">
        <v>1511</v>
      </c>
      <c r="E2046" s="67" t="s">
        <v>1470</v>
      </c>
      <c r="F2046" s="67" t="s">
        <v>1488</v>
      </c>
      <c r="G2046" s="69">
        <v>3</v>
      </c>
    </row>
    <row r="2047" spans="1:7">
      <c r="A2047" s="67" t="s">
        <v>3529</v>
      </c>
      <c r="B2047" s="70">
        <v>46216</v>
      </c>
      <c r="C2047" s="67" t="s">
        <v>1366</v>
      </c>
      <c r="D2047" s="67" t="s">
        <v>367</v>
      </c>
      <c r="E2047" s="67" t="s">
        <v>1368</v>
      </c>
      <c r="F2047" s="67" t="s">
        <v>1460</v>
      </c>
      <c r="G2047" s="69">
        <v>5</v>
      </c>
    </row>
    <row r="2048" spans="1:7">
      <c r="A2048" s="67" t="s">
        <v>3530</v>
      </c>
      <c r="B2048" s="70">
        <v>46216</v>
      </c>
      <c r="C2048" s="67" t="s">
        <v>1371</v>
      </c>
      <c r="D2048" s="67" t="s">
        <v>363</v>
      </c>
      <c r="E2048" s="67" t="s">
        <v>1368</v>
      </c>
      <c r="F2048" s="67" t="s">
        <v>1462</v>
      </c>
      <c r="G2048" s="69">
        <v>473</v>
      </c>
    </row>
    <row r="2049" spans="1:7">
      <c r="A2049" s="67" t="s">
        <v>3531</v>
      </c>
      <c r="B2049" s="70">
        <v>46216</v>
      </c>
      <c r="C2049" s="67" t="s">
        <v>1371</v>
      </c>
      <c r="D2049" s="67" t="s">
        <v>1551</v>
      </c>
      <c r="E2049" s="67" t="s">
        <v>1362</v>
      </c>
      <c r="F2049" s="67" t="s">
        <v>1462</v>
      </c>
      <c r="G2049" s="69">
        <v>186</v>
      </c>
    </row>
    <row r="2050" spans="1:7">
      <c r="A2050" s="67" t="s">
        <v>3532</v>
      </c>
      <c r="B2050" s="70">
        <v>46216</v>
      </c>
      <c r="C2050" s="67" t="s">
        <v>1371</v>
      </c>
      <c r="D2050" s="67" t="s">
        <v>1459</v>
      </c>
      <c r="E2050" s="67" t="s">
        <v>1362</v>
      </c>
      <c r="F2050" s="67" t="s">
        <v>1460</v>
      </c>
      <c r="G2050" s="69">
        <v>5</v>
      </c>
    </row>
    <row r="2051" spans="1:7">
      <c r="A2051" s="67" t="s">
        <v>3533</v>
      </c>
      <c r="B2051" s="70">
        <v>46216</v>
      </c>
      <c r="C2051" s="67" t="s">
        <v>1381</v>
      </c>
      <c r="D2051" s="67" t="s">
        <v>353</v>
      </c>
      <c r="E2051" s="67" t="s">
        <v>1368</v>
      </c>
      <c r="F2051" s="67" t="s">
        <v>1462</v>
      </c>
      <c r="G2051" s="69">
        <v>163</v>
      </c>
    </row>
    <row r="2052" spans="1:7">
      <c r="A2052" s="67" t="s">
        <v>3534</v>
      </c>
      <c r="B2052" s="70">
        <v>46216</v>
      </c>
      <c r="C2052" s="67" t="s">
        <v>1381</v>
      </c>
      <c r="D2052" s="67" t="s">
        <v>360</v>
      </c>
      <c r="E2052" s="67" t="s">
        <v>1368</v>
      </c>
      <c r="F2052" s="67" t="s">
        <v>1462</v>
      </c>
      <c r="G2052" s="69">
        <v>46</v>
      </c>
    </row>
    <row r="2053" spans="1:7">
      <c r="A2053" s="67" t="s">
        <v>3535</v>
      </c>
      <c r="B2053" s="70">
        <v>46216</v>
      </c>
      <c r="C2053" s="67" t="s">
        <v>1381</v>
      </c>
      <c r="D2053" s="67" t="s">
        <v>369</v>
      </c>
      <c r="E2053" s="67" t="s">
        <v>1368</v>
      </c>
      <c r="F2053" s="67" t="s">
        <v>1462</v>
      </c>
      <c r="G2053" s="69">
        <v>532</v>
      </c>
    </row>
    <row r="2054" spans="1:7">
      <c r="A2054" s="67" t="s">
        <v>3536</v>
      </c>
      <c r="B2054" s="70">
        <v>46216</v>
      </c>
      <c r="C2054" s="67" t="s">
        <v>1389</v>
      </c>
      <c r="D2054" s="67" t="s">
        <v>369</v>
      </c>
      <c r="E2054" s="67" t="s">
        <v>1368</v>
      </c>
      <c r="F2054" s="67" t="s">
        <v>1462</v>
      </c>
      <c r="G2054" s="69">
        <v>478</v>
      </c>
    </row>
    <row r="2055" spans="1:7">
      <c r="A2055" s="67" t="s">
        <v>3537</v>
      </c>
      <c r="B2055" s="70">
        <v>46216</v>
      </c>
      <c r="C2055" s="67" t="s">
        <v>1399</v>
      </c>
      <c r="D2055" s="67" t="s">
        <v>1476</v>
      </c>
      <c r="E2055" s="67" t="s">
        <v>1362</v>
      </c>
      <c r="F2055" s="67" t="s">
        <v>1462</v>
      </c>
      <c r="G2055" s="69">
        <v>515</v>
      </c>
    </row>
    <row r="2056" spans="1:7">
      <c r="A2056" s="67" t="s">
        <v>3538</v>
      </c>
      <c r="B2056" s="70">
        <v>46216</v>
      </c>
      <c r="C2056" s="67" t="s">
        <v>1399</v>
      </c>
      <c r="D2056" s="67" t="s">
        <v>1551</v>
      </c>
      <c r="E2056" s="67" t="s">
        <v>1362</v>
      </c>
      <c r="F2056" s="67" t="s">
        <v>1462</v>
      </c>
      <c r="G2056" s="69">
        <v>170</v>
      </c>
    </row>
    <row r="2057" spans="1:7">
      <c r="A2057" s="67" t="s">
        <v>3539</v>
      </c>
      <c r="B2057" s="70">
        <v>46216</v>
      </c>
      <c r="C2057" s="67" t="s">
        <v>1404</v>
      </c>
      <c r="D2057" s="67" t="s">
        <v>363</v>
      </c>
      <c r="E2057" s="67" t="s">
        <v>1368</v>
      </c>
      <c r="F2057" s="67" t="s">
        <v>1462</v>
      </c>
      <c r="G2057" s="69">
        <v>399</v>
      </c>
    </row>
    <row r="2058" spans="1:7">
      <c r="A2058" s="67" t="s">
        <v>3540</v>
      </c>
      <c r="B2058" s="70">
        <v>46216</v>
      </c>
      <c r="C2058" s="67" t="s">
        <v>1404</v>
      </c>
      <c r="D2058" s="67" t="s">
        <v>369</v>
      </c>
      <c r="E2058" s="67" t="s">
        <v>1368</v>
      </c>
      <c r="F2058" s="67" t="s">
        <v>1462</v>
      </c>
      <c r="G2058" s="69">
        <v>159</v>
      </c>
    </row>
    <row r="2059" spans="1:7">
      <c r="A2059" s="67" t="s">
        <v>3541</v>
      </c>
      <c r="B2059" s="70">
        <v>46216</v>
      </c>
      <c r="C2059" s="67" t="s">
        <v>1404</v>
      </c>
      <c r="D2059" s="67" t="s">
        <v>358</v>
      </c>
      <c r="E2059" s="67" t="s">
        <v>1368</v>
      </c>
      <c r="F2059" s="67" t="s">
        <v>1460</v>
      </c>
      <c r="G2059" s="69">
        <v>20</v>
      </c>
    </row>
    <row r="2060" spans="1:7">
      <c r="A2060" s="67" t="s">
        <v>3542</v>
      </c>
      <c r="B2060" s="70">
        <v>46216</v>
      </c>
      <c r="C2060" s="67" t="s">
        <v>1406</v>
      </c>
      <c r="D2060" s="67" t="s">
        <v>353</v>
      </c>
      <c r="E2060" s="67" t="s">
        <v>1368</v>
      </c>
      <c r="F2060" s="67" t="s">
        <v>1462</v>
      </c>
      <c r="G2060" s="69">
        <v>282</v>
      </c>
    </row>
    <row r="2061" spans="1:7">
      <c r="A2061" s="67" t="s">
        <v>3543</v>
      </c>
      <c r="B2061" s="70">
        <v>46216</v>
      </c>
      <c r="C2061" s="67" t="s">
        <v>1411</v>
      </c>
      <c r="D2061" s="67" t="s">
        <v>1506</v>
      </c>
      <c r="E2061" s="67" t="s">
        <v>1482</v>
      </c>
      <c r="F2061" s="67" t="s">
        <v>1462</v>
      </c>
      <c r="G2061" s="69">
        <v>246</v>
      </c>
    </row>
    <row r="2062" spans="1:7">
      <c r="A2062" s="67" t="s">
        <v>3544</v>
      </c>
      <c r="B2062" s="70">
        <v>46216</v>
      </c>
      <c r="C2062" s="67" t="s">
        <v>1429</v>
      </c>
      <c r="D2062" s="67" t="s">
        <v>367</v>
      </c>
      <c r="E2062" s="67" t="s">
        <v>1368</v>
      </c>
      <c r="F2062" s="67" t="s">
        <v>1462</v>
      </c>
      <c r="G2062" s="69">
        <v>248</v>
      </c>
    </row>
    <row r="2063" spans="1:7">
      <c r="A2063" s="67" t="s">
        <v>3545</v>
      </c>
      <c r="B2063" s="70">
        <v>46216</v>
      </c>
      <c r="C2063" s="67" t="s">
        <v>1444</v>
      </c>
      <c r="D2063" s="67" t="s">
        <v>1602</v>
      </c>
      <c r="E2063" s="67" t="s">
        <v>1386</v>
      </c>
      <c r="F2063" s="67" t="s">
        <v>1462</v>
      </c>
      <c r="G2063" s="69">
        <v>200</v>
      </c>
    </row>
    <row r="2064" spans="1:7">
      <c r="A2064" s="67" t="s">
        <v>3546</v>
      </c>
      <c r="B2064" s="70">
        <v>46216</v>
      </c>
      <c r="C2064" s="67" t="s">
        <v>1446</v>
      </c>
      <c r="D2064" s="67" t="s">
        <v>356</v>
      </c>
      <c r="E2064" s="67" t="s">
        <v>1368</v>
      </c>
      <c r="F2064" s="67" t="s">
        <v>1462</v>
      </c>
      <c r="G2064" s="69">
        <v>305</v>
      </c>
    </row>
    <row r="2065" spans="1:7">
      <c r="A2065" s="67" t="s">
        <v>3547</v>
      </c>
      <c r="B2065" s="70">
        <v>46216</v>
      </c>
      <c r="C2065" s="67" t="s">
        <v>1448</v>
      </c>
      <c r="D2065" s="67" t="s">
        <v>1520</v>
      </c>
      <c r="E2065" s="67" t="s">
        <v>1433</v>
      </c>
      <c r="F2065" s="67" t="s">
        <v>1460</v>
      </c>
      <c r="G2065" s="69">
        <v>21</v>
      </c>
    </row>
    <row r="2066" spans="1:7">
      <c r="A2066" s="67" t="s">
        <v>3548</v>
      </c>
      <c r="B2066" s="70">
        <v>46217</v>
      </c>
      <c r="C2066" s="67" t="s">
        <v>1359</v>
      </c>
      <c r="D2066" s="67" t="s">
        <v>356</v>
      </c>
      <c r="E2066" s="67" t="s">
        <v>1368</v>
      </c>
      <c r="F2066" s="67" t="s">
        <v>1462</v>
      </c>
      <c r="G2066" s="69">
        <v>466</v>
      </c>
    </row>
    <row r="2067" spans="1:7">
      <c r="A2067" s="67" t="s">
        <v>3549</v>
      </c>
      <c r="B2067" s="70">
        <v>46217</v>
      </c>
      <c r="C2067" s="67" t="s">
        <v>1359</v>
      </c>
      <c r="D2067" s="67" t="s">
        <v>1551</v>
      </c>
      <c r="E2067" s="67" t="s">
        <v>1362</v>
      </c>
      <c r="F2067" s="67" t="s">
        <v>1460</v>
      </c>
      <c r="G2067" s="69">
        <v>9</v>
      </c>
    </row>
    <row r="2068" spans="1:7">
      <c r="A2068" s="67" t="s">
        <v>3550</v>
      </c>
      <c r="B2068" s="70">
        <v>46217</v>
      </c>
      <c r="C2068" s="67" t="s">
        <v>1359</v>
      </c>
      <c r="D2068" s="67" t="s">
        <v>1459</v>
      </c>
      <c r="E2068" s="67" t="s">
        <v>1362</v>
      </c>
      <c r="F2068" s="67" t="s">
        <v>1460</v>
      </c>
      <c r="G2068" s="69">
        <v>25</v>
      </c>
    </row>
    <row r="2069" spans="1:7">
      <c r="A2069" s="67" t="s">
        <v>3551</v>
      </c>
      <c r="B2069" s="70">
        <v>46217</v>
      </c>
      <c r="C2069" s="67" t="s">
        <v>1359</v>
      </c>
      <c r="D2069" s="67" t="s">
        <v>1459</v>
      </c>
      <c r="E2069" s="67" t="s">
        <v>1362</v>
      </c>
      <c r="F2069" s="67" t="s">
        <v>1462</v>
      </c>
      <c r="G2069" s="69">
        <v>400</v>
      </c>
    </row>
    <row r="2070" spans="1:7">
      <c r="A2070" s="67" t="s">
        <v>3552</v>
      </c>
      <c r="B2070" s="70">
        <v>46217</v>
      </c>
      <c r="C2070" s="67" t="s">
        <v>1366</v>
      </c>
      <c r="D2070" s="67" t="s">
        <v>356</v>
      </c>
      <c r="E2070" s="67" t="s">
        <v>1368</v>
      </c>
      <c r="F2070" s="67" t="s">
        <v>1462</v>
      </c>
      <c r="G2070" s="69">
        <v>146</v>
      </c>
    </row>
    <row r="2071" spans="1:7">
      <c r="A2071" s="67" t="s">
        <v>3553</v>
      </c>
      <c r="B2071" s="70">
        <v>46217</v>
      </c>
      <c r="C2071" s="67" t="s">
        <v>1366</v>
      </c>
      <c r="D2071" s="67" t="s">
        <v>367</v>
      </c>
      <c r="E2071" s="67" t="s">
        <v>1368</v>
      </c>
      <c r="F2071" s="67" t="s">
        <v>1460</v>
      </c>
      <c r="G2071" s="69">
        <v>24</v>
      </c>
    </row>
    <row r="2072" spans="1:7">
      <c r="A2072" s="67" t="s">
        <v>3554</v>
      </c>
      <c r="B2072" s="70">
        <v>46217</v>
      </c>
      <c r="C2072" s="67" t="s">
        <v>1366</v>
      </c>
      <c r="D2072" s="67" t="s">
        <v>358</v>
      </c>
      <c r="E2072" s="67" t="s">
        <v>1368</v>
      </c>
      <c r="F2072" s="67" t="s">
        <v>1460</v>
      </c>
      <c r="G2072" s="69">
        <v>12</v>
      </c>
    </row>
    <row r="2073" spans="1:7">
      <c r="A2073" s="67" t="s">
        <v>3555</v>
      </c>
      <c r="B2073" s="70">
        <v>46217</v>
      </c>
      <c r="C2073" s="67" t="s">
        <v>1371</v>
      </c>
      <c r="D2073" s="67" t="s">
        <v>1476</v>
      </c>
      <c r="E2073" s="67" t="s">
        <v>1362</v>
      </c>
      <c r="F2073" s="67" t="s">
        <v>1462</v>
      </c>
      <c r="G2073" s="69">
        <v>572</v>
      </c>
    </row>
    <row r="2074" spans="1:7">
      <c r="A2074" s="67" t="s">
        <v>3556</v>
      </c>
      <c r="B2074" s="70">
        <v>46217</v>
      </c>
      <c r="C2074" s="67" t="s">
        <v>1375</v>
      </c>
      <c r="D2074" s="67" t="s">
        <v>363</v>
      </c>
      <c r="E2074" s="67" t="s">
        <v>1368</v>
      </c>
      <c r="F2074" s="67" t="s">
        <v>1462</v>
      </c>
      <c r="G2074" s="69">
        <v>309</v>
      </c>
    </row>
    <row r="2075" spans="1:7">
      <c r="A2075" s="67" t="s">
        <v>3557</v>
      </c>
      <c r="B2075" s="70">
        <v>46217</v>
      </c>
      <c r="C2075" s="67" t="s">
        <v>1375</v>
      </c>
      <c r="D2075" s="67" t="s">
        <v>367</v>
      </c>
      <c r="E2075" s="67" t="s">
        <v>1368</v>
      </c>
      <c r="F2075" s="67" t="s">
        <v>1462</v>
      </c>
      <c r="G2075" s="69">
        <v>394</v>
      </c>
    </row>
    <row r="2076" spans="1:7">
      <c r="A2076" s="67" t="s">
        <v>3558</v>
      </c>
      <c r="B2076" s="70">
        <v>46217</v>
      </c>
      <c r="C2076" s="67" t="s">
        <v>1378</v>
      </c>
      <c r="D2076" s="67" t="s">
        <v>358</v>
      </c>
      <c r="E2076" s="67" t="s">
        <v>1368</v>
      </c>
      <c r="F2076" s="67" t="s">
        <v>1462</v>
      </c>
      <c r="G2076" s="69">
        <v>97</v>
      </c>
    </row>
    <row r="2077" spans="1:7">
      <c r="A2077" s="67" t="s">
        <v>3559</v>
      </c>
      <c r="B2077" s="70">
        <v>46217</v>
      </c>
      <c r="C2077" s="67" t="s">
        <v>1381</v>
      </c>
      <c r="D2077" s="67" t="s">
        <v>1511</v>
      </c>
      <c r="E2077" s="67" t="s">
        <v>1470</v>
      </c>
      <c r="F2077" s="67" t="s">
        <v>1462</v>
      </c>
      <c r="G2077" s="69">
        <v>118</v>
      </c>
    </row>
    <row r="2078" spans="1:7">
      <c r="A2078" s="67" t="s">
        <v>3560</v>
      </c>
      <c r="B2078" s="70">
        <v>46217</v>
      </c>
      <c r="C2078" s="67" t="s">
        <v>1384</v>
      </c>
      <c r="D2078" s="67" t="s">
        <v>1466</v>
      </c>
      <c r="E2078" s="67" t="s">
        <v>1386</v>
      </c>
      <c r="F2078" s="67" t="s">
        <v>1462</v>
      </c>
      <c r="G2078" s="69">
        <v>120</v>
      </c>
    </row>
    <row r="2079" spans="1:7">
      <c r="A2079" s="67" t="s">
        <v>3561</v>
      </c>
      <c r="B2079" s="70">
        <v>46217</v>
      </c>
      <c r="C2079" s="67" t="s">
        <v>1393</v>
      </c>
      <c r="D2079" s="67" t="s">
        <v>353</v>
      </c>
      <c r="E2079" s="67" t="s">
        <v>1368</v>
      </c>
      <c r="F2079" s="67" t="s">
        <v>1462</v>
      </c>
      <c r="G2079" s="69">
        <v>360</v>
      </c>
    </row>
    <row r="2080" spans="1:7">
      <c r="A2080" s="67" t="s">
        <v>3562</v>
      </c>
      <c r="B2080" s="70">
        <v>46217</v>
      </c>
      <c r="C2080" s="67" t="s">
        <v>1393</v>
      </c>
      <c r="D2080" s="67" t="s">
        <v>1618</v>
      </c>
      <c r="E2080" s="67" t="s">
        <v>1433</v>
      </c>
      <c r="F2080" s="67" t="s">
        <v>1462</v>
      </c>
      <c r="G2080" s="69">
        <v>242</v>
      </c>
    </row>
    <row r="2081" spans="1:7">
      <c r="A2081" s="67" t="s">
        <v>3563</v>
      </c>
      <c r="B2081" s="70">
        <v>46217</v>
      </c>
      <c r="C2081" s="67" t="s">
        <v>1399</v>
      </c>
      <c r="D2081" s="67" t="s">
        <v>1476</v>
      </c>
      <c r="E2081" s="67" t="s">
        <v>1362</v>
      </c>
      <c r="F2081" s="67" t="s">
        <v>1462</v>
      </c>
      <c r="G2081" s="69">
        <v>491</v>
      </c>
    </row>
    <row r="2082" spans="1:7">
      <c r="A2082" s="67" t="s">
        <v>3564</v>
      </c>
      <c r="B2082" s="70">
        <v>46217</v>
      </c>
      <c r="C2082" s="67" t="s">
        <v>1404</v>
      </c>
      <c r="D2082" s="67" t="s">
        <v>353</v>
      </c>
      <c r="E2082" s="67" t="s">
        <v>1368</v>
      </c>
      <c r="F2082" s="67" t="s">
        <v>1460</v>
      </c>
      <c r="G2082" s="69">
        <v>29</v>
      </c>
    </row>
    <row r="2083" spans="1:7">
      <c r="A2083" s="67" t="s">
        <v>3565</v>
      </c>
      <c r="B2083" s="70">
        <v>46217</v>
      </c>
      <c r="C2083" s="67" t="s">
        <v>1404</v>
      </c>
      <c r="D2083" s="67" t="s">
        <v>356</v>
      </c>
      <c r="E2083" s="67" t="s">
        <v>1368</v>
      </c>
      <c r="F2083" s="67" t="s">
        <v>1462</v>
      </c>
      <c r="G2083" s="69">
        <v>121</v>
      </c>
    </row>
    <row r="2084" spans="1:7">
      <c r="A2084" s="67" t="s">
        <v>3566</v>
      </c>
      <c r="B2084" s="70">
        <v>46217</v>
      </c>
      <c r="C2084" s="67" t="s">
        <v>1404</v>
      </c>
      <c r="D2084" s="67" t="s">
        <v>363</v>
      </c>
      <c r="E2084" s="67" t="s">
        <v>1368</v>
      </c>
      <c r="F2084" s="67" t="s">
        <v>1460</v>
      </c>
      <c r="G2084" s="69">
        <v>23</v>
      </c>
    </row>
    <row r="2085" spans="1:7">
      <c r="A2085" s="67" t="s">
        <v>3567</v>
      </c>
      <c r="B2085" s="70">
        <v>46217</v>
      </c>
      <c r="C2085" s="67" t="s">
        <v>1404</v>
      </c>
      <c r="D2085" s="67" t="s">
        <v>1484</v>
      </c>
      <c r="E2085" s="67" t="s">
        <v>1470</v>
      </c>
      <c r="F2085" s="67" t="s">
        <v>1460</v>
      </c>
      <c r="G2085" s="69">
        <v>30</v>
      </c>
    </row>
    <row r="2086" spans="1:7">
      <c r="A2086" s="67" t="s">
        <v>3568</v>
      </c>
      <c r="B2086" s="70">
        <v>46217</v>
      </c>
      <c r="C2086" s="67" t="s">
        <v>1411</v>
      </c>
      <c r="D2086" s="67" t="s">
        <v>1506</v>
      </c>
      <c r="E2086" s="67" t="s">
        <v>1482</v>
      </c>
      <c r="F2086" s="67" t="s">
        <v>1462</v>
      </c>
      <c r="G2086" s="69">
        <v>30</v>
      </c>
    </row>
    <row r="2087" spans="1:7">
      <c r="A2087" s="67" t="s">
        <v>3569</v>
      </c>
      <c r="B2087" s="70">
        <v>46217</v>
      </c>
      <c r="C2087" s="67" t="s">
        <v>1411</v>
      </c>
      <c r="D2087" s="67" t="s">
        <v>1506</v>
      </c>
      <c r="E2087" s="67" t="s">
        <v>1482</v>
      </c>
      <c r="F2087" s="67" t="s">
        <v>1462</v>
      </c>
      <c r="G2087" s="69">
        <v>339</v>
      </c>
    </row>
    <row r="2088" spans="1:7">
      <c r="A2088" s="67" t="s">
        <v>3570</v>
      </c>
      <c r="B2088" s="70">
        <v>46217</v>
      </c>
      <c r="C2088" s="67" t="s">
        <v>1411</v>
      </c>
      <c r="D2088" s="67" t="s">
        <v>1481</v>
      </c>
      <c r="E2088" s="67" t="s">
        <v>1482</v>
      </c>
      <c r="F2088" s="67" t="s">
        <v>1462</v>
      </c>
      <c r="G2088" s="69">
        <v>88</v>
      </c>
    </row>
    <row r="2089" spans="1:7">
      <c r="A2089" s="67" t="s">
        <v>3571</v>
      </c>
      <c r="B2089" s="70">
        <v>46217</v>
      </c>
      <c r="C2089" s="67" t="s">
        <v>1414</v>
      </c>
      <c r="D2089" s="67" t="s">
        <v>1607</v>
      </c>
      <c r="E2089" s="67" t="s">
        <v>1470</v>
      </c>
      <c r="F2089" s="67" t="s">
        <v>1462</v>
      </c>
      <c r="G2089" s="69">
        <v>568</v>
      </c>
    </row>
    <row r="2090" spans="1:7">
      <c r="A2090" s="67" t="s">
        <v>3572</v>
      </c>
      <c r="B2090" s="70">
        <v>46217</v>
      </c>
      <c r="C2090" s="67" t="s">
        <v>1423</v>
      </c>
      <c r="D2090" s="67" t="s">
        <v>1479</v>
      </c>
      <c r="E2090" s="67" t="s">
        <v>1410</v>
      </c>
      <c r="F2090" s="67" t="s">
        <v>1462</v>
      </c>
      <c r="G2090" s="69">
        <v>156</v>
      </c>
    </row>
    <row r="2091" spans="1:7">
      <c r="A2091" s="67" t="s">
        <v>3573</v>
      </c>
      <c r="B2091" s="70">
        <v>46217</v>
      </c>
      <c r="C2091" s="67" t="s">
        <v>1429</v>
      </c>
      <c r="D2091" s="67" t="s">
        <v>369</v>
      </c>
      <c r="E2091" s="67" t="s">
        <v>1368</v>
      </c>
      <c r="F2091" s="67" t="s">
        <v>1462</v>
      </c>
      <c r="G2091" s="69">
        <v>201</v>
      </c>
    </row>
    <row r="2092" spans="1:7">
      <c r="A2092" s="67" t="s">
        <v>3574</v>
      </c>
      <c r="B2092" s="70">
        <v>46217</v>
      </c>
      <c r="C2092" s="67" t="s">
        <v>1446</v>
      </c>
      <c r="D2092" s="67" t="s">
        <v>1551</v>
      </c>
      <c r="E2092" s="67" t="s">
        <v>1362</v>
      </c>
      <c r="F2092" s="67" t="s">
        <v>1460</v>
      </c>
      <c r="G2092" s="69">
        <v>25</v>
      </c>
    </row>
    <row r="2093" spans="1:7">
      <c r="A2093" s="67" t="s">
        <v>3575</v>
      </c>
      <c r="B2093" s="70">
        <v>46217</v>
      </c>
      <c r="C2093" s="67" t="s">
        <v>1450</v>
      </c>
      <c r="D2093" s="67" t="s">
        <v>1506</v>
      </c>
      <c r="E2093" s="67" t="s">
        <v>1482</v>
      </c>
      <c r="F2093" s="67" t="s">
        <v>1462</v>
      </c>
      <c r="G2093" s="69">
        <v>526</v>
      </c>
    </row>
    <row r="2094" spans="1:7">
      <c r="A2094" s="67" t="s">
        <v>3576</v>
      </c>
      <c r="B2094" s="70">
        <v>46217</v>
      </c>
      <c r="C2094" s="67" t="s">
        <v>1450</v>
      </c>
      <c r="D2094" s="67" t="s">
        <v>1481</v>
      </c>
      <c r="E2094" s="67" t="s">
        <v>1482</v>
      </c>
      <c r="F2094" s="67" t="s">
        <v>1462</v>
      </c>
      <c r="G2094" s="69">
        <v>276</v>
      </c>
    </row>
    <row r="2095" spans="1:7">
      <c r="A2095" s="67" t="s">
        <v>3577</v>
      </c>
      <c r="B2095" s="70">
        <v>46218</v>
      </c>
      <c r="C2095" s="67" t="s">
        <v>1359</v>
      </c>
      <c r="D2095" s="67" t="s">
        <v>1459</v>
      </c>
      <c r="E2095" s="67" t="s">
        <v>1362</v>
      </c>
      <c r="F2095" s="67" t="s">
        <v>1460</v>
      </c>
      <c r="G2095" s="69">
        <v>22</v>
      </c>
    </row>
    <row r="2096" spans="1:7">
      <c r="A2096" s="67" t="s">
        <v>3578</v>
      </c>
      <c r="B2096" s="70">
        <v>46218</v>
      </c>
      <c r="C2096" s="67" t="s">
        <v>1371</v>
      </c>
      <c r="D2096" s="67" t="s">
        <v>1476</v>
      </c>
      <c r="E2096" s="67" t="s">
        <v>1362</v>
      </c>
      <c r="F2096" s="67" t="s">
        <v>1462</v>
      </c>
      <c r="G2096" s="69">
        <v>39</v>
      </c>
    </row>
    <row r="2097" spans="1:7">
      <c r="A2097" s="67" t="s">
        <v>3579</v>
      </c>
      <c r="B2097" s="70">
        <v>46218</v>
      </c>
      <c r="C2097" s="67" t="s">
        <v>1371</v>
      </c>
      <c r="D2097" s="67" t="s">
        <v>1476</v>
      </c>
      <c r="E2097" s="67" t="s">
        <v>1362</v>
      </c>
      <c r="F2097" s="67" t="s">
        <v>1462</v>
      </c>
      <c r="G2097" s="69">
        <v>513</v>
      </c>
    </row>
    <row r="2098" spans="1:7">
      <c r="A2098" s="67" t="s">
        <v>3580</v>
      </c>
      <c r="B2098" s="70">
        <v>46218</v>
      </c>
      <c r="C2098" s="67" t="s">
        <v>1371</v>
      </c>
      <c r="D2098" s="67" t="s">
        <v>1476</v>
      </c>
      <c r="E2098" s="67" t="s">
        <v>1362</v>
      </c>
      <c r="F2098" s="67" t="s">
        <v>1462</v>
      </c>
      <c r="G2098" s="69">
        <v>193</v>
      </c>
    </row>
    <row r="2099" spans="1:7">
      <c r="A2099" s="67" t="s">
        <v>3581</v>
      </c>
      <c r="B2099" s="70">
        <v>46218</v>
      </c>
      <c r="C2099" s="67" t="s">
        <v>1371</v>
      </c>
      <c r="D2099" s="67" t="s">
        <v>1459</v>
      </c>
      <c r="E2099" s="67" t="s">
        <v>1362</v>
      </c>
      <c r="F2099" s="67" t="s">
        <v>1462</v>
      </c>
      <c r="G2099" s="69">
        <v>87</v>
      </c>
    </row>
    <row r="2100" spans="1:7">
      <c r="A2100" s="67" t="s">
        <v>3582</v>
      </c>
      <c r="B2100" s="70">
        <v>46218</v>
      </c>
      <c r="C2100" s="67" t="s">
        <v>1381</v>
      </c>
      <c r="D2100" s="67" t="s">
        <v>356</v>
      </c>
      <c r="E2100" s="67" t="s">
        <v>1368</v>
      </c>
      <c r="F2100" s="67" t="s">
        <v>1462</v>
      </c>
      <c r="G2100" s="69">
        <v>165</v>
      </c>
    </row>
    <row r="2101" spans="1:7">
      <c r="A2101" s="67" t="s">
        <v>3583</v>
      </c>
      <c r="B2101" s="70">
        <v>46218</v>
      </c>
      <c r="C2101" s="67" t="s">
        <v>1381</v>
      </c>
      <c r="D2101" s="67" t="s">
        <v>367</v>
      </c>
      <c r="E2101" s="67" t="s">
        <v>1368</v>
      </c>
      <c r="F2101" s="67" t="s">
        <v>1462</v>
      </c>
      <c r="G2101" s="69">
        <v>166</v>
      </c>
    </row>
    <row r="2102" spans="1:7">
      <c r="A2102" s="67" t="s">
        <v>3584</v>
      </c>
      <c r="B2102" s="70">
        <v>46218</v>
      </c>
      <c r="C2102" s="67" t="s">
        <v>1384</v>
      </c>
      <c r="D2102" s="67" t="s">
        <v>1459</v>
      </c>
      <c r="E2102" s="67" t="s">
        <v>1362</v>
      </c>
      <c r="F2102" s="67" t="s">
        <v>1462</v>
      </c>
      <c r="G2102" s="69">
        <v>199</v>
      </c>
    </row>
    <row r="2103" spans="1:7">
      <c r="A2103" s="67" t="s">
        <v>3585</v>
      </c>
      <c r="B2103" s="70">
        <v>46218</v>
      </c>
      <c r="C2103" s="67" t="s">
        <v>1404</v>
      </c>
      <c r="D2103" s="67" t="s">
        <v>353</v>
      </c>
      <c r="E2103" s="67" t="s">
        <v>1368</v>
      </c>
      <c r="F2103" s="67" t="s">
        <v>1462</v>
      </c>
      <c r="G2103" s="69">
        <v>544</v>
      </c>
    </row>
    <row r="2104" spans="1:7">
      <c r="A2104" s="67" t="s">
        <v>3586</v>
      </c>
      <c r="B2104" s="70">
        <v>46218</v>
      </c>
      <c r="C2104" s="67" t="s">
        <v>1404</v>
      </c>
      <c r="D2104" s="67" t="s">
        <v>358</v>
      </c>
      <c r="E2104" s="67" t="s">
        <v>1368</v>
      </c>
      <c r="F2104" s="67" t="s">
        <v>1462</v>
      </c>
      <c r="G2104" s="69">
        <v>202</v>
      </c>
    </row>
    <row r="2105" spans="1:7">
      <c r="A2105" s="67" t="s">
        <v>3587</v>
      </c>
      <c r="B2105" s="70">
        <v>46218</v>
      </c>
      <c r="C2105" s="67" t="s">
        <v>1404</v>
      </c>
      <c r="D2105" s="67" t="s">
        <v>358</v>
      </c>
      <c r="E2105" s="67" t="s">
        <v>1368</v>
      </c>
      <c r="F2105" s="67" t="s">
        <v>1462</v>
      </c>
      <c r="G2105" s="69">
        <v>580</v>
      </c>
    </row>
    <row r="2106" spans="1:7">
      <c r="A2106" s="67" t="s">
        <v>3588</v>
      </c>
      <c r="B2106" s="70">
        <v>46218</v>
      </c>
      <c r="C2106" s="67" t="s">
        <v>1406</v>
      </c>
      <c r="D2106" s="67" t="s">
        <v>353</v>
      </c>
      <c r="E2106" s="67" t="s">
        <v>1368</v>
      </c>
      <c r="F2106" s="67" t="s">
        <v>1488</v>
      </c>
      <c r="G2106" s="69">
        <v>7</v>
      </c>
    </row>
    <row r="2107" spans="1:7">
      <c r="A2107" s="67" t="s">
        <v>3589</v>
      </c>
      <c r="B2107" s="70">
        <v>46218</v>
      </c>
      <c r="C2107" s="67" t="s">
        <v>1408</v>
      </c>
      <c r="D2107" s="67" t="s">
        <v>1479</v>
      </c>
      <c r="E2107" s="67" t="s">
        <v>1410</v>
      </c>
      <c r="F2107" s="67" t="s">
        <v>1462</v>
      </c>
      <c r="G2107" s="69">
        <v>566</v>
      </c>
    </row>
    <row r="2108" spans="1:7">
      <c r="A2108" s="67" t="s">
        <v>3590</v>
      </c>
      <c r="B2108" s="70">
        <v>46218</v>
      </c>
      <c r="C2108" s="67" t="s">
        <v>1411</v>
      </c>
      <c r="D2108" s="67" t="s">
        <v>1481</v>
      </c>
      <c r="E2108" s="67" t="s">
        <v>1482</v>
      </c>
      <c r="F2108" s="67" t="s">
        <v>1462</v>
      </c>
      <c r="G2108" s="69">
        <v>189</v>
      </c>
    </row>
    <row r="2109" spans="1:7">
      <c r="A2109" s="67" t="s">
        <v>3591</v>
      </c>
      <c r="B2109" s="70">
        <v>46218</v>
      </c>
      <c r="C2109" s="67" t="s">
        <v>1414</v>
      </c>
      <c r="D2109" s="67" t="s">
        <v>1484</v>
      </c>
      <c r="E2109" s="67" t="s">
        <v>1470</v>
      </c>
      <c r="F2109" s="67" t="s">
        <v>1488</v>
      </c>
      <c r="G2109" s="69">
        <v>5</v>
      </c>
    </row>
    <row r="2110" spans="1:7">
      <c r="A2110" s="67" t="s">
        <v>3592</v>
      </c>
      <c r="B2110" s="70">
        <v>46218</v>
      </c>
      <c r="C2110" s="67" t="s">
        <v>1431</v>
      </c>
      <c r="D2110" s="67" t="s">
        <v>1520</v>
      </c>
      <c r="E2110" s="67" t="s">
        <v>1433</v>
      </c>
      <c r="F2110" s="67" t="s">
        <v>1460</v>
      </c>
      <c r="G2110" s="69">
        <v>30</v>
      </c>
    </row>
    <row r="2111" spans="1:7">
      <c r="A2111" s="67" t="s">
        <v>3593</v>
      </c>
      <c r="B2111" s="70">
        <v>46218</v>
      </c>
      <c r="C2111" s="67" t="s">
        <v>1446</v>
      </c>
      <c r="D2111" s="67" t="s">
        <v>1476</v>
      </c>
      <c r="E2111" s="67" t="s">
        <v>1362</v>
      </c>
      <c r="F2111" s="67" t="s">
        <v>1462</v>
      </c>
      <c r="G2111" s="69">
        <v>344</v>
      </c>
    </row>
    <row r="2112" spans="1:7">
      <c r="A2112" s="67" t="s">
        <v>3594</v>
      </c>
      <c r="B2112" s="70">
        <v>46218</v>
      </c>
      <c r="C2112" s="67" t="s">
        <v>1446</v>
      </c>
      <c r="D2112" s="67" t="s">
        <v>1466</v>
      </c>
      <c r="E2112" s="67" t="s">
        <v>1386</v>
      </c>
      <c r="F2112" s="67" t="s">
        <v>1462</v>
      </c>
      <c r="G2112" s="69">
        <v>20</v>
      </c>
    </row>
    <row r="2113" spans="1:7">
      <c r="A2113" s="67" t="s">
        <v>3595</v>
      </c>
      <c r="B2113" s="70">
        <v>46219</v>
      </c>
      <c r="C2113" s="67" t="s">
        <v>1359</v>
      </c>
      <c r="D2113" s="67" t="s">
        <v>1476</v>
      </c>
      <c r="E2113" s="67" t="s">
        <v>1362</v>
      </c>
      <c r="F2113" s="67" t="s">
        <v>1460</v>
      </c>
      <c r="G2113" s="69">
        <v>30</v>
      </c>
    </row>
    <row r="2114" spans="1:7">
      <c r="A2114" s="67" t="s">
        <v>3596</v>
      </c>
      <c r="B2114" s="70">
        <v>46219</v>
      </c>
      <c r="C2114" s="67" t="s">
        <v>1359</v>
      </c>
      <c r="D2114" s="67" t="s">
        <v>367</v>
      </c>
      <c r="E2114" s="67" t="s">
        <v>1368</v>
      </c>
      <c r="F2114" s="67" t="s">
        <v>1462</v>
      </c>
      <c r="G2114" s="69">
        <v>175</v>
      </c>
    </row>
    <row r="2115" spans="1:7">
      <c r="A2115" s="67" t="s">
        <v>3597</v>
      </c>
      <c r="B2115" s="70">
        <v>46219</v>
      </c>
      <c r="C2115" s="67" t="s">
        <v>1359</v>
      </c>
      <c r="D2115" s="67" t="s">
        <v>358</v>
      </c>
      <c r="E2115" s="67" t="s">
        <v>1368</v>
      </c>
      <c r="F2115" s="67" t="s">
        <v>1462</v>
      </c>
      <c r="G2115" s="69">
        <v>201</v>
      </c>
    </row>
    <row r="2116" spans="1:7">
      <c r="A2116" s="67" t="s">
        <v>3598</v>
      </c>
      <c r="B2116" s="70">
        <v>46219</v>
      </c>
      <c r="C2116" s="67" t="s">
        <v>1366</v>
      </c>
      <c r="D2116" s="67" t="s">
        <v>1484</v>
      </c>
      <c r="E2116" s="67" t="s">
        <v>1470</v>
      </c>
      <c r="F2116" s="67" t="s">
        <v>1462</v>
      </c>
      <c r="G2116" s="69">
        <v>208</v>
      </c>
    </row>
    <row r="2117" spans="1:7">
      <c r="A2117" s="67" t="s">
        <v>3599</v>
      </c>
      <c r="B2117" s="70">
        <v>46219</v>
      </c>
      <c r="C2117" s="67" t="s">
        <v>1366</v>
      </c>
      <c r="D2117" s="67" t="s">
        <v>367</v>
      </c>
      <c r="E2117" s="67" t="s">
        <v>1368</v>
      </c>
      <c r="F2117" s="67" t="s">
        <v>1462</v>
      </c>
      <c r="G2117" s="69">
        <v>508</v>
      </c>
    </row>
    <row r="2118" spans="1:7">
      <c r="A2118" s="67" t="s">
        <v>3600</v>
      </c>
      <c r="B2118" s="70">
        <v>46219</v>
      </c>
      <c r="C2118" s="67" t="s">
        <v>1371</v>
      </c>
      <c r="D2118" s="67" t="s">
        <v>1476</v>
      </c>
      <c r="E2118" s="67" t="s">
        <v>1362</v>
      </c>
      <c r="F2118" s="67" t="s">
        <v>1462</v>
      </c>
      <c r="G2118" s="69">
        <v>292</v>
      </c>
    </row>
    <row r="2119" spans="1:7">
      <c r="A2119" s="67" t="s">
        <v>3601</v>
      </c>
      <c r="B2119" s="70">
        <v>46219</v>
      </c>
      <c r="C2119" s="67" t="s">
        <v>1371</v>
      </c>
      <c r="D2119" s="67" t="s">
        <v>1459</v>
      </c>
      <c r="E2119" s="67" t="s">
        <v>1362</v>
      </c>
      <c r="F2119" s="67" t="s">
        <v>1460</v>
      </c>
      <c r="G2119" s="69">
        <v>5</v>
      </c>
    </row>
    <row r="2120" spans="1:7">
      <c r="A2120" s="67" t="s">
        <v>3602</v>
      </c>
      <c r="B2120" s="70">
        <v>46219</v>
      </c>
      <c r="C2120" s="67" t="s">
        <v>1381</v>
      </c>
      <c r="D2120" s="67" t="s">
        <v>365</v>
      </c>
      <c r="E2120" s="67" t="s">
        <v>1368</v>
      </c>
      <c r="F2120" s="67" t="s">
        <v>1462</v>
      </c>
      <c r="G2120" s="69">
        <v>475</v>
      </c>
    </row>
    <row r="2121" spans="1:7">
      <c r="A2121" s="67" t="s">
        <v>3603</v>
      </c>
      <c r="B2121" s="70">
        <v>46219</v>
      </c>
      <c r="C2121" s="67" t="s">
        <v>1381</v>
      </c>
      <c r="D2121" s="67" t="s">
        <v>369</v>
      </c>
      <c r="E2121" s="67" t="s">
        <v>1368</v>
      </c>
      <c r="F2121" s="67" t="s">
        <v>1462</v>
      </c>
      <c r="G2121" s="69">
        <v>493</v>
      </c>
    </row>
    <row r="2122" spans="1:7">
      <c r="A2122" s="67" t="s">
        <v>3604</v>
      </c>
      <c r="B2122" s="70">
        <v>46219</v>
      </c>
      <c r="C2122" s="67" t="s">
        <v>1384</v>
      </c>
      <c r="D2122" s="67" t="s">
        <v>1551</v>
      </c>
      <c r="E2122" s="67" t="s">
        <v>1362</v>
      </c>
      <c r="F2122" s="67" t="s">
        <v>1462</v>
      </c>
      <c r="G2122" s="69">
        <v>49</v>
      </c>
    </row>
    <row r="2123" spans="1:7">
      <c r="A2123" s="67" t="s">
        <v>3605</v>
      </c>
      <c r="B2123" s="70">
        <v>46219</v>
      </c>
      <c r="C2123" s="67" t="s">
        <v>1389</v>
      </c>
      <c r="D2123" s="67" t="s">
        <v>1469</v>
      </c>
      <c r="E2123" s="67" t="s">
        <v>1470</v>
      </c>
      <c r="F2123" s="67" t="s">
        <v>1462</v>
      </c>
      <c r="G2123" s="69">
        <v>206</v>
      </c>
    </row>
    <row r="2124" spans="1:7">
      <c r="A2124" s="67" t="s">
        <v>3606</v>
      </c>
      <c r="B2124" s="70">
        <v>46219</v>
      </c>
      <c r="C2124" s="67" t="s">
        <v>1393</v>
      </c>
      <c r="D2124" s="67" t="s">
        <v>369</v>
      </c>
      <c r="E2124" s="67" t="s">
        <v>1368</v>
      </c>
      <c r="F2124" s="67" t="s">
        <v>1462</v>
      </c>
      <c r="G2124" s="69">
        <v>467</v>
      </c>
    </row>
    <row r="2125" spans="1:7">
      <c r="A2125" s="67" t="s">
        <v>3607</v>
      </c>
      <c r="B2125" s="70">
        <v>46219</v>
      </c>
      <c r="C2125" s="67" t="s">
        <v>1406</v>
      </c>
      <c r="D2125" s="67" t="s">
        <v>369</v>
      </c>
      <c r="E2125" s="67" t="s">
        <v>1368</v>
      </c>
      <c r="F2125" s="67" t="s">
        <v>1462</v>
      </c>
      <c r="G2125" s="69">
        <v>373</v>
      </c>
    </row>
    <row r="2126" spans="1:7">
      <c r="A2126" s="67" t="s">
        <v>3608</v>
      </c>
      <c r="B2126" s="70">
        <v>46219</v>
      </c>
      <c r="C2126" s="67" t="s">
        <v>1411</v>
      </c>
      <c r="D2126" s="67" t="s">
        <v>1506</v>
      </c>
      <c r="E2126" s="67" t="s">
        <v>1482</v>
      </c>
      <c r="F2126" s="67" t="s">
        <v>1462</v>
      </c>
      <c r="G2126" s="69">
        <v>80</v>
      </c>
    </row>
    <row r="2127" spans="1:7">
      <c r="A2127" s="67" t="s">
        <v>3609</v>
      </c>
      <c r="B2127" s="70">
        <v>46219</v>
      </c>
      <c r="C2127" s="67" t="s">
        <v>1411</v>
      </c>
      <c r="D2127" s="67" t="s">
        <v>1481</v>
      </c>
      <c r="E2127" s="67" t="s">
        <v>1482</v>
      </c>
      <c r="F2127" s="67" t="s">
        <v>1460</v>
      </c>
      <c r="G2127" s="69">
        <v>6</v>
      </c>
    </row>
    <row r="2128" spans="1:7">
      <c r="A2128" s="67" t="s">
        <v>3610</v>
      </c>
      <c r="B2128" s="70">
        <v>46219</v>
      </c>
      <c r="C2128" s="67" t="s">
        <v>1411</v>
      </c>
      <c r="D2128" s="67" t="s">
        <v>1481</v>
      </c>
      <c r="E2128" s="67" t="s">
        <v>1482</v>
      </c>
      <c r="F2128" s="67" t="s">
        <v>1462</v>
      </c>
      <c r="G2128" s="69">
        <v>354</v>
      </c>
    </row>
    <row r="2129" spans="1:7">
      <c r="A2129" s="67" t="s">
        <v>3611</v>
      </c>
      <c r="B2129" s="70">
        <v>46219</v>
      </c>
      <c r="C2129" s="67" t="s">
        <v>1423</v>
      </c>
      <c r="D2129" s="67" t="s">
        <v>1479</v>
      </c>
      <c r="E2129" s="67" t="s">
        <v>1410</v>
      </c>
      <c r="F2129" s="67" t="s">
        <v>1462</v>
      </c>
      <c r="G2129" s="69">
        <v>321</v>
      </c>
    </row>
    <row r="2130" spans="1:7">
      <c r="A2130" s="67" t="s">
        <v>3612</v>
      </c>
      <c r="B2130" s="70">
        <v>46219</v>
      </c>
      <c r="C2130" s="67" t="s">
        <v>1427</v>
      </c>
      <c r="D2130" s="67" t="s">
        <v>1551</v>
      </c>
      <c r="E2130" s="67" t="s">
        <v>1362</v>
      </c>
      <c r="F2130" s="67" t="s">
        <v>1460</v>
      </c>
      <c r="G2130" s="69">
        <v>21</v>
      </c>
    </row>
    <row r="2131" spans="1:7">
      <c r="A2131" s="67" t="s">
        <v>3613</v>
      </c>
      <c r="B2131" s="70">
        <v>46219</v>
      </c>
      <c r="C2131" s="67" t="s">
        <v>1444</v>
      </c>
      <c r="D2131" s="67" t="s">
        <v>1551</v>
      </c>
      <c r="E2131" s="67" t="s">
        <v>1362</v>
      </c>
      <c r="F2131" s="67" t="s">
        <v>1462</v>
      </c>
      <c r="G2131" s="69">
        <v>206</v>
      </c>
    </row>
    <row r="2132" spans="1:7">
      <c r="A2132" s="67" t="s">
        <v>3614</v>
      </c>
      <c r="B2132" s="70">
        <v>46220</v>
      </c>
      <c r="C2132" s="67" t="s">
        <v>1359</v>
      </c>
      <c r="D2132" s="67" t="s">
        <v>1476</v>
      </c>
      <c r="E2132" s="67" t="s">
        <v>1362</v>
      </c>
      <c r="F2132" s="67" t="s">
        <v>1462</v>
      </c>
      <c r="G2132" s="69">
        <v>140</v>
      </c>
    </row>
    <row r="2133" spans="1:7">
      <c r="A2133" s="67" t="s">
        <v>3615</v>
      </c>
      <c r="B2133" s="70">
        <v>46220</v>
      </c>
      <c r="C2133" s="67" t="s">
        <v>1359</v>
      </c>
      <c r="D2133" s="67" t="s">
        <v>1466</v>
      </c>
      <c r="E2133" s="67" t="s">
        <v>1386</v>
      </c>
      <c r="F2133" s="67" t="s">
        <v>1460</v>
      </c>
      <c r="G2133" s="69">
        <v>19</v>
      </c>
    </row>
    <row r="2134" spans="1:7">
      <c r="A2134" s="67" t="s">
        <v>3616</v>
      </c>
      <c r="B2134" s="70">
        <v>46220</v>
      </c>
      <c r="C2134" s="67" t="s">
        <v>1359</v>
      </c>
      <c r="D2134" s="67" t="s">
        <v>1551</v>
      </c>
      <c r="E2134" s="67" t="s">
        <v>1362</v>
      </c>
      <c r="F2134" s="67" t="s">
        <v>1462</v>
      </c>
      <c r="G2134" s="69">
        <v>428</v>
      </c>
    </row>
    <row r="2135" spans="1:7">
      <c r="A2135" s="67" t="s">
        <v>3617</v>
      </c>
      <c r="B2135" s="70">
        <v>46220</v>
      </c>
      <c r="C2135" s="67" t="s">
        <v>1366</v>
      </c>
      <c r="D2135" s="67" t="s">
        <v>353</v>
      </c>
      <c r="E2135" s="67" t="s">
        <v>1368</v>
      </c>
      <c r="F2135" s="67" t="s">
        <v>1462</v>
      </c>
      <c r="G2135" s="69">
        <v>475</v>
      </c>
    </row>
    <row r="2136" spans="1:7">
      <c r="A2136" s="67" t="s">
        <v>3618</v>
      </c>
      <c r="B2136" s="70">
        <v>46220</v>
      </c>
      <c r="C2136" s="67" t="s">
        <v>1366</v>
      </c>
      <c r="D2136" s="67" t="s">
        <v>353</v>
      </c>
      <c r="E2136" s="67" t="s">
        <v>1368</v>
      </c>
      <c r="F2136" s="67" t="s">
        <v>1462</v>
      </c>
      <c r="G2136" s="69">
        <v>279</v>
      </c>
    </row>
    <row r="2137" spans="1:7">
      <c r="A2137" s="67" t="s">
        <v>3619</v>
      </c>
      <c r="B2137" s="70">
        <v>46220</v>
      </c>
      <c r="C2137" s="67" t="s">
        <v>1366</v>
      </c>
      <c r="D2137" s="67" t="s">
        <v>369</v>
      </c>
      <c r="E2137" s="67" t="s">
        <v>1368</v>
      </c>
      <c r="F2137" s="67" t="s">
        <v>1462</v>
      </c>
      <c r="G2137" s="69">
        <v>358</v>
      </c>
    </row>
    <row r="2138" spans="1:7">
      <c r="A2138" s="67" t="s">
        <v>3620</v>
      </c>
      <c r="B2138" s="70">
        <v>46220</v>
      </c>
      <c r="C2138" s="67" t="s">
        <v>1371</v>
      </c>
      <c r="D2138" s="67" t="s">
        <v>1466</v>
      </c>
      <c r="E2138" s="67" t="s">
        <v>1386</v>
      </c>
      <c r="F2138" s="67" t="s">
        <v>1462</v>
      </c>
      <c r="G2138" s="69">
        <v>451</v>
      </c>
    </row>
    <row r="2139" spans="1:7">
      <c r="A2139" s="67" t="s">
        <v>3621</v>
      </c>
      <c r="B2139" s="70">
        <v>46220</v>
      </c>
      <c r="C2139" s="67" t="s">
        <v>1371</v>
      </c>
      <c r="D2139" s="67" t="s">
        <v>1466</v>
      </c>
      <c r="E2139" s="67" t="s">
        <v>1386</v>
      </c>
      <c r="F2139" s="67" t="s">
        <v>1462</v>
      </c>
      <c r="G2139" s="69">
        <v>506</v>
      </c>
    </row>
    <row r="2140" spans="1:7">
      <c r="A2140" s="67" t="s">
        <v>3622</v>
      </c>
      <c r="B2140" s="70">
        <v>46220</v>
      </c>
      <c r="C2140" s="67" t="s">
        <v>1375</v>
      </c>
      <c r="D2140" s="67" t="s">
        <v>353</v>
      </c>
      <c r="E2140" s="67" t="s">
        <v>1368</v>
      </c>
      <c r="F2140" s="67" t="s">
        <v>1462</v>
      </c>
      <c r="G2140" s="69">
        <v>409</v>
      </c>
    </row>
    <row r="2141" spans="1:7">
      <c r="A2141" s="67" t="s">
        <v>3623</v>
      </c>
      <c r="B2141" s="70">
        <v>46220</v>
      </c>
      <c r="C2141" s="67" t="s">
        <v>1378</v>
      </c>
      <c r="D2141" s="67" t="s">
        <v>1551</v>
      </c>
      <c r="E2141" s="67" t="s">
        <v>1362</v>
      </c>
      <c r="F2141" s="67" t="s">
        <v>1462</v>
      </c>
      <c r="G2141" s="69">
        <v>483</v>
      </c>
    </row>
    <row r="2142" spans="1:7">
      <c r="A2142" s="67" t="s">
        <v>3624</v>
      </c>
      <c r="B2142" s="70">
        <v>46220</v>
      </c>
      <c r="C2142" s="67" t="s">
        <v>1381</v>
      </c>
      <c r="D2142" s="67" t="s">
        <v>367</v>
      </c>
      <c r="E2142" s="67" t="s">
        <v>1368</v>
      </c>
      <c r="F2142" s="67" t="s">
        <v>1462</v>
      </c>
      <c r="G2142" s="69">
        <v>428</v>
      </c>
    </row>
    <row r="2143" spans="1:7">
      <c r="A2143" s="67" t="s">
        <v>3625</v>
      </c>
      <c r="B2143" s="70">
        <v>46220</v>
      </c>
      <c r="C2143" s="67" t="s">
        <v>1384</v>
      </c>
      <c r="D2143" s="67" t="s">
        <v>1466</v>
      </c>
      <c r="E2143" s="67" t="s">
        <v>1386</v>
      </c>
      <c r="F2143" s="67" t="s">
        <v>1462</v>
      </c>
      <c r="G2143" s="69">
        <v>575</v>
      </c>
    </row>
    <row r="2144" spans="1:7">
      <c r="A2144" s="67" t="s">
        <v>3626</v>
      </c>
      <c r="B2144" s="70">
        <v>46220</v>
      </c>
      <c r="C2144" s="67" t="s">
        <v>1384</v>
      </c>
      <c r="D2144" s="67" t="s">
        <v>1459</v>
      </c>
      <c r="E2144" s="67" t="s">
        <v>1362</v>
      </c>
      <c r="F2144" s="67" t="s">
        <v>1462</v>
      </c>
      <c r="G2144" s="69">
        <v>129</v>
      </c>
    </row>
    <row r="2145" spans="1:7">
      <c r="A2145" s="67" t="s">
        <v>3627</v>
      </c>
      <c r="B2145" s="70">
        <v>46220</v>
      </c>
      <c r="C2145" s="67" t="s">
        <v>1389</v>
      </c>
      <c r="D2145" s="67" t="s">
        <v>1511</v>
      </c>
      <c r="E2145" s="67" t="s">
        <v>1470</v>
      </c>
      <c r="F2145" s="67" t="s">
        <v>1462</v>
      </c>
      <c r="G2145" s="69">
        <v>284</v>
      </c>
    </row>
    <row r="2146" spans="1:7">
      <c r="A2146" s="67" t="s">
        <v>3628</v>
      </c>
      <c r="B2146" s="70">
        <v>46220</v>
      </c>
      <c r="C2146" s="67" t="s">
        <v>1389</v>
      </c>
      <c r="D2146" s="67" t="s">
        <v>1551</v>
      </c>
      <c r="E2146" s="67" t="s">
        <v>1362</v>
      </c>
      <c r="F2146" s="67" t="s">
        <v>1462</v>
      </c>
      <c r="G2146" s="69">
        <v>37</v>
      </c>
    </row>
    <row r="2147" spans="1:7">
      <c r="A2147" s="67" t="s">
        <v>3629</v>
      </c>
      <c r="B2147" s="70">
        <v>46220</v>
      </c>
      <c r="C2147" s="67" t="s">
        <v>1406</v>
      </c>
      <c r="D2147" s="67" t="s">
        <v>1484</v>
      </c>
      <c r="E2147" s="67" t="s">
        <v>1470</v>
      </c>
      <c r="F2147" s="67" t="s">
        <v>1462</v>
      </c>
      <c r="G2147" s="69">
        <v>389</v>
      </c>
    </row>
    <row r="2148" spans="1:7">
      <c r="A2148" s="67" t="s">
        <v>3630</v>
      </c>
      <c r="B2148" s="70">
        <v>46220</v>
      </c>
      <c r="C2148" s="67" t="s">
        <v>1411</v>
      </c>
      <c r="D2148" s="67" t="s">
        <v>1506</v>
      </c>
      <c r="E2148" s="67" t="s">
        <v>1482</v>
      </c>
      <c r="F2148" s="67" t="s">
        <v>1462</v>
      </c>
      <c r="G2148" s="69">
        <v>372</v>
      </c>
    </row>
    <row r="2149" spans="1:7">
      <c r="A2149" s="67" t="s">
        <v>3631</v>
      </c>
      <c r="B2149" s="70">
        <v>46220</v>
      </c>
      <c r="C2149" s="67" t="s">
        <v>1425</v>
      </c>
      <c r="D2149" s="67" t="s">
        <v>1511</v>
      </c>
      <c r="E2149" s="67" t="s">
        <v>1470</v>
      </c>
      <c r="F2149" s="67" t="s">
        <v>1462</v>
      </c>
      <c r="G2149" s="69">
        <v>355</v>
      </c>
    </row>
    <row r="2150" spans="1:7">
      <c r="A2150" s="67" t="s">
        <v>3632</v>
      </c>
      <c r="B2150" s="70">
        <v>46220</v>
      </c>
      <c r="C2150" s="67" t="s">
        <v>1425</v>
      </c>
      <c r="D2150" s="67" t="s">
        <v>1607</v>
      </c>
      <c r="E2150" s="67" t="s">
        <v>1470</v>
      </c>
      <c r="F2150" s="67" t="s">
        <v>1462</v>
      </c>
      <c r="G2150" s="69">
        <v>122</v>
      </c>
    </row>
    <row r="2151" spans="1:7">
      <c r="A2151" s="67" t="s">
        <v>3633</v>
      </c>
      <c r="B2151" s="70">
        <v>46221</v>
      </c>
      <c r="C2151" s="67" t="s">
        <v>1359</v>
      </c>
      <c r="D2151" s="67" t="s">
        <v>1476</v>
      </c>
      <c r="E2151" s="67" t="s">
        <v>1362</v>
      </c>
      <c r="F2151" s="67" t="s">
        <v>1462</v>
      </c>
      <c r="G2151" s="69">
        <v>600</v>
      </c>
    </row>
    <row r="2152" spans="1:7">
      <c r="A2152" s="67" t="s">
        <v>3634</v>
      </c>
      <c r="B2152" s="70">
        <v>46221</v>
      </c>
      <c r="C2152" s="67" t="s">
        <v>1359</v>
      </c>
      <c r="D2152" s="67" t="s">
        <v>367</v>
      </c>
      <c r="E2152" s="67" t="s">
        <v>1368</v>
      </c>
      <c r="F2152" s="67" t="s">
        <v>1462</v>
      </c>
      <c r="G2152" s="69">
        <v>164</v>
      </c>
    </row>
    <row r="2153" spans="1:7">
      <c r="A2153" s="67" t="s">
        <v>3635</v>
      </c>
      <c r="B2153" s="70">
        <v>46221</v>
      </c>
      <c r="C2153" s="67" t="s">
        <v>1359</v>
      </c>
      <c r="D2153" s="67" t="s">
        <v>1459</v>
      </c>
      <c r="E2153" s="67" t="s">
        <v>1362</v>
      </c>
      <c r="F2153" s="67" t="s">
        <v>1460</v>
      </c>
      <c r="G2153" s="69">
        <v>8</v>
      </c>
    </row>
    <row r="2154" spans="1:7">
      <c r="A2154" s="67" t="s">
        <v>3636</v>
      </c>
      <c r="B2154" s="70">
        <v>46221</v>
      </c>
      <c r="C2154" s="67" t="s">
        <v>1359</v>
      </c>
      <c r="D2154" s="67" t="s">
        <v>1459</v>
      </c>
      <c r="E2154" s="67" t="s">
        <v>1362</v>
      </c>
      <c r="F2154" s="67" t="s">
        <v>1462</v>
      </c>
      <c r="G2154" s="69">
        <v>101</v>
      </c>
    </row>
    <row r="2155" spans="1:7">
      <c r="A2155" s="67" t="s">
        <v>3637</v>
      </c>
      <c r="B2155" s="70">
        <v>46221</v>
      </c>
      <c r="C2155" s="67" t="s">
        <v>1366</v>
      </c>
      <c r="D2155" s="67" t="s">
        <v>1459</v>
      </c>
      <c r="E2155" s="67" t="s">
        <v>1362</v>
      </c>
      <c r="F2155" s="67" t="s">
        <v>1462</v>
      </c>
      <c r="G2155" s="69">
        <v>527</v>
      </c>
    </row>
    <row r="2156" spans="1:7">
      <c r="A2156" s="67" t="s">
        <v>3638</v>
      </c>
      <c r="B2156" s="70">
        <v>46221</v>
      </c>
      <c r="C2156" s="67" t="s">
        <v>1366</v>
      </c>
      <c r="D2156" s="67" t="s">
        <v>1491</v>
      </c>
      <c r="E2156" s="67" t="s">
        <v>1470</v>
      </c>
      <c r="F2156" s="67" t="s">
        <v>1462</v>
      </c>
      <c r="G2156" s="69">
        <v>536</v>
      </c>
    </row>
    <row r="2157" spans="1:7">
      <c r="A2157" s="67" t="s">
        <v>3639</v>
      </c>
      <c r="B2157" s="70">
        <v>46221</v>
      </c>
      <c r="C2157" s="67" t="s">
        <v>1371</v>
      </c>
      <c r="D2157" s="67" t="s">
        <v>1476</v>
      </c>
      <c r="E2157" s="67" t="s">
        <v>1362</v>
      </c>
      <c r="F2157" s="67" t="s">
        <v>1462</v>
      </c>
      <c r="G2157" s="69">
        <v>387</v>
      </c>
    </row>
    <row r="2158" spans="1:7">
      <c r="A2158" s="67" t="s">
        <v>3640</v>
      </c>
      <c r="B2158" s="70">
        <v>46221</v>
      </c>
      <c r="C2158" s="67" t="s">
        <v>1375</v>
      </c>
      <c r="D2158" s="67" t="s">
        <v>353</v>
      </c>
      <c r="E2158" s="67" t="s">
        <v>1368</v>
      </c>
      <c r="F2158" s="67" t="s">
        <v>1488</v>
      </c>
      <c r="G2158" s="69">
        <v>10</v>
      </c>
    </row>
    <row r="2159" spans="1:7">
      <c r="A2159" s="67" t="s">
        <v>3641</v>
      </c>
      <c r="B2159" s="70">
        <v>46221</v>
      </c>
      <c r="C2159" s="67" t="s">
        <v>1381</v>
      </c>
      <c r="D2159" s="67" t="s">
        <v>363</v>
      </c>
      <c r="E2159" s="67" t="s">
        <v>1368</v>
      </c>
      <c r="F2159" s="67" t="s">
        <v>1462</v>
      </c>
      <c r="G2159" s="69">
        <v>297</v>
      </c>
    </row>
    <row r="2160" spans="1:7">
      <c r="A2160" s="67" t="s">
        <v>3642</v>
      </c>
      <c r="B2160" s="70">
        <v>46221</v>
      </c>
      <c r="C2160" s="67" t="s">
        <v>1389</v>
      </c>
      <c r="D2160" s="67" t="s">
        <v>365</v>
      </c>
      <c r="E2160" s="67" t="s">
        <v>1368</v>
      </c>
      <c r="F2160" s="67" t="s">
        <v>1460</v>
      </c>
      <c r="G2160" s="69">
        <v>30</v>
      </c>
    </row>
    <row r="2161" spans="1:7">
      <c r="A2161" s="67" t="s">
        <v>3643</v>
      </c>
      <c r="B2161" s="70">
        <v>46221</v>
      </c>
      <c r="C2161" s="67" t="s">
        <v>1391</v>
      </c>
      <c r="D2161" s="67" t="s">
        <v>1582</v>
      </c>
      <c r="E2161" s="67" t="s">
        <v>5</v>
      </c>
      <c r="F2161" s="67" t="s">
        <v>1462</v>
      </c>
      <c r="G2161" s="69">
        <v>204</v>
      </c>
    </row>
    <row r="2162" spans="1:7">
      <c r="A2162" s="67" t="s">
        <v>3644</v>
      </c>
      <c r="B2162" s="70">
        <v>46221</v>
      </c>
      <c r="C2162" s="67" t="s">
        <v>1393</v>
      </c>
      <c r="D2162" s="67" t="s">
        <v>358</v>
      </c>
      <c r="E2162" s="67" t="s">
        <v>1368</v>
      </c>
      <c r="F2162" s="67" t="s">
        <v>1462</v>
      </c>
      <c r="G2162" s="69">
        <v>385</v>
      </c>
    </row>
    <row r="2163" spans="1:7">
      <c r="A2163" s="67" t="s">
        <v>3645</v>
      </c>
      <c r="B2163" s="70">
        <v>46221</v>
      </c>
      <c r="C2163" s="67" t="s">
        <v>1406</v>
      </c>
      <c r="D2163" s="67" t="s">
        <v>356</v>
      </c>
      <c r="E2163" s="67" t="s">
        <v>1368</v>
      </c>
      <c r="F2163" s="67" t="s">
        <v>1462</v>
      </c>
      <c r="G2163" s="69">
        <v>392</v>
      </c>
    </row>
    <row r="2164" spans="1:7">
      <c r="A2164" s="67" t="s">
        <v>3646</v>
      </c>
      <c r="B2164" s="70">
        <v>46221</v>
      </c>
      <c r="C2164" s="67" t="s">
        <v>1411</v>
      </c>
      <c r="D2164" s="67" t="s">
        <v>1506</v>
      </c>
      <c r="E2164" s="67" t="s">
        <v>1482</v>
      </c>
      <c r="F2164" s="67" t="s">
        <v>1462</v>
      </c>
      <c r="G2164" s="69">
        <v>232</v>
      </c>
    </row>
    <row r="2165" spans="1:7">
      <c r="A2165" s="67" t="s">
        <v>3647</v>
      </c>
      <c r="B2165" s="70">
        <v>46221</v>
      </c>
      <c r="C2165" s="67" t="s">
        <v>1411</v>
      </c>
      <c r="D2165" s="67" t="s">
        <v>1506</v>
      </c>
      <c r="E2165" s="67" t="s">
        <v>1482</v>
      </c>
      <c r="F2165" s="67" t="s">
        <v>1460</v>
      </c>
      <c r="G2165" s="69">
        <v>11</v>
      </c>
    </row>
    <row r="2166" spans="1:7">
      <c r="A2166" s="67" t="s">
        <v>3648</v>
      </c>
      <c r="B2166" s="70">
        <v>46221</v>
      </c>
      <c r="C2166" s="67" t="s">
        <v>1411</v>
      </c>
      <c r="D2166" s="67" t="s">
        <v>1506</v>
      </c>
      <c r="E2166" s="67" t="s">
        <v>1482</v>
      </c>
      <c r="F2166" s="67" t="s">
        <v>1462</v>
      </c>
      <c r="G2166" s="69">
        <v>133</v>
      </c>
    </row>
    <row r="2167" spans="1:7">
      <c r="A2167" s="67" t="s">
        <v>3649</v>
      </c>
      <c r="B2167" s="70">
        <v>46221</v>
      </c>
      <c r="C2167" s="67" t="s">
        <v>1411</v>
      </c>
      <c r="D2167" s="67" t="s">
        <v>1481</v>
      </c>
      <c r="E2167" s="67" t="s">
        <v>1482</v>
      </c>
      <c r="F2167" s="67" t="s">
        <v>1462</v>
      </c>
      <c r="G2167" s="69">
        <v>200</v>
      </c>
    </row>
    <row r="2168" spans="1:7">
      <c r="A2168" s="67" t="s">
        <v>3650</v>
      </c>
      <c r="B2168" s="70">
        <v>46221</v>
      </c>
      <c r="C2168" s="67" t="s">
        <v>1414</v>
      </c>
      <c r="D2168" s="67" t="s">
        <v>1511</v>
      </c>
      <c r="E2168" s="67" t="s">
        <v>1470</v>
      </c>
      <c r="F2168" s="67" t="s">
        <v>1462</v>
      </c>
      <c r="G2168" s="69">
        <v>343</v>
      </c>
    </row>
    <row r="2169" spans="1:7">
      <c r="A2169" s="67" t="s">
        <v>3651</v>
      </c>
      <c r="B2169" s="70">
        <v>46221</v>
      </c>
      <c r="C2169" s="67" t="s">
        <v>1425</v>
      </c>
      <c r="D2169" s="67" t="s">
        <v>1476</v>
      </c>
      <c r="E2169" s="67" t="s">
        <v>1362</v>
      </c>
      <c r="F2169" s="67" t="s">
        <v>1462</v>
      </c>
      <c r="G2169" s="69">
        <v>498</v>
      </c>
    </row>
    <row r="2170" spans="1:7">
      <c r="A2170" s="67" t="s">
        <v>3652</v>
      </c>
      <c r="B2170" s="70">
        <v>46221</v>
      </c>
      <c r="C2170" s="67" t="s">
        <v>1425</v>
      </c>
      <c r="D2170" s="67" t="s">
        <v>1469</v>
      </c>
      <c r="E2170" s="67" t="s">
        <v>1470</v>
      </c>
      <c r="F2170" s="67" t="s">
        <v>1460</v>
      </c>
      <c r="G2170" s="69">
        <v>11</v>
      </c>
    </row>
    <row r="2171" spans="1:7">
      <c r="A2171" s="67" t="s">
        <v>3653</v>
      </c>
      <c r="B2171" s="70">
        <v>46221</v>
      </c>
      <c r="C2171" s="67" t="s">
        <v>1429</v>
      </c>
      <c r="D2171" s="67" t="s">
        <v>369</v>
      </c>
      <c r="E2171" s="67" t="s">
        <v>1368</v>
      </c>
      <c r="F2171" s="67" t="s">
        <v>1460</v>
      </c>
      <c r="G2171" s="69">
        <v>27</v>
      </c>
    </row>
    <row r="2172" spans="1:7">
      <c r="A2172" s="67" t="s">
        <v>3654</v>
      </c>
      <c r="B2172" s="70">
        <v>46221</v>
      </c>
      <c r="C2172" s="67" t="s">
        <v>1444</v>
      </c>
      <c r="D2172" s="67" t="s">
        <v>1551</v>
      </c>
      <c r="E2172" s="67" t="s">
        <v>1362</v>
      </c>
      <c r="F2172" s="67" t="s">
        <v>1462</v>
      </c>
      <c r="G2172" s="69">
        <v>327</v>
      </c>
    </row>
    <row r="2173" spans="1:7">
      <c r="A2173" s="67" t="s">
        <v>3655</v>
      </c>
      <c r="B2173" s="70">
        <v>46221</v>
      </c>
      <c r="C2173" s="67" t="s">
        <v>1446</v>
      </c>
      <c r="D2173" s="67" t="s">
        <v>1551</v>
      </c>
      <c r="E2173" s="67" t="s">
        <v>1362</v>
      </c>
      <c r="F2173" s="67" t="s">
        <v>1462</v>
      </c>
      <c r="G2173" s="69">
        <v>25</v>
      </c>
    </row>
    <row r="2174" spans="1:7">
      <c r="A2174" s="67" t="s">
        <v>3656</v>
      </c>
      <c r="B2174" s="70">
        <v>46222</v>
      </c>
      <c r="C2174" s="67" t="s">
        <v>1359</v>
      </c>
      <c r="D2174" s="67" t="s">
        <v>1476</v>
      </c>
      <c r="E2174" s="67" t="s">
        <v>1362</v>
      </c>
      <c r="F2174" s="67" t="s">
        <v>1462</v>
      </c>
      <c r="G2174" s="69">
        <v>469</v>
      </c>
    </row>
    <row r="2175" spans="1:7">
      <c r="A2175" s="67" t="s">
        <v>3657</v>
      </c>
      <c r="B2175" s="70">
        <v>46222</v>
      </c>
      <c r="C2175" s="67" t="s">
        <v>1359</v>
      </c>
      <c r="D2175" s="67" t="s">
        <v>1476</v>
      </c>
      <c r="E2175" s="67" t="s">
        <v>1362</v>
      </c>
      <c r="F2175" s="67" t="s">
        <v>1460</v>
      </c>
      <c r="G2175" s="69">
        <v>21</v>
      </c>
    </row>
    <row r="2176" spans="1:7">
      <c r="A2176" s="67" t="s">
        <v>3658</v>
      </c>
      <c r="B2176" s="70">
        <v>46222</v>
      </c>
      <c r="C2176" s="67" t="s">
        <v>1359</v>
      </c>
      <c r="D2176" s="67" t="s">
        <v>369</v>
      </c>
      <c r="E2176" s="67" t="s">
        <v>1368</v>
      </c>
      <c r="F2176" s="67" t="s">
        <v>1462</v>
      </c>
      <c r="G2176" s="69">
        <v>80</v>
      </c>
    </row>
    <row r="2177" spans="1:7">
      <c r="A2177" s="67" t="s">
        <v>3659</v>
      </c>
      <c r="B2177" s="70">
        <v>46222</v>
      </c>
      <c r="C2177" s="67" t="s">
        <v>1366</v>
      </c>
      <c r="D2177" s="67" t="s">
        <v>353</v>
      </c>
      <c r="E2177" s="67" t="s">
        <v>1368</v>
      </c>
      <c r="F2177" s="67" t="s">
        <v>1462</v>
      </c>
      <c r="G2177" s="69">
        <v>234</v>
      </c>
    </row>
    <row r="2178" spans="1:7">
      <c r="A2178" s="67" t="s">
        <v>3660</v>
      </c>
      <c r="B2178" s="70">
        <v>46222</v>
      </c>
      <c r="C2178" s="67" t="s">
        <v>1366</v>
      </c>
      <c r="D2178" s="67" t="s">
        <v>363</v>
      </c>
      <c r="E2178" s="67" t="s">
        <v>1368</v>
      </c>
      <c r="F2178" s="67" t="s">
        <v>1462</v>
      </c>
      <c r="G2178" s="69">
        <v>21</v>
      </c>
    </row>
    <row r="2179" spans="1:7">
      <c r="A2179" s="67" t="s">
        <v>3661</v>
      </c>
      <c r="B2179" s="70">
        <v>46222</v>
      </c>
      <c r="C2179" s="67" t="s">
        <v>1371</v>
      </c>
      <c r="D2179" s="67" t="s">
        <v>367</v>
      </c>
      <c r="E2179" s="67" t="s">
        <v>1368</v>
      </c>
      <c r="F2179" s="67" t="s">
        <v>1462</v>
      </c>
      <c r="G2179" s="69">
        <v>97</v>
      </c>
    </row>
    <row r="2180" spans="1:7">
      <c r="A2180" s="67" t="s">
        <v>3662</v>
      </c>
      <c r="B2180" s="70">
        <v>46222</v>
      </c>
      <c r="C2180" s="67" t="s">
        <v>1371</v>
      </c>
      <c r="D2180" s="67" t="s">
        <v>1551</v>
      </c>
      <c r="E2180" s="67" t="s">
        <v>1362</v>
      </c>
      <c r="F2180" s="67" t="s">
        <v>1460</v>
      </c>
      <c r="G2180" s="69">
        <v>18</v>
      </c>
    </row>
    <row r="2181" spans="1:7">
      <c r="A2181" s="67" t="s">
        <v>3663</v>
      </c>
      <c r="B2181" s="70">
        <v>46222</v>
      </c>
      <c r="C2181" s="67" t="s">
        <v>1378</v>
      </c>
      <c r="D2181" s="67" t="s">
        <v>369</v>
      </c>
      <c r="E2181" s="67" t="s">
        <v>1368</v>
      </c>
      <c r="F2181" s="67" t="s">
        <v>1460</v>
      </c>
      <c r="G2181" s="69">
        <v>23</v>
      </c>
    </row>
    <row r="2182" spans="1:7">
      <c r="A2182" s="67" t="s">
        <v>3664</v>
      </c>
      <c r="B2182" s="70">
        <v>46222</v>
      </c>
      <c r="C2182" s="67" t="s">
        <v>1381</v>
      </c>
      <c r="D2182" s="67" t="s">
        <v>353</v>
      </c>
      <c r="E2182" s="67" t="s">
        <v>1368</v>
      </c>
      <c r="F2182" s="67" t="s">
        <v>1462</v>
      </c>
      <c r="G2182" s="69">
        <v>262</v>
      </c>
    </row>
    <row r="2183" spans="1:7">
      <c r="A2183" s="67" t="s">
        <v>3665</v>
      </c>
      <c r="B2183" s="70">
        <v>46222</v>
      </c>
      <c r="C2183" s="67" t="s">
        <v>1381</v>
      </c>
      <c r="D2183" s="67" t="s">
        <v>363</v>
      </c>
      <c r="E2183" s="67" t="s">
        <v>1368</v>
      </c>
      <c r="F2183" s="67" t="s">
        <v>1462</v>
      </c>
      <c r="G2183" s="69">
        <v>211</v>
      </c>
    </row>
    <row r="2184" spans="1:7">
      <c r="A2184" s="67" t="s">
        <v>3666</v>
      </c>
      <c r="B2184" s="70">
        <v>46222</v>
      </c>
      <c r="C2184" s="67" t="s">
        <v>1381</v>
      </c>
      <c r="D2184" s="67" t="s">
        <v>1551</v>
      </c>
      <c r="E2184" s="67" t="s">
        <v>1362</v>
      </c>
      <c r="F2184" s="67" t="s">
        <v>1460</v>
      </c>
      <c r="G2184" s="69">
        <v>9</v>
      </c>
    </row>
    <row r="2185" spans="1:7">
      <c r="A2185" s="67" t="s">
        <v>3667</v>
      </c>
      <c r="B2185" s="70">
        <v>46222</v>
      </c>
      <c r="C2185" s="67" t="s">
        <v>1384</v>
      </c>
      <c r="D2185" s="67" t="s">
        <v>1476</v>
      </c>
      <c r="E2185" s="67" t="s">
        <v>1362</v>
      </c>
      <c r="F2185" s="67" t="s">
        <v>1488</v>
      </c>
      <c r="G2185" s="69">
        <v>10</v>
      </c>
    </row>
    <row r="2186" spans="1:7">
      <c r="A2186" s="67" t="s">
        <v>3668</v>
      </c>
      <c r="B2186" s="70">
        <v>46222</v>
      </c>
      <c r="C2186" s="67" t="s">
        <v>1384</v>
      </c>
      <c r="D2186" s="67" t="s">
        <v>1459</v>
      </c>
      <c r="E2186" s="67" t="s">
        <v>1362</v>
      </c>
      <c r="F2186" s="67" t="s">
        <v>1462</v>
      </c>
      <c r="G2186" s="69">
        <v>459</v>
      </c>
    </row>
    <row r="2187" spans="1:7">
      <c r="A2187" s="67" t="s">
        <v>3669</v>
      </c>
      <c r="B2187" s="70">
        <v>46222</v>
      </c>
      <c r="C2187" s="67" t="s">
        <v>1389</v>
      </c>
      <c r="D2187" s="67" t="s">
        <v>353</v>
      </c>
      <c r="E2187" s="67" t="s">
        <v>1368</v>
      </c>
      <c r="F2187" s="67" t="s">
        <v>1462</v>
      </c>
      <c r="G2187" s="69">
        <v>439</v>
      </c>
    </row>
    <row r="2188" spans="1:7">
      <c r="A2188" s="67" t="s">
        <v>3670</v>
      </c>
      <c r="B2188" s="70">
        <v>46222</v>
      </c>
      <c r="C2188" s="67" t="s">
        <v>1389</v>
      </c>
      <c r="D2188" s="67" t="s">
        <v>356</v>
      </c>
      <c r="E2188" s="67" t="s">
        <v>1368</v>
      </c>
      <c r="F2188" s="67" t="s">
        <v>1462</v>
      </c>
      <c r="G2188" s="69">
        <v>241</v>
      </c>
    </row>
    <row r="2189" spans="1:7">
      <c r="A2189" s="67" t="s">
        <v>3671</v>
      </c>
      <c r="B2189" s="70">
        <v>46222</v>
      </c>
      <c r="C2189" s="67" t="s">
        <v>1393</v>
      </c>
      <c r="D2189" s="67" t="s">
        <v>353</v>
      </c>
      <c r="E2189" s="67" t="s">
        <v>1368</v>
      </c>
      <c r="F2189" s="67" t="s">
        <v>1462</v>
      </c>
      <c r="G2189" s="69">
        <v>434</v>
      </c>
    </row>
    <row r="2190" spans="1:7">
      <c r="A2190" s="67" t="s">
        <v>3672</v>
      </c>
      <c r="B2190" s="70">
        <v>46222</v>
      </c>
      <c r="C2190" s="67" t="s">
        <v>1399</v>
      </c>
      <c r="D2190" s="67" t="s">
        <v>1459</v>
      </c>
      <c r="E2190" s="67" t="s">
        <v>1362</v>
      </c>
      <c r="F2190" s="67" t="s">
        <v>1488</v>
      </c>
      <c r="G2190" s="69">
        <v>8</v>
      </c>
    </row>
    <row r="2191" spans="1:7">
      <c r="A2191" s="67" t="s">
        <v>3673</v>
      </c>
      <c r="B2191" s="70">
        <v>46222</v>
      </c>
      <c r="C2191" s="67" t="s">
        <v>1404</v>
      </c>
      <c r="D2191" s="67" t="s">
        <v>353</v>
      </c>
      <c r="E2191" s="67" t="s">
        <v>1368</v>
      </c>
      <c r="F2191" s="67" t="s">
        <v>1460</v>
      </c>
      <c r="G2191" s="69">
        <v>28</v>
      </c>
    </row>
    <row r="2192" spans="1:7">
      <c r="A2192" s="67" t="s">
        <v>3674</v>
      </c>
      <c r="B2192" s="70">
        <v>46222</v>
      </c>
      <c r="C2192" s="67" t="s">
        <v>1404</v>
      </c>
      <c r="D2192" s="67" t="s">
        <v>365</v>
      </c>
      <c r="E2192" s="67" t="s">
        <v>1368</v>
      </c>
      <c r="F2192" s="67" t="s">
        <v>1462</v>
      </c>
      <c r="G2192" s="69">
        <v>410</v>
      </c>
    </row>
    <row r="2193" spans="1:7">
      <c r="A2193" s="67" t="s">
        <v>3675</v>
      </c>
      <c r="B2193" s="70">
        <v>46222</v>
      </c>
      <c r="C2193" s="67" t="s">
        <v>1404</v>
      </c>
      <c r="D2193" s="67" t="s">
        <v>1551</v>
      </c>
      <c r="E2193" s="67" t="s">
        <v>1362</v>
      </c>
      <c r="F2193" s="67" t="s">
        <v>1462</v>
      </c>
      <c r="G2193" s="69">
        <v>481</v>
      </c>
    </row>
    <row r="2194" spans="1:7">
      <c r="A2194" s="67" t="s">
        <v>3676</v>
      </c>
      <c r="B2194" s="70">
        <v>46222</v>
      </c>
      <c r="C2194" s="67" t="s">
        <v>1411</v>
      </c>
      <c r="D2194" s="67" t="s">
        <v>1481</v>
      </c>
      <c r="E2194" s="67" t="s">
        <v>1482</v>
      </c>
      <c r="F2194" s="67" t="s">
        <v>1462</v>
      </c>
      <c r="G2194" s="69">
        <v>348</v>
      </c>
    </row>
    <row r="2195" spans="1:7">
      <c r="A2195" s="67" t="s">
        <v>3677</v>
      </c>
      <c r="B2195" s="70">
        <v>46222</v>
      </c>
      <c r="C2195" s="67" t="s">
        <v>1414</v>
      </c>
      <c r="D2195" s="67" t="s">
        <v>1511</v>
      </c>
      <c r="E2195" s="67" t="s">
        <v>1470</v>
      </c>
      <c r="F2195" s="67" t="s">
        <v>1462</v>
      </c>
      <c r="G2195" s="69">
        <v>587</v>
      </c>
    </row>
    <row r="2196" spans="1:7">
      <c r="A2196" s="67" t="s">
        <v>3678</v>
      </c>
      <c r="B2196" s="70">
        <v>46222</v>
      </c>
      <c r="C2196" s="67" t="s">
        <v>1414</v>
      </c>
      <c r="D2196" s="67" t="s">
        <v>1484</v>
      </c>
      <c r="E2196" s="67" t="s">
        <v>1470</v>
      </c>
      <c r="F2196" s="67" t="s">
        <v>1462</v>
      </c>
      <c r="G2196" s="69">
        <v>354</v>
      </c>
    </row>
    <row r="2197" spans="1:7">
      <c r="A2197" s="67" t="s">
        <v>3679</v>
      </c>
      <c r="B2197" s="70">
        <v>46222</v>
      </c>
      <c r="C2197" s="67" t="s">
        <v>1423</v>
      </c>
      <c r="D2197" s="67" t="s">
        <v>356</v>
      </c>
      <c r="E2197" s="67" t="s">
        <v>1368</v>
      </c>
      <c r="F2197" s="67" t="s">
        <v>1462</v>
      </c>
      <c r="G2197" s="69">
        <v>431</v>
      </c>
    </row>
    <row r="2198" spans="1:7">
      <c r="A2198" s="67" t="s">
        <v>3680</v>
      </c>
      <c r="B2198" s="70">
        <v>46222</v>
      </c>
      <c r="C2198" s="67" t="s">
        <v>1425</v>
      </c>
      <c r="D2198" s="67" t="s">
        <v>1511</v>
      </c>
      <c r="E2198" s="67" t="s">
        <v>1470</v>
      </c>
      <c r="F2198" s="67" t="s">
        <v>1460</v>
      </c>
      <c r="G2198" s="69">
        <v>7</v>
      </c>
    </row>
    <row r="2199" spans="1:7">
      <c r="A2199" s="67" t="s">
        <v>3681</v>
      </c>
      <c r="B2199" s="70">
        <v>46222</v>
      </c>
      <c r="C2199" s="67" t="s">
        <v>1425</v>
      </c>
      <c r="D2199" s="67" t="s">
        <v>1484</v>
      </c>
      <c r="E2199" s="67" t="s">
        <v>1470</v>
      </c>
      <c r="F2199" s="67" t="s">
        <v>1460</v>
      </c>
      <c r="G2199" s="69">
        <v>6</v>
      </c>
    </row>
    <row r="2200" spans="1:7">
      <c r="A2200" s="67" t="s">
        <v>3682</v>
      </c>
      <c r="B2200" s="70">
        <v>46222</v>
      </c>
      <c r="C2200" s="67" t="s">
        <v>1425</v>
      </c>
      <c r="D2200" s="67" t="s">
        <v>1484</v>
      </c>
      <c r="E2200" s="67" t="s">
        <v>1470</v>
      </c>
      <c r="F2200" s="67" t="s">
        <v>1462</v>
      </c>
      <c r="G2200" s="69">
        <v>478</v>
      </c>
    </row>
    <row r="2201" spans="1:7">
      <c r="A2201" s="67" t="s">
        <v>3683</v>
      </c>
      <c r="B2201" s="70">
        <v>46222</v>
      </c>
      <c r="C2201" s="67" t="s">
        <v>1425</v>
      </c>
      <c r="D2201" s="67" t="s">
        <v>1459</v>
      </c>
      <c r="E2201" s="67" t="s">
        <v>1362</v>
      </c>
      <c r="F2201" s="67" t="s">
        <v>1462</v>
      </c>
      <c r="G2201" s="69">
        <v>88</v>
      </c>
    </row>
    <row r="2202" spans="1:7">
      <c r="A2202" s="67" t="s">
        <v>3684</v>
      </c>
      <c r="B2202" s="70">
        <v>46222</v>
      </c>
      <c r="C2202" s="67" t="s">
        <v>1429</v>
      </c>
      <c r="D2202" s="67" t="s">
        <v>367</v>
      </c>
      <c r="E2202" s="67" t="s">
        <v>1368</v>
      </c>
      <c r="F2202" s="67" t="s">
        <v>1462</v>
      </c>
      <c r="G2202" s="69">
        <v>304</v>
      </c>
    </row>
    <row r="2203" spans="1:7">
      <c r="A2203" s="67" t="s">
        <v>3685</v>
      </c>
      <c r="B2203" s="70">
        <v>46223</v>
      </c>
      <c r="C2203" s="67" t="s">
        <v>1371</v>
      </c>
      <c r="D2203" s="67" t="s">
        <v>353</v>
      </c>
      <c r="E2203" s="67" t="s">
        <v>1368</v>
      </c>
      <c r="F2203" s="67" t="s">
        <v>1462</v>
      </c>
      <c r="G2203" s="69">
        <v>23</v>
      </c>
    </row>
    <row r="2204" spans="1:7">
      <c r="A2204" s="67" t="s">
        <v>3686</v>
      </c>
      <c r="B2204" s="70">
        <v>46223</v>
      </c>
      <c r="C2204" s="67" t="s">
        <v>1371</v>
      </c>
      <c r="D2204" s="67" t="s">
        <v>1476</v>
      </c>
      <c r="E2204" s="67" t="s">
        <v>1362</v>
      </c>
      <c r="F2204" s="67" t="s">
        <v>1460</v>
      </c>
      <c r="G2204" s="69">
        <v>9</v>
      </c>
    </row>
    <row r="2205" spans="1:7">
      <c r="A2205" s="67" t="s">
        <v>3687</v>
      </c>
      <c r="B2205" s="70">
        <v>46223</v>
      </c>
      <c r="C2205" s="67" t="s">
        <v>1371</v>
      </c>
      <c r="D2205" s="67" t="s">
        <v>1476</v>
      </c>
      <c r="E2205" s="67" t="s">
        <v>1362</v>
      </c>
      <c r="F2205" s="67" t="s">
        <v>1460</v>
      </c>
      <c r="G2205" s="69">
        <v>14</v>
      </c>
    </row>
    <row r="2206" spans="1:7">
      <c r="A2206" s="67" t="s">
        <v>3688</v>
      </c>
      <c r="B2206" s="70">
        <v>46223</v>
      </c>
      <c r="C2206" s="67" t="s">
        <v>1371</v>
      </c>
      <c r="D2206" s="67" t="s">
        <v>369</v>
      </c>
      <c r="E2206" s="67" t="s">
        <v>1368</v>
      </c>
      <c r="F2206" s="67" t="s">
        <v>1462</v>
      </c>
      <c r="G2206" s="69">
        <v>158</v>
      </c>
    </row>
    <row r="2207" spans="1:7">
      <c r="A2207" s="67" t="s">
        <v>3689</v>
      </c>
      <c r="B2207" s="70">
        <v>46223</v>
      </c>
      <c r="C2207" s="67" t="s">
        <v>1371</v>
      </c>
      <c r="D2207" s="67" t="s">
        <v>1551</v>
      </c>
      <c r="E2207" s="67" t="s">
        <v>1362</v>
      </c>
      <c r="F2207" s="67" t="s">
        <v>1462</v>
      </c>
      <c r="G2207" s="69">
        <v>25</v>
      </c>
    </row>
    <row r="2208" spans="1:7">
      <c r="A2208" s="67" t="s">
        <v>3690</v>
      </c>
      <c r="B2208" s="70">
        <v>46223</v>
      </c>
      <c r="C2208" s="67" t="s">
        <v>1378</v>
      </c>
      <c r="D2208" s="67" t="s">
        <v>1459</v>
      </c>
      <c r="E2208" s="67" t="s">
        <v>1362</v>
      </c>
      <c r="F2208" s="67" t="s">
        <v>1462</v>
      </c>
      <c r="G2208" s="69">
        <v>155</v>
      </c>
    </row>
    <row r="2209" spans="1:7">
      <c r="A2209" s="67" t="s">
        <v>3691</v>
      </c>
      <c r="B2209" s="70">
        <v>46223</v>
      </c>
      <c r="C2209" s="67" t="s">
        <v>1381</v>
      </c>
      <c r="D2209" s="67" t="s">
        <v>358</v>
      </c>
      <c r="E2209" s="67" t="s">
        <v>1368</v>
      </c>
      <c r="F2209" s="67" t="s">
        <v>1460</v>
      </c>
      <c r="G2209" s="69">
        <v>9</v>
      </c>
    </row>
    <row r="2210" spans="1:7">
      <c r="A2210" s="67" t="s">
        <v>3692</v>
      </c>
      <c r="B2210" s="70">
        <v>46223</v>
      </c>
      <c r="C2210" s="67" t="s">
        <v>1381</v>
      </c>
      <c r="D2210" s="67" t="s">
        <v>1491</v>
      </c>
      <c r="E2210" s="67" t="s">
        <v>1470</v>
      </c>
      <c r="F2210" s="67" t="s">
        <v>1462</v>
      </c>
      <c r="G2210" s="69">
        <v>222</v>
      </c>
    </row>
    <row r="2211" spans="1:7">
      <c r="A2211" s="67" t="s">
        <v>3693</v>
      </c>
      <c r="B2211" s="70">
        <v>46223</v>
      </c>
      <c r="C2211" s="67" t="s">
        <v>1389</v>
      </c>
      <c r="D2211" s="67" t="s">
        <v>358</v>
      </c>
      <c r="E2211" s="67" t="s">
        <v>1368</v>
      </c>
      <c r="F2211" s="67" t="s">
        <v>1462</v>
      </c>
      <c r="G2211" s="69">
        <v>173</v>
      </c>
    </row>
    <row r="2212" spans="1:7">
      <c r="A2212" s="67" t="s">
        <v>3694</v>
      </c>
      <c r="B2212" s="70">
        <v>46223</v>
      </c>
      <c r="C2212" s="67" t="s">
        <v>1399</v>
      </c>
      <c r="D2212" s="67" t="s">
        <v>1459</v>
      </c>
      <c r="E2212" s="67" t="s">
        <v>1362</v>
      </c>
      <c r="F2212" s="67" t="s">
        <v>1462</v>
      </c>
      <c r="G2212" s="69">
        <v>402</v>
      </c>
    </row>
    <row r="2213" spans="1:7">
      <c r="A2213" s="67" t="s">
        <v>3695</v>
      </c>
      <c r="B2213" s="70">
        <v>46223</v>
      </c>
      <c r="C2213" s="67" t="s">
        <v>1404</v>
      </c>
      <c r="D2213" s="67" t="s">
        <v>353</v>
      </c>
      <c r="E2213" s="67" t="s">
        <v>1368</v>
      </c>
      <c r="F2213" s="67" t="s">
        <v>1462</v>
      </c>
      <c r="G2213" s="69">
        <v>46</v>
      </c>
    </row>
    <row r="2214" spans="1:7">
      <c r="A2214" s="67" t="s">
        <v>3696</v>
      </c>
      <c r="B2214" s="70">
        <v>46223</v>
      </c>
      <c r="C2214" s="67" t="s">
        <v>1414</v>
      </c>
      <c r="D2214" s="67" t="s">
        <v>1511</v>
      </c>
      <c r="E2214" s="67" t="s">
        <v>1470</v>
      </c>
      <c r="F2214" s="67" t="s">
        <v>1462</v>
      </c>
      <c r="G2214" s="69">
        <v>543</v>
      </c>
    </row>
    <row r="2215" spans="1:7">
      <c r="A2215" s="67" t="s">
        <v>3697</v>
      </c>
      <c r="B2215" s="70">
        <v>46223</v>
      </c>
      <c r="C2215" s="67" t="s">
        <v>1423</v>
      </c>
      <c r="D2215" s="67" t="s">
        <v>365</v>
      </c>
      <c r="E2215" s="67" t="s">
        <v>1368</v>
      </c>
      <c r="F2215" s="67" t="s">
        <v>1460</v>
      </c>
      <c r="G2215" s="69">
        <v>5</v>
      </c>
    </row>
    <row r="2216" spans="1:7">
      <c r="A2216" s="67" t="s">
        <v>3698</v>
      </c>
      <c r="B2216" s="70">
        <v>46223</v>
      </c>
      <c r="C2216" s="67" t="s">
        <v>1423</v>
      </c>
      <c r="D2216" s="67" t="s">
        <v>1743</v>
      </c>
      <c r="E2216" s="67" t="s">
        <v>1410</v>
      </c>
      <c r="F2216" s="67" t="s">
        <v>1462</v>
      </c>
      <c r="G2216" s="69">
        <v>215</v>
      </c>
    </row>
    <row r="2217" spans="1:7">
      <c r="A2217" s="67" t="s">
        <v>3699</v>
      </c>
      <c r="B2217" s="70">
        <v>46223</v>
      </c>
      <c r="C2217" s="67" t="s">
        <v>1425</v>
      </c>
      <c r="D2217" s="67" t="s">
        <v>1607</v>
      </c>
      <c r="E2217" s="67" t="s">
        <v>1470</v>
      </c>
      <c r="F2217" s="67" t="s">
        <v>1462</v>
      </c>
      <c r="G2217" s="69">
        <v>64</v>
      </c>
    </row>
    <row r="2218" spans="1:7">
      <c r="A2218" s="67" t="s">
        <v>3700</v>
      </c>
      <c r="B2218" s="70">
        <v>46223</v>
      </c>
      <c r="C2218" s="67" t="s">
        <v>1429</v>
      </c>
      <c r="D2218" s="67" t="s">
        <v>369</v>
      </c>
      <c r="E2218" s="67" t="s">
        <v>1368</v>
      </c>
      <c r="F2218" s="67" t="s">
        <v>1462</v>
      </c>
      <c r="G2218" s="69">
        <v>514</v>
      </c>
    </row>
    <row r="2219" spans="1:7">
      <c r="A2219" s="67" t="s">
        <v>3701</v>
      </c>
      <c r="B2219" s="70">
        <v>46224</v>
      </c>
      <c r="C2219" s="67" t="s">
        <v>1359</v>
      </c>
      <c r="D2219" s="67" t="s">
        <v>1551</v>
      </c>
      <c r="E2219" s="67" t="s">
        <v>1362</v>
      </c>
      <c r="F2219" s="67" t="s">
        <v>1460</v>
      </c>
      <c r="G2219" s="69">
        <v>24</v>
      </c>
    </row>
    <row r="2220" spans="1:7">
      <c r="A2220" s="67" t="s">
        <v>3702</v>
      </c>
      <c r="B2220" s="70">
        <v>46224</v>
      </c>
      <c r="C2220" s="67" t="s">
        <v>1359</v>
      </c>
      <c r="D2220" s="67" t="s">
        <v>1551</v>
      </c>
      <c r="E2220" s="67" t="s">
        <v>1362</v>
      </c>
      <c r="F2220" s="67" t="s">
        <v>1460</v>
      </c>
      <c r="G2220" s="69">
        <v>11</v>
      </c>
    </row>
    <row r="2221" spans="1:7">
      <c r="A2221" s="67" t="s">
        <v>3703</v>
      </c>
      <c r="B2221" s="70">
        <v>46224</v>
      </c>
      <c r="C2221" s="67" t="s">
        <v>1359</v>
      </c>
      <c r="D2221" s="67" t="s">
        <v>1459</v>
      </c>
      <c r="E2221" s="67" t="s">
        <v>1362</v>
      </c>
      <c r="F2221" s="67" t="s">
        <v>1462</v>
      </c>
      <c r="G2221" s="69">
        <v>112</v>
      </c>
    </row>
    <row r="2222" spans="1:7">
      <c r="A2222" s="67" t="s">
        <v>3704</v>
      </c>
      <c r="B2222" s="70">
        <v>46224</v>
      </c>
      <c r="C2222" s="67" t="s">
        <v>1366</v>
      </c>
      <c r="D2222" s="67" t="s">
        <v>1607</v>
      </c>
      <c r="E2222" s="67" t="s">
        <v>1470</v>
      </c>
      <c r="F2222" s="67" t="s">
        <v>1462</v>
      </c>
      <c r="G2222" s="69">
        <v>494</v>
      </c>
    </row>
    <row r="2223" spans="1:7">
      <c r="A2223" s="67" t="s">
        <v>3705</v>
      </c>
      <c r="B2223" s="70">
        <v>46224</v>
      </c>
      <c r="C2223" s="67" t="s">
        <v>1366</v>
      </c>
      <c r="D2223" s="67" t="s">
        <v>363</v>
      </c>
      <c r="E2223" s="67" t="s">
        <v>1368</v>
      </c>
      <c r="F2223" s="67" t="s">
        <v>1462</v>
      </c>
      <c r="G2223" s="69">
        <v>171</v>
      </c>
    </row>
    <row r="2224" spans="1:7">
      <c r="A2224" s="67" t="s">
        <v>3706</v>
      </c>
      <c r="B2224" s="70">
        <v>46224</v>
      </c>
      <c r="C2224" s="67" t="s">
        <v>1366</v>
      </c>
      <c r="D2224" s="67" t="s">
        <v>369</v>
      </c>
      <c r="E2224" s="67" t="s">
        <v>1368</v>
      </c>
      <c r="F2224" s="67" t="s">
        <v>1460</v>
      </c>
      <c r="G2224" s="69">
        <v>10</v>
      </c>
    </row>
    <row r="2225" spans="1:7">
      <c r="A2225" s="67" t="s">
        <v>3707</v>
      </c>
      <c r="B2225" s="70">
        <v>46224</v>
      </c>
      <c r="C2225" s="67" t="s">
        <v>1371</v>
      </c>
      <c r="D2225" s="67" t="s">
        <v>1551</v>
      </c>
      <c r="E2225" s="67" t="s">
        <v>1362</v>
      </c>
      <c r="F2225" s="67" t="s">
        <v>1462</v>
      </c>
      <c r="G2225" s="69">
        <v>508</v>
      </c>
    </row>
    <row r="2226" spans="1:7">
      <c r="A2226" s="67" t="s">
        <v>3708</v>
      </c>
      <c r="B2226" s="70">
        <v>46224</v>
      </c>
      <c r="C2226" s="67" t="s">
        <v>1371</v>
      </c>
      <c r="D2226" s="67" t="s">
        <v>358</v>
      </c>
      <c r="E2226" s="67" t="s">
        <v>1368</v>
      </c>
      <c r="F2226" s="67" t="s">
        <v>1462</v>
      </c>
      <c r="G2226" s="69">
        <v>398</v>
      </c>
    </row>
    <row r="2227" spans="1:7">
      <c r="A2227" s="67" t="s">
        <v>3709</v>
      </c>
      <c r="B2227" s="70">
        <v>46224</v>
      </c>
      <c r="C2227" s="67" t="s">
        <v>1375</v>
      </c>
      <c r="D2227" s="67" t="s">
        <v>356</v>
      </c>
      <c r="E2227" s="67" t="s">
        <v>1368</v>
      </c>
      <c r="F2227" s="67" t="s">
        <v>1462</v>
      </c>
      <c r="G2227" s="69">
        <v>471</v>
      </c>
    </row>
    <row r="2228" spans="1:7">
      <c r="A2228" s="67" t="s">
        <v>3710</v>
      </c>
      <c r="B2228" s="70">
        <v>46224</v>
      </c>
      <c r="C2228" s="67" t="s">
        <v>1381</v>
      </c>
      <c r="D2228" s="67" t="s">
        <v>353</v>
      </c>
      <c r="E2228" s="67" t="s">
        <v>1368</v>
      </c>
      <c r="F2228" s="67" t="s">
        <v>1462</v>
      </c>
      <c r="G2228" s="69">
        <v>294</v>
      </c>
    </row>
    <row r="2229" spans="1:7">
      <c r="A2229" s="67" t="s">
        <v>3711</v>
      </c>
      <c r="B2229" s="70">
        <v>46224</v>
      </c>
      <c r="C2229" s="67" t="s">
        <v>1381</v>
      </c>
      <c r="D2229" s="67" t="s">
        <v>356</v>
      </c>
      <c r="E2229" s="67" t="s">
        <v>1368</v>
      </c>
      <c r="F2229" s="67" t="s">
        <v>1462</v>
      </c>
      <c r="G2229" s="69">
        <v>527</v>
      </c>
    </row>
    <row r="2230" spans="1:7">
      <c r="A2230" s="67" t="s">
        <v>3712</v>
      </c>
      <c r="B2230" s="70">
        <v>46224</v>
      </c>
      <c r="C2230" s="67" t="s">
        <v>1381</v>
      </c>
      <c r="D2230" s="67" t="s">
        <v>363</v>
      </c>
      <c r="E2230" s="67" t="s">
        <v>1368</v>
      </c>
      <c r="F2230" s="67" t="s">
        <v>1462</v>
      </c>
      <c r="G2230" s="69">
        <v>233</v>
      </c>
    </row>
    <row r="2231" spans="1:7">
      <c r="A2231" s="67" t="s">
        <v>3713</v>
      </c>
      <c r="B2231" s="70">
        <v>46224</v>
      </c>
      <c r="C2231" s="67" t="s">
        <v>1381</v>
      </c>
      <c r="D2231" s="67" t="s">
        <v>358</v>
      </c>
      <c r="E2231" s="67" t="s">
        <v>1368</v>
      </c>
      <c r="F2231" s="67" t="s">
        <v>1462</v>
      </c>
      <c r="G2231" s="69">
        <v>320</v>
      </c>
    </row>
    <row r="2232" spans="1:7">
      <c r="A2232" s="67" t="s">
        <v>3714</v>
      </c>
      <c r="B2232" s="70">
        <v>46224</v>
      </c>
      <c r="C2232" s="67" t="s">
        <v>1384</v>
      </c>
      <c r="D2232" s="67" t="s">
        <v>1551</v>
      </c>
      <c r="E2232" s="67" t="s">
        <v>1362</v>
      </c>
      <c r="F2232" s="67" t="s">
        <v>1462</v>
      </c>
      <c r="G2232" s="69">
        <v>34</v>
      </c>
    </row>
    <row r="2233" spans="1:7">
      <c r="A2233" s="67" t="s">
        <v>3715</v>
      </c>
      <c r="B2233" s="70">
        <v>46224</v>
      </c>
      <c r="C2233" s="67" t="s">
        <v>1384</v>
      </c>
      <c r="D2233" s="67" t="s">
        <v>1551</v>
      </c>
      <c r="E2233" s="67" t="s">
        <v>1362</v>
      </c>
      <c r="F2233" s="67" t="s">
        <v>1462</v>
      </c>
      <c r="G2233" s="69">
        <v>532</v>
      </c>
    </row>
    <row r="2234" spans="1:7">
      <c r="A2234" s="67" t="s">
        <v>3716</v>
      </c>
      <c r="B2234" s="70">
        <v>46224</v>
      </c>
      <c r="C2234" s="67" t="s">
        <v>1404</v>
      </c>
      <c r="D2234" s="67" t="s">
        <v>367</v>
      </c>
      <c r="E2234" s="67" t="s">
        <v>1368</v>
      </c>
      <c r="F2234" s="67" t="s">
        <v>1462</v>
      </c>
      <c r="G2234" s="69">
        <v>466</v>
      </c>
    </row>
    <row r="2235" spans="1:7">
      <c r="A2235" s="67" t="s">
        <v>3717</v>
      </c>
      <c r="B2235" s="70">
        <v>46224</v>
      </c>
      <c r="C2235" s="67" t="s">
        <v>1404</v>
      </c>
      <c r="D2235" s="67" t="s">
        <v>369</v>
      </c>
      <c r="E2235" s="67" t="s">
        <v>1368</v>
      </c>
      <c r="F2235" s="67" t="s">
        <v>1460</v>
      </c>
      <c r="G2235" s="69">
        <v>7</v>
      </c>
    </row>
    <row r="2236" spans="1:7">
      <c r="A2236" s="67" t="s">
        <v>3718</v>
      </c>
      <c r="B2236" s="70">
        <v>46224</v>
      </c>
      <c r="C2236" s="67" t="s">
        <v>1411</v>
      </c>
      <c r="D2236" s="67" t="s">
        <v>1506</v>
      </c>
      <c r="E2236" s="67" t="s">
        <v>1482</v>
      </c>
      <c r="F2236" s="67" t="s">
        <v>1462</v>
      </c>
      <c r="G2236" s="69">
        <v>585</v>
      </c>
    </row>
    <row r="2237" spans="1:7">
      <c r="A2237" s="67" t="s">
        <v>3719</v>
      </c>
      <c r="B2237" s="70">
        <v>46224</v>
      </c>
      <c r="C2237" s="67" t="s">
        <v>1411</v>
      </c>
      <c r="D2237" s="67" t="s">
        <v>1506</v>
      </c>
      <c r="E2237" s="67" t="s">
        <v>1482</v>
      </c>
      <c r="F2237" s="67" t="s">
        <v>1488</v>
      </c>
      <c r="G2237" s="69">
        <v>10</v>
      </c>
    </row>
    <row r="2238" spans="1:7">
      <c r="A2238" s="67" t="s">
        <v>3720</v>
      </c>
      <c r="B2238" s="70">
        <v>46224</v>
      </c>
      <c r="C2238" s="67" t="s">
        <v>1411</v>
      </c>
      <c r="D2238" s="67" t="s">
        <v>1506</v>
      </c>
      <c r="E2238" s="67" t="s">
        <v>1482</v>
      </c>
      <c r="F2238" s="67" t="s">
        <v>1462</v>
      </c>
      <c r="G2238" s="69">
        <v>109</v>
      </c>
    </row>
    <row r="2239" spans="1:7">
      <c r="A2239" s="67" t="s">
        <v>3721</v>
      </c>
      <c r="B2239" s="70">
        <v>46224</v>
      </c>
      <c r="C2239" s="67" t="s">
        <v>1411</v>
      </c>
      <c r="D2239" s="67" t="s">
        <v>1481</v>
      </c>
      <c r="E2239" s="67" t="s">
        <v>1482</v>
      </c>
      <c r="F2239" s="67" t="s">
        <v>1460</v>
      </c>
      <c r="G2239" s="69">
        <v>22</v>
      </c>
    </row>
    <row r="2240" spans="1:7">
      <c r="A2240" s="67" t="s">
        <v>3722</v>
      </c>
      <c r="B2240" s="70">
        <v>46224</v>
      </c>
      <c r="C2240" s="67" t="s">
        <v>1414</v>
      </c>
      <c r="D2240" s="67" t="s">
        <v>1469</v>
      </c>
      <c r="E2240" s="67" t="s">
        <v>1470</v>
      </c>
      <c r="F2240" s="67" t="s">
        <v>1462</v>
      </c>
      <c r="G2240" s="69">
        <v>66</v>
      </c>
    </row>
    <row r="2241" spans="1:7">
      <c r="A2241" s="67" t="s">
        <v>3723</v>
      </c>
      <c r="B2241" s="70">
        <v>46224</v>
      </c>
      <c r="C2241" s="67" t="s">
        <v>1425</v>
      </c>
      <c r="D2241" s="67" t="s">
        <v>1511</v>
      </c>
      <c r="E2241" s="67" t="s">
        <v>1470</v>
      </c>
      <c r="F2241" s="67" t="s">
        <v>1460</v>
      </c>
      <c r="G2241" s="69">
        <v>26</v>
      </c>
    </row>
    <row r="2242" spans="1:7">
      <c r="A2242" s="67" t="s">
        <v>3724</v>
      </c>
      <c r="B2242" s="70">
        <v>46224</v>
      </c>
      <c r="C2242" s="67" t="s">
        <v>1429</v>
      </c>
      <c r="D2242" s="67" t="s">
        <v>365</v>
      </c>
      <c r="E2242" s="67" t="s">
        <v>1368</v>
      </c>
      <c r="F2242" s="67" t="s">
        <v>1462</v>
      </c>
      <c r="G2242" s="69">
        <v>374</v>
      </c>
    </row>
    <row r="2243" spans="1:7">
      <c r="A2243" s="67" t="s">
        <v>3725</v>
      </c>
      <c r="B2243" s="70">
        <v>46224</v>
      </c>
      <c r="C2243" s="67" t="s">
        <v>1438</v>
      </c>
      <c r="D2243" s="67" t="s">
        <v>365</v>
      </c>
      <c r="E2243" s="67" t="s">
        <v>1368</v>
      </c>
      <c r="F2243" s="67" t="s">
        <v>1462</v>
      </c>
      <c r="G2243" s="69">
        <v>499</v>
      </c>
    </row>
    <row r="2244" spans="1:7">
      <c r="A2244" s="67" t="s">
        <v>3726</v>
      </c>
      <c r="B2244" s="70">
        <v>46224</v>
      </c>
      <c r="C2244" s="67" t="s">
        <v>1444</v>
      </c>
      <c r="D2244" s="67" t="s">
        <v>1476</v>
      </c>
      <c r="E2244" s="67" t="s">
        <v>1362</v>
      </c>
      <c r="F2244" s="67" t="s">
        <v>1460</v>
      </c>
      <c r="G2244" s="69">
        <v>18</v>
      </c>
    </row>
    <row r="2245" spans="1:7">
      <c r="A2245" s="67" t="s">
        <v>3727</v>
      </c>
      <c r="B2245" s="70">
        <v>46224</v>
      </c>
      <c r="C2245" s="67" t="s">
        <v>1446</v>
      </c>
      <c r="D2245" s="67" t="s">
        <v>1551</v>
      </c>
      <c r="E2245" s="67" t="s">
        <v>1362</v>
      </c>
      <c r="F2245" s="67" t="s">
        <v>1462</v>
      </c>
      <c r="G2245" s="69">
        <v>95</v>
      </c>
    </row>
    <row r="2246" spans="1:7">
      <c r="A2246" s="67" t="s">
        <v>3728</v>
      </c>
      <c r="B2246" s="70">
        <v>46225</v>
      </c>
      <c r="C2246" s="67" t="s">
        <v>1359</v>
      </c>
      <c r="D2246" s="67" t="s">
        <v>1459</v>
      </c>
      <c r="E2246" s="67" t="s">
        <v>1362</v>
      </c>
      <c r="F2246" s="67" t="s">
        <v>1460</v>
      </c>
      <c r="G2246" s="69">
        <v>19</v>
      </c>
    </row>
    <row r="2247" spans="1:7">
      <c r="A2247" s="67" t="s">
        <v>3729</v>
      </c>
      <c r="B2247" s="70">
        <v>46225</v>
      </c>
      <c r="C2247" s="67" t="s">
        <v>1359</v>
      </c>
      <c r="D2247" s="67" t="s">
        <v>1602</v>
      </c>
      <c r="E2247" s="67" t="s">
        <v>1386</v>
      </c>
      <c r="F2247" s="67" t="s">
        <v>1462</v>
      </c>
      <c r="G2247" s="69">
        <v>205</v>
      </c>
    </row>
    <row r="2248" spans="1:7">
      <c r="A2248" s="67" t="s">
        <v>3730</v>
      </c>
      <c r="B2248" s="70">
        <v>46225</v>
      </c>
      <c r="C2248" s="67" t="s">
        <v>1366</v>
      </c>
      <c r="D2248" s="67" t="s">
        <v>353</v>
      </c>
      <c r="E2248" s="67" t="s">
        <v>1368</v>
      </c>
      <c r="F2248" s="67" t="s">
        <v>1462</v>
      </c>
      <c r="G2248" s="69">
        <v>88</v>
      </c>
    </row>
    <row r="2249" spans="1:7">
      <c r="A2249" s="67" t="s">
        <v>3731</v>
      </c>
      <c r="B2249" s="70">
        <v>46225</v>
      </c>
      <c r="C2249" s="67" t="s">
        <v>1366</v>
      </c>
      <c r="D2249" s="67" t="s">
        <v>1476</v>
      </c>
      <c r="E2249" s="67" t="s">
        <v>1362</v>
      </c>
      <c r="F2249" s="67" t="s">
        <v>1462</v>
      </c>
      <c r="G2249" s="69">
        <v>553</v>
      </c>
    </row>
    <row r="2250" spans="1:7">
      <c r="A2250" s="67" t="s">
        <v>3732</v>
      </c>
      <c r="B2250" s="70">
        <v>46225</v>
      </c>
      <c r="C2250" s="67" t="s">
        <v>1371</v>
      </c>
      <c r="D2250" s="67" t="s">
        <v>1466</v>
      </c>
      <c r="E2250" s="67" t="s">
        <v>1386</v>
      </c>
      <c r="F2250" s="67" t="s">
        <v>1462</v>
      </c>
      <c r="G2250" s="69">
        <v>222</v>
      </c>
    </row>
    <row r="2251" spans="1:7">
      <c r="A2251" s="67" t="s">
        <v>3733</v>
      </c>
      <c r="B2251" s="70">
        <v>46225</v>
      </c>
      <c r="C2251" s="67" t="s">
        <v>1375</v>
      </c>
      <c r="D2251" s="67" t="s">
        <v>1484</v>
      </c>
      <c r="E2251" s="67" t="s">
        <v>1470</v>
      </c>
      <c r="F2251" s="67" t="s">
        <v>1460</v>
      </c>
      <c r="G2251" s="69">
        <v>23</v>
      </c>
    </row>
    <row r="2252" spans="1:7">
      <c r="A2252" s="67" t="s">
        <v>3734</v>
      </c>
      <c r="B2252" s="70">
        <v>46225</v>
      </c>
      <c r="C2252" s="67" t="s">
        <v>1378</v>
      </c>
      <c r="D2252" s="67" t="s">
        <v>369</v>
      </c>
      <c r="E2252" s="67" t="s">
        <v>1368</v>
      </c>
      <c r="F2252" s="67" t="s">
        <v>1462</v>
      </c>
      <c r="G2252" s="69">
        <v>395</v>
      </c>
    </row>
    <row r="2253" spans="1:7">
      <c r="A2253" s="67" t="s">
        <v>3735</v>
      </c>
      <c r="B2253" s="70">
        <v>46225</v>
      </c>
      <c r="C2253" s="67" t="s">
        <v>1389</v>
      </c>
      <c r="D2253" s="67" t="s">
        <v>367</v>
      </c>
      <c r="E2253" s="67" t="s">
        <v>1368</v>
      </c>
      <c r="F2253" s="67" t="s">
        <v>1462</v>
      </c>
      <c r="G2253" s="69">
        <v>33</v>
      </c>
    </row>
    <row r="2254" spans="1:7">
      <c r="A2254" s="67" t="s">
        <v>3736</v>
      </c>
      <c r="B2254" s="70">
        <v>46225</v>
      </c>
      <c r="C2254" s="67" t="s">
        <v>1393</v>
      </c>
      <c r="D2254" s="67" t="s">
        <v>356</v>
      </c>
      <c r="E2254" s="67" t="s">
        <v>1368</v>
      </c>
      <c r="F2254" s="67" t="s">
        <v>1462</v>
      </c>
      <c r="G2254" s="69">
        <v>467</v>
      </c>
    </row>
    <row r="2255" spans="1:7">
      <c r="A2255" s="67" t="s">
        <v>3737</v>
      </c>
      <c r="B2255" s="70">
        <v>46225</v>
      </c>
      <c r="C2255" s="67" t="s">
        <v>1393</v>
      </c>
      <c r="D2255" s="67" t="s">
        <v>356</v>
      </c>
      <c r="E2255" s="67" t="s">
        <v>1368</v>
      </c>
      <c r="F2255" s="67" t="s">
        <v>1460</v>
      </c>
      <c r="G2255" s="69">
        <v>11</v>
      </c>
    </row>
    <row r="2256" spans="1:7">
      <c r="A2256" s="67" t="s">
        <v>3738</v>
      </c>
      <c r="B2256" s="70">
        <v>46225</v>
      </c>
      <c r="C2256" s="67" t="s">
        <v>1404</v>
      </c>
      <c r="D2256" s="67" t="s">
        <v>353</v>
      </c>
      <c r="E2256" s="67" t="s">
        <v>1368</v>
      </c>
      <c r="F2256" s="67" t="s">
        <v>1460</v>
      </c>
      <c r="G2256" s="69">
        <v>18</v>
      </c>
    </row>
    <row r="2257" spans="1:7">
      <c r="A2257" s="67" t="s">
        <v>3739</v>
      </c>
      <c r="B2257" s="70">
        <v>46225</v>
      </c>
      <c r="C2257" s="67" t="s">
        <v>1404</v>
      </c>
      <c r="D2257" s="67" t="s">
        <v>367</v>
      </c>
      <c r="E2257" s="67" t="s">
        <v>1368</v>
      </c>
      <c r="F2257" s="67" t="s">
        <v>1462</v>
      </c>
      <c r="G2257" s="69">
        <v>485</v>
      </c>
    </row>
    <row r="2258" spans="1:7">
      <c r="A2258" s="67" t="s">
        <v>3740</v>
      </c>
      <c r="B2258" s="70">
        <v>46225</v>
      </c>
      <c r="C2258" s="67" t="s">
        <v>1406</v>
      </c>
      <c r="D2258" s="67" t="s">
        <v>353</v>
      </c>
      <c r="E2258" s="67" t="s">
        <v>1368</v>
      </c>
      <c r="F2258" s="67" t="s">
        <v>1488</v>
      </c>
      <c r="G2258" s="69">
        <v>9</v>
      </c>
    </row>
    <row r="2259" spans="1:7">
      <c r="A2259" s="67" t="s">
        <v>3741</v>
      </c>
      <c r="B2259" s="70">
        <v>46225</v>
      </c>
      <c r="C2259" s="67" t="s">
        <v>1411</v>
      </c>
      <c r="D2259" s="67" t="s">
        <v>1506</v>
      </c>
      <c r="E2259" s="67" t="s">
        <v>1482</v>
      </c>
      <c r="F2259" s="67" t="s">
        <v>1460</v>
      </c>
      <c r="G2259" s="69">
        <v>8</v>
      </c>
    </row>
    <row r="2260" spans="1:7">
      <c r="A2260" s="67" t="s">
        <v>3742</v>
      </c>
      <c r="B2260" s="70">
        <v>46225</v>
      </c>
      <c r="C2260" s="67" t="s">
        <v>1411</v>
      </c>
      <c r="D2260" s="67" t="s">
        <v>1481</v>
      </c>
      <c r="E2260" s="67" t="s">
        <v>1482</v>
      </c>
      <c r="F2260" s="67" t="s">
        <v>1462</v>
      </c>
      <c r="G2260" s="69">
        <v>145</v>
      </c>
    </row>
    <row r="2261" spans="1:7">
      <c r="A2261" s="67" t="s">
        <v>3743</v>
      </c>
      <c r="B2261" s="70">
        <v>46225</v>
      </c>
      <c r="C2261" s="67" t="s">
        <v>1414</v>
      </c>
      <c r="D2261" s="67" t="s">
        <v>1484</v>
      </c>
      <c r="E2261" s="67" t="s">
        <v>1470</v>
      </c>
      <c r="F2261" s="67" t="s">
        <v>1462</v>
      </c>
      <c r="G2261" s="69">
        <v>403</v>
      </c>
    </row>
    <row r="2262" spans="1:7">
      <c r="A2262" s="67" t="s">
        <v>3744</v>
      </c>
      <c r="B2262" s="70">
        <v>46225</v>
      </c>
      <c r="C2262" s="67" t="s">
        <v>1414</v>
      </c>
      <c r="D2262" s="67" t="s">
        <v>1459</v>
      </c>
      <c r="E2262" s="67" t="s">
        <v>1362</v>
      </c>
      <c r="F2262" s="67" t="s">
        <v>1462</v>
      </c>
      <c r="G2262" s="69">
        <v>179</v>
      </c>
    </row>
    <row r="2263" spans="1:7">
      <c r="A2263" s="67" t="s">
        <v>3745</v>
      </c>
      <c r="B2263" s="70">
        <v>46225</v>
      </c>
      <c r="C2263" s="67" t="s">
        <v>1425</v>
      </c>
      <c r="D2263" s="67" t="s">
        <v>1484</v>
      </c>
      <c r="E2263" s="67" t="s">
        <v>1470</v>
      </c>
      <c r="F2263" s="67" t="s">
        <v>1462</v>
      </c>
      <c r="G2263" s="69">
        <v>457</v>
      </c>
    </row>
    <row r="2264" spans="1:7">
      <c r="A2264" s="67" t="s">
        <v>3746</v>
      </c>
      <c r="B2264" s="70">
        <v>46225</v>
      </c>
      <c r="C2264" s="67" t="s">
        <v>1444</v>
      </c>
      <c r="D2264" s="67" t="s">
        <v>1476</v>
      </c>
      <c r="E2264" s="67" t="s">
        <v>1362</v>
      </c>
      <c r="F2264" s="67" t="s">
        <v>1462</v>
      </c>
      <c r="G2264" s="69">
        <v>510</v>
      </c>
    </row>
    <row r="2265" spans="1:7">
      <c r="A2265" s="67" t="s">
        <v>3747</v>
      </c>
      <c r="B2265" s="70">
        <v>46225</v>
      </c>
      <c r="C2265" s="67" t="s">
        <v>1448</v>
      </c>
      <c r="D2265" s="67" t="s">
        <v>1618</v>
      </c>
      <c r="E2265" s="67" t="s">
        <v>1433</v>
      </c>
      <c r="F2265" s="67" t="s">
        <v>1460</v>
      </c>
      <c r="G2265" s="69">
        <v>14</v>
      </c>
    </row>
    <row r="2266" spans="1:7">
      <c r="A2266" s="67" t="s">
        <v>3748</v>
      </c>
      <c r="B2266" s="70">
        <v>46226</v>
      </c>
      <c r="C2266" s="67" t="s">
        <v>1359</v>
      </c>
      <c r="D2266" s="67" t="s">
        <v>356</v>
      </c>
      <c r="E2266" s="67" t="s">
        <v>1368</v>
      </c>
      <c r="F2266" s="67" t="s">
        <v>1460</v>
      </c>
      <c r="G2266" s="69">
        <v>24</v>
      </c>
    </row>
    <row r="2267" spans="1:7">
      <c r="A2267" s="67" t="s">
        <v>3749</v>
      </c>
      <c r="B2267" s="70">
        <v>46226</v>
      </c>
      <c r="C2267" s="67" t="s">
        <v>1359</v>
      </c>
      <c r="D2267" s="67" t="s">
        <v>1551</v>
      </c>
      <c r="E2267" s="67" t="s">
        <v>1362</v>
      </c>
      <c r="F2267" s="67" t="s">
        <v>1462</v>
      </c>
      <c r="G2267" s="69">
        <v>57</v>
      </c>
    </row>
    <row r="2268" spans="1:7">
      <c r="A2268" s="67" t="s">
        <v>3750</v>
      </c>
      <c r="B2268" s="70">
        <v>46226</v>
      </c>
      <c r="C2268" s="67" t="s">
        <v>1359</v>
      </c>
      <c r="D2268" s="67" t="s">
        <v>1551</v>
      </c>
      <c r="E2268" s="67" t="s">
        <v>1362</v>
      </c>
      <c r="F2268" s="67" t="s">
        <v>1462</v>
      </c>
      <c r="G2268" s="69">
        <v>534</v>
      </c>
    </row>
    <row r="2269" spans="1:7">
      <c r="A2269" s="67" t="s">
        <v>3751</v>
      </c>
      <c r="B2269" s="70">
        <v>46226</v>
      </c>
      <c r="C2269" s="67" t="s">
        <v>1359</v>
      </c>
      <c r="D2269" s="67" t="s">
        <v>1602</v>
      </c>
      <c r="E2269" s="67" t="s">
        <v>1386</v>
      </c>
      <c r="F2269" s="67" t="s">
        <v>1460</v>
      </c>
      <c r="G2269" s="69">
        <v>10</v>
      </c>
    </row>
    <row r="2270" spans="1:7">
      <c r="A2270" s="67" t="s">
        <v>3752</v>
      </c>
      <c r="B2270" s="70">
        <v>46226</v>
      </c>
      <c r="C2270" s="67" t="s">
        <v>1366</v>
      </c>
      <c r="D2270" s="67" t="s">
        <v>363</v>
      </c>
      <c r="E2270" s="67" t="s">
        <v>1368</v>
      </c>
      <c r="F2270" s="67" t="s">
        <v>1460</v>
      </c>
      <c r="G2270" s="69">
        <v>26</v>
      </c>
    </row>
    <row r="2271" spans="1:7">
      <c r="A2271" s="67" t="s">
        <v>3753</v>
      </c>
      <c r="B2271" s="70">
        <v>46226</v>
      </c>
      <c r="C2271" s="67" t="s">
        <v>1371</v>
      </c>
      <c r="D2271" s="67" t="s">
        <v>356</v>
      </c>
      <c r="E2271" s="67" t="s">
        <v>1368</v>
      </c>
      <c r="F2271" s="67" t="s">
        <v>1460</v>
      </c>
      <c r="G2271" s="69">
        <v>6</v>
      </c>
    </row>
    <row r="2272" spans="1:7">
      <c r="A2272" s="67" t="s">
        <v>3754</v>
      </c>
      <c r="B2272" s="70">
        <v>46226</v>
      </c>
      <c r="C2272" s="67" t="s">
        <v>1381</v>
      </c>
      <c r="D2272" s="67" t="s">
        <v>353</v>
      </c>
      <c r="E2272" s="67" t="s">
        <v>1368</v>
      </c>
      <c r="F2272" s="67" t="s">
        <v>1460</v>
      </c>
      <c r="G2272" s="69">
        <v>20</v>
      </c>
    </row>
    <row r="2273" spans="1:7">
      <c r="A2273" s="67" t="s">
        <v>3755</v>
      </c>
      <c r="B2273" s="70">
        <v>46226</v>
      </c>
      <c r="C2273" s="67" t="s">
        <v>1404</v>
      </c>
      <c r="D2273" s="67" t="s">
        <v>363</v>
      </c>
      <c r="E2273" s="67" t="s">
        <v>1368</v>
      </c>
      <c r="F2273" s="67" t="s">
        <v>1462</v>
      </c>
      <c r="G2273" s="69">
        <v>383</v>
      </c>
    </row>
    <row r="2274" spans="1:7">
      <c r="A2274" s="67" t="s">
        <v>3756</v>
      </c>
      <c r="B2274" s="70">
        <v>46226</v>
      </c>
      <c r="C2274" s="67" t="s">
        <v>1411</v>
      </c>
      <c r="D2274" s="67" t="s">
        <v>1506</v>
      </c>
      <c r="E2274" s="67" t="s">
        <v>1482</v>
      </c>
      <c r="F2274" s="67" t="s">
        <v>1462</v>
      </c>
      <c r="G2274" s="69">
        <v>553</v>
      </c>
    </row>
    <row r="2275" spans="1:7">
      <c r="A2275" s="67" t="s">
        <v>3757</v>
      </c>
      <c r="B2275" s="70">
        <v>46226</v>
      </c>
      <c r="C2275" s="67" t="s">
        <v>1411</v>
      </c>
      <c r="D2275" s="67" t="s">
        <v>1481</v>
      </c>
      <c r="E2275" s="67" t="s">
        <v>1482</v>
      </c>
      <c r="F2275" s="67" t="s">
        <v>1462</v>
      </c>
      <c r="G2275" s="69">
        <v>306</v>
      </c>
    </row>
    <row r="2276" spans="1:7">
      <c r="A2276" s="67" t="s">
        <v>3758</v>
      </c>
      <c r="B2276" s="70">
        <v>46226</v>
      </c>
      <c r="C2276" s="67" t="s">
        <v>1411</v>
      </c>
      <c r="D2276" s="67" t="s">
        <v>1481</v>
      </c>
      <c r="E2276" s="67" t="s">
        <v>1482</v>
      </c>
      <c r="F2276" s="67" t="s">
        <v>1462</v>
      </c>
      <c r="G2276" s="69">
        <v>50</v>
      </c>
    </row>
    <row r="2277" spans="1:7">
      <c r="A2277" s="67" t="s">
        <v>3759</v>
      </c>
      <c r="B2277" s="70">
        <v>46226</v>
      </c>
      <c r="C2277" s="67" t="s">
        <v>1414</v>
      </c>
      <c r="D2277" s="67" t="s">
        <v>1484</v>
      </c>
      <c r="E2277" s="67" t="s">
        <v>1470</v>
      </c>
      <c r="F2277" s="67" t="s">
        <v>1462</v>
      </c>
      <c r="G2277" s="69">
        <v>569</v>
      </c>
    </row>
    <row r="2278" spans="1:7">
      <c r="A2278" s="67" t="s">
        <v>3760</v>
      </c>
      <c r="B2278" s="70">
        <v>46226</v>
      </c>
      <c r="C2278" s="67" t="s">
        <v>1423</v>
      </c>
      <c r="D2278" s="67" t="s">
        <v>1487</v>
      </c>
      <c r="E2278" s="67" t="s">
        <v>1410</v>
      </c>
      <c r="F2278" s="67" t="s">
        <v>1462</v>
      </c>
      <c r="G2278" s="69">
        <v>336</v>
      </c>
    </row>
    <row r="2279" spans="1:7">
      <c r="A2279" s="67" t="s">
        <v>3761</v>
      </c>
      <c r="B2279" s="70">
        <v>46226</v>
      </c>
      <c r="C2279" s="67" t="s">
        <v>1423</v>
      </c>
      <c r="D2279" s="67" t="s">
        <v>1479</v>
      </c>
      <c r="E2279" s="67" t="s">
        <v>1410</v>
      </c>
      <c r="F2279" s="67" t="s">
        <v>1462</v>
      </c>
      <c r="G2279" s="69">
        <v>279</v>
      </c>
    </row>
    <row r="2280" spans="1:7">
      <c r="A2280" s="67" t="s">
        <v>3762</v>
      </c>
      <c r="B2280" s="70">
        <v>46226</v>
      </c>
      <c r="C2280" s="67" t="s">
        <v>1425</v>
      </c>
      <c r="D2280" s="67" t="s">
        <v>1511</v>
      </c>
      <c r="E2280" s="67" t="s">
        <v>1470</v>
      </c>
      <c r="F2280" s="67" t="s">
        <v>1462</v>
      </c>
      <c r="G2280" s="69">
        <v>448</v>
      </c>
    </row>
    <row r="2281" spans="1:7">
      <c r="A2281" s="67" t="s">
        <v>3763</v>
      </c>
      <c r="B2281" s="70">
        <v>46226</v>
      </c>
      <c r="C2281" s="67" t="s">
        <v>1425</v>
      </c>
      <c r="D2281" s="67" t="s">
        <v>1469</v>
      </c>
      <c r="E2281" s="67" t="s">
        <v>1470</v>
      </c>
      <c r="F2281" s="67" t="s">
        <v>1462</v>
      </c>
      <c r="G2281" s="69">
        <v>405</v>
      </c>
    </row>
    <row r="2282" spans="1:7">
      <c r="A2282" s="67" t="s">
        <v>3764</v>
      </c>
      <c r="B2282" s="70">
        <v>46226</v>
      </c>
      <c r="C2282" s="67" t="s">
        <v>1429</v>
      </c>
      <c r="D2282" s="67" t="s">
        <v>356</v>
      </c>
      <c r="E2282" s="67" t="s">
        <v>1368</v>
      </c>
      <c r="F2282" s="67" t="s">
        <v>1462</v>
      </c>
      <c r="G2282" s="69">
        <v>246</v>
      </c>
    </row>
    <row r="2283" spans="1:7">
      <c r="A2283" s="67" t="s">
        <v>3765</v>
      </c>
      <c r="B2283" s="70">
        <v>46226</v>
      </c>
      <c r="C2283" s="67" t="s">
        <v>1429</v>
      </c>
      <c r="D2283" s="67" t="s">
        <v>1484</v>
      </c>
      <c r="E2283" s="67" t="s">
        <v>1470</v>
      </c>
      <c r="F2283" s="67" t="s">
        <v>1462</v>
      </c>
      <c r="G2283" s="69">
        <v>166</v>
      </c>
    </row>
    <row r="2284" spans="1:7">
      <c r="A2284" s="67" t="s">
        <v>3766</v>
      </c>
      <c r="B2284" s="70">
        <v>46226</v>
      </c>
      <c r="C2284" s="67" t="s">
        <v>1429</v>
      </c>
      <c r="D2284" s="67" t="s">
        <v>369</v>
      </c>
      <c r="E2284" s="67" t="s">
        <v>1368</v>
      </c>
      <c r="F2284" s="67" t="s">
        <v>1462</v>
      </c>
      <c r="G2284" s="69">
        <v>158</v>
      </c>
    </row>
    <row r="2285" spans="1:7">
      <c r="A2285" s="67" t="s">
        <v>3767</v>
      </c>
      <c r="B2285" s="70">
        <v>46227</v>
      </c>
      <c r="C2285" s="67" t="s">
        <v>1366</v>
      </c>
      <c r="D2285" s="67" t="s">
        <v>353</v>
      </c>
      <c r="E2285" s="67" t="s">
        <v>1368</v>
      </c>
      <c r="F2285" s="67" t="s">
        <v>1462</v>
      </c>
      <c r="G2285" s="69">
        <v>50</v>
      </c>
    </row>
    <row r="2286" spans="1:7">
      <c r="A2286" s="67" t="s">
        <v>3768</v>
      </c>
      <c r="B2286" s="70">
        <v>46227</v>
      </c>
      <c r="C2286" s="67" t="s">
        <v>1366</v>
      </c>
      <c r="D2286" s="67" t="s">
        <v>353</v>
      </c>
      <c r="E2286" s="67" t="s">
        <v>1368</v>
      </c>
      <c r="F2286" s="67" t="s">
        <v>1462</v>
      </c>
      <c r="G2286" s="69">
        <v>600</v>
      </c>
    </row>
    <row r="2287" spans="1:7">
      <c r="A2287" s="67" t="s">
        <v>3769</v>
      </c>
      <c r="B2287" s="70">
        <v>46227</v>
      </c>
      <c r="C2287" s="67" t="s">
        <v>1371</v>
      </c>
      <c r="D2287" s="67" t="s">
        <v>1459</v>
      </c>
      <c r="E2287" s="67" t="s">
        <v>1362</v>
      </c>
      <c r="F2287" s="67" t="s">
        <v>1460</v>
      </c>
      <c r="G2287" s="69">
        <v>6</v>
      </c>
    </row>
    <row r="2288" spans="1:7">
      <c r="A2288" s="67" t="s">
        <v>3770</v>
      </c>
      <c r="B2288" s="70">
        <v>46227</v>
      </c>
      <c r="C2288" s="67" t="s">
        <v>1375</v>
      </c>
      <c r="D2288" s="67" t="s">
        <v>353</v>
      </c>
      <c r="E2288" s="67" t="s">
        <v>1368</v>
      </c>
      <c r="F2288" s="67" t="s">
        <v>1460</v>
      </c>
      <c r="G2288" s="69">
        <v>29</v>
      </c>
    </row>
    <row r="2289" spans="1:7">
      <c r="A2289" s="67" t="s">
        <v>3771</v>
      </c>
      <c r="B2289" s="70">
        <v>46227</v>
      </c>
      <c r="C2289" s="67" t="s">
        <v>1381</v>
      </c>
      <c r="D2289" s="67" t="s">
        <v>1459</v>
      </c>
      <c r="E2289" s="67" t="s">
        <v>1362</v>
      </c>
      <c r="F2289" s="67" t="s">
        <v>1462</v>
      </c>
      <c r="G2289" s="69">
        <v>229</v>
      </c>
    </row>
    <row r="2290" spans="1:7">
      <c r="A2290" s="67" t="s">
        <v>3772</v>
      </c>
      <c r="B2290" s="70">
        <v>46227</v>
      </c>
      <c r="C2290" s="67" t="s">
        <v>1381</v>
      </c>
      <c r="D2290" s="67" t="s">
        <v>358</v>
      </c>
      <c r="E2290" s="67" t="s">
        <v>1368</v>
      </c>
      <c r="F2290" s="67" t="s">
        <v>1462</v>
      </c>
      <c r="G2290" s="69">
        <v>406</v>
      </c>
    </row>
    <row r="2291" spans="1:7">
      <c r="A2291" s="67" t="s">
        <v>3773</v>
      </c>
      <c r="B2291" s="70">
        <v>46227</v>
      </c>
      <c r="C2291" s="67" t="s">
        <v>1384</v>
      </c>
      <c r="D2291" s="67" t="s">
        <v>1602</v>
      </c>
      <c r="E2291" s="67" t="s">
        <v>1386</v>
      </c>
      <c r="F2291" s="67" t="s">
        <v>1462</v>
      </c>
      <c r="G2291" s="69">
        <v>243</v>
      </c>
    </row>
    <row r="2292" spans="1:7">
      <c r="A2292" s="67" t="s">
        <v>3774</v>
      </c>
      <c r="B2292" s="70">
        <v>46227</v>
      </c>
      <c r="C2292" s="67" t="s">
        <v>1393</v>
      </c>
      <c r="D2292" s="67" t="s">
        <v>353</v>
      </c>
      <c r="E2292" s="67" t="s">
        <v>1368</v>
      </c>
      <c r="F2292" s="67" t="s">
        <v>1460</v>
      </c>
      <c r="G2292" s="69">
        <v>28</v>
      </c>
    </row>
    <row r="2293" spans="1:7">
      <c r="A2293" s="67" t="s">
        <v>3775</v>
      </c>
      <c r="B2293" s="70">
        <v>46227</v>
      </c>
      <c r="C2293" s="67" t="s">
        <v>1393</v>
      </c>
      <c r="D2293" s="67" t="s">
        <v>363</v>
      </c>
      <c r="E2293" s="67" t="s">
        <v>1368</v>
      </c>
      <c r="F2293" s="67" t="s">
        <v>1462</v>
      </c>
      <c r="G2293" s="69">
        <v>552</v>
      </c>
    </row>
    <row r="2294" spans="1:7">
      <c r="A2294" s="67" t="s">
        <v>3776</v>
      </c>
      <c r="B2294" s="70">
        <v>46227</v>
      </c>
      <c r="C2294" s="67" t="s">
        <v>1404</v>
      </c>
      <c r="D2294" s="67" t="s">
        <v>356</v>
      </c>
      <c r="E2294" s="67" t="s">
        <v>1368</v>
      </c>
      <c r="F2294" s="67" t="s">
        <v>1462</v>
      </c>
      <c r="G2294" s="69">
        <v>87</v>
      </c>
    </row>
    <row r="2295" spans="1:7">
      <c r="A2295" s="67" t="s">
        <v>3777</v>
      </c>
      <c r="B2295" s="70">
        <v>46227</v>
      </c>
      <c r="C2295" s="67" t="s">
        <v>1406</v>
      </c>
      <c r="D2295" s="67" t="s">
        <v>356</v>
      </c>
      <c r="E2295" s="67" t="s">
        <v>1368</v>
      </c>
      <c r="F2295" s="67" t="s">
        <v>1460</v>
      </c>
      <c r="G2295" s="69">
        <v>27</v>
      </c>
    </row>
    <row r="2296" spans="1:7">
      <c r="A2296" s="67" t="s">
        <v>3778</v>
      </c>
      <c r="B2296" s="70">
        <v>46227</v>
      </c>
      <c r="C2296" s="67" t="s">
        <v>1406</v>
      </c>
      <c r="D2296" s="67" t="s">
        <v>367</v>
      </c>
      <c r="E2296" s="67" t="s">
        <v>1368</v>
      </c>
      <c r="F2296" s="67" t="s">
        <v>1462</v>
      </c>
      <c r="G2296" s="69">
        <v>544</v>
      </c>
    </row>
    <row r="2297" spans="1:7">
      <c r="A2297" s="67" t="s">
        <v>3779</v>
      </c>
      <c r="B2297" s="70">
        <v>46227</v>
      </c>
      <c r="C2297" s="67" t="s">
        <v>1411</v>
      </c>
      <c r="D2297" s="67" t="s">
        <v>353</v>
      </c>
      <c r="E2297" s="67" t="s">
        <v>1368</v>
      </c>
      <c r="F2297" s="67" t="s">
        <v>1488</v>
      </c>
      <c r="G2297" s="69">
        <v>10</v>
      </c>
    </row>
    <row r="2298" spans="1:7">
      <c r="A2298" s="67" t="s">
        <v>3780</v>
      </c>
      <c r="B2298" s="70">
        <v>46227</v>
      </c>
      <c r="C2298" s="67" t="s">
        <v>1411</v>
      </c>
      <c r="D2298" s="67" t="s">
        <v>1506</v>
      </c>
      <c r="E2298" s="67" t="s">
        <v>1482</v>
      </c>
      <c r="F2298" s="67" t="s">
        <v>1462</v>
      </c>
      <c r="G2298" s="69">
        <v>212</v>
      </c>
    </row>
    <row r="2299" spans="1:7">
      <c r="A2299" s="67" t="s">
        <v>3781</v>
      </c>
      <c r="B2299" s="70">
        <v>46227</v>
      </c>
      <c r="C2299" s="67" t="s">
        <v>1411</v>
      </c>
      <c r="D2299" s="67" t="s">
        <v>1506</v>
      </c>
      <c r="E2299" s="67" t="s">
        <v>1482</v>
      </c>
      <c r="F2299" s="67" t="s">
        <v>1462</v>
      </c>
      <c r="G2299" s="69">
        <v>492</v>
      </c>
    </row>
    <row r="2300" spans="1:7">
      <c r="A2300" s="67" t="s">
        <v>3782</v>
      </c>
      <c r="B2300" s="70">
        <v>46227</v>
      </c>
      <c r="C2300" s="67" t="s">
        <v>1411</v>
      </c>
      <c r="D2300" s="67" t="s">
        <v>1506</v>
      </c>
      <c r="E2300" s="67" t="s">
        <v>1482</v>
      </c>
      <c r="F2300" s="67" t="s">
        <v>1462</v>
      </c>
      <c r="G2300" s="69">
        <v>321</v>
      </c>
    </row>
    <row r="2301" spans="1:7">
      <c r="A2301" s="67" t="s">
        <v>3783</v>
      </c>
      <c r="B2301" s="70">
        <v>46227</v>
      </c>
      <c r="C2301" s="67" t="s">
        <v>1411</v>
      </c>
      <c r="D2301" s="67" t="s">
        <v>1506</v>
      </c>
      <c r="E2301" s="67" t="s">
        <v>1482</v>
      </c>
      <c r="F2301" s="67" t="s">
        <v>1460</v>
      </c>
      <c r="G2301" s="69">
        <v>5</v>
      </c>
    </row>
    <row r="2302" spans="1:7">
      <c r="A2302" s="67" t="s">
        <v>3784</v>
      </c>
      <c r="B2302" s="70">
        <v>46227</v>
      </c>
      <c r="C2302" s="67" t="s">
        <v>1414</v>
      </c>
      <c r="D2302" s="67" t="s">
        <v>1607</v>
      </c>
      <c r="E2302" s="67" t="s">
        <v>1470</v>
      </c>
      <c r="F2302" s="67" t="s">
        <v>1460</v>
      </c>
      <c r="G2302" s="69">
        <v>12</v>
      </c>
    </row>
    <row r="2303" spans="1:7">
      <c r="A2303" s="67" t="s">
        <v>3785</v>
      </c>
      <c r="B2303" s="70">
        <v>46227</v>
      </c>
      <c r="C2303" s="67" t="s">
        <v>1425</v>
      </c>
      <c r="D2303" s="67" t="s">
        <v>1469</v>
      </c>
      <c r="E2303" s="67" t="s">
        <v>1470</v>
      </c>
      <c r="F2303" s="67" t="s">
        <v>1460</v>
      </c>
      <c r="G2303" s="69">
        <v>21</v>
      </c>
    </row>
    <row r="2304" spans="1:7">
      <c r="A2304" s="67" t="s">
        <v>3786</v>
      </c>
      <c r="B2304" s="70">
        <v>46227</v>
      </c>
      <c r="C2304" s="67" t="s">
        <v>1444</v>
      </c>
      <c r="D2304" s="67" t="s">
        <v>1466</v>
      </c>
      <c r="E2304" s="67" t="s">
        <v>1386</v>
      </c>
      <c r="F2304" s="67" t="s">
        <v>1462</v>
      </c>
      <c r="G2304" s="69">
        <v>547</v>
      </c>
    </row>
    <row r="2305" spans="1:7">
      <c r="A2305" s="67" t="s">
        <v>3787</v>
      </c>
      <c r="B2305" s="70">
        <v>46227</v>
      </c>
      <c r="C2305" s="67" t="s">
        <v>1446</v>
      </c>
      <c r="D2305" s="67" t="s">
        <v>1551</v>
      </c>
      <c r="E2305" s="67" t="s">
        <v>1362</v>
      </c>
      <c r="F2305" s="67" t="s">
        <v>1462</v>
      </c>
      <c r="G2305" s="69">
        <v>318</v>
      </c>
    </row>
    <row r="2306" spans="1:7">
      <c r="A2306" s="67" t="s">
        <v>3788</v>
      </c>
      <c r="B2306" s="70">
        <v>46228</v>
      </c>
      <c r="C2306" s="67" t="s">
        <v>1359</v>
      </c>
      <c r="D2306" s="67" t="s">
        <v>1466</v>
      </c>
      <c r="E2306" s="67" t="s">
        <v>1386</v>
      </c>
      <c r="F2306" s="67" t="s">
        <v>1460</v>
      </c>
      <c r="G2306" s="69">
        <v>30</v>
      </c>
    </row>
    <row r="2307" spans="1:7">
      <c r="A2307" s="67" t="s">
        <v>3789</v>
      </c>
      <c r="B2307" s="70">
        <v>46228</v>
      </c>
      <c r="C2307" s="67" t="s">
        <v>1366</v>
      </c>
      <c r="D2307" s="67" t="s">
        <v>1484</v>
      </c>
      <c r="E2307" s="67" t="s">
        <v>1470</v>
      </c>
      <c r="F2307" s="67" t="s">
        <v>1462</v>
      </c>
      <c r="G2307" s="69">
        <v>73</v>
      </c>
    </row>
    <row r="2308" spans="1:7">
      <c r="A2308" s="67" t="s">
        <v>3790</v>
      </c>
      <c r="B2308" s="70">
        <v>46228</v>
      </c>
      <c r="C2308" s="67" t="s">
        <v>1381</v>
      </c>
      <c r="D2308" s="67" t="s">
        <v>356</v>
      </c>
      <c r="E2308" s="67" t="s">
        <v>1368</v>
      </c>
      <c r="F2308" s="67" t="s">
        <v>1462</v>
      </c>
      <c r="G2308" s="69">
        <v>376</v>
      </c>
    </row>
    <row r="2309" spans="1:7">
      <c r="A2309" s="67" t="s">
        <v>3791</v>
      </c>
      <c r="B2309" s="70">
        <v>46228</v>
      </c>
      <c r="C2309" s="67" t="s">
        <v>1384</v>
      </c>
      <c r="D2309" s="67" t="s">
        <v>1466</v>
      </c>
      <c r="E2309" s="67" t="s">
        <v>1386</v>
      </c>
      <c r="F2309" s="67" t="s">
        <v>1462</v>
      </c>
      <c r="G2309" s="69">
        <v>431</v>
      </c>
    </row>
    <row r="2310" spans="1:7">
      <c r="A2310" s="67" t="s">
        <v>3792</v>
      </c>
      <c r="B2310" s="70">
        <v>46228</v>
      </c>
      <c r="C2310" s="67" t="s">
        <v>1389</v>
      </c>
      <c r="D2310" s="67" t="s">
        <v>356</v>
      </c>
      <c r="E2310" s="67" t="s">
        <v>1368</v>
      </c>
      <c r="F2310" s="67" t="s">
        <v>1460</v>
      </c>
      <c r="G2310" s="69">
        <v>5</v>
      </c>
    </row>
    <row r="2311" spans="1:7">
      <c r="A2311" s="67" t="s">
        <v>3793</v>
      </c>
      <c r="B2311" s="70">
        <v>46228</v>
      </c>
      <c r="C2311" s="67" t="s">
        <v>1393</v>
      </c>
      <c r="D2311" s="67" t="s">
        <v>363</v>
      </c>
      <c r="E2311" s="67" t="s">
        <v>1368</v>
      </c>
      <c r="F2311" s="67" t="s">
        <v>1462</v>
      </c>
      <c r="G2311" s="69">
        <v>390</v>
      </c>
    </row>
    <row r="2312" spans="1:7">
      <c r="A2312" s="67" t="s">
        <v>3794</v>
      </c>
      <c r="B2312" s="70">
        <v>46228</v>
      </c>
      <c r="C2312" s="67" t="s">
        <v>1399</v>
      </c>
      <c r="D2312" s="67" t="s">
        <v>1466</v>
      </c>
      <c r="E2312" s="67" t="s">
        <v>1386</v>
      </c>
      <c r="F2312" s="67" t="s">
        <v>1462</v>
      </c>
      <c r="G2312" s="69">
        <v>153</v>
      </c>
    </row>
    <row r="2313" spans="1:7">
      <c r="A2313" s="67" t="s">
        <v>3795</v>
      </c>
      <c r="B2313" s="70">
        <v>46228</v>
      </c>
      <c r="C2313" s="67" t="s">
        <v>1404</v>
      </c>
      <c r="D2313" s="67" t="s">
        <v>353</v>
      </c>
      <c r="E2313" s="67" t="s">
        <v>1368</v>
      </c>
      <c r="F2313" s="67" t="s">
        <v>1462</v>
      </c>
      <c r="G2313" s="69">
        <v>406</v>
      </c>
    </row>
    <row r="2314" spans="1:7">
      <c r="A2314" s="67" t="s">
        <v>3796</v>
      </c>
      <c r="B2314" s="70">
        <v>46228</v>
      </c>
      <c r="C2314" s="67" t="s">
        <v>1404</v>
      </c>
      <c r="D2314" s="67" t="s">
        <v>369</v>
      </c>
      <c r="E2314" s="67" t="s">
        <v>1368</v>
      </c>
      <c r="F2314" s="67" t="s">
        <v>1462</v>
      </c>
      <c r="G2314" s="69">
        <v>594</v>
      </c>
    </row>
    <row r="2315" spans="1:7">
      <c r="A2315" s="67" t="s">
        <v>3797</v>
      </c>
      <c r="B2315" s="70">
        <v>46228</v>
      </c>
      <c r="C2315" s="67" t="s">
        <v>1411</v>
      </c>
      <c r="D2315" s="67" t="s">
        <v>1506</v>
      </c>
      <c r="E2315" s="67" t="s">
        <v>1482</v>
      </c>
      <c r="F2315" s="67" t="s">
        <v>1488</v>
      </c>
      <c r="G2315" s="69">
        <v>7</v>
      </c>
    </row>
    <row r="2316" spans="1:7">
      <c r="A2316" s="67" t="s">
        <v>3798</v>
      </c>
      <c r="B2316" s="70">
        <v>46228</v>
      </c>
      <c r="C2316" s="67" t="s">
        <v>1411</v>
      </c>
      <c r="D2316" s="67" t="s">
        <v>1481</v>
      </c>
      <c r="E2316" s="67" t="s">
        <v>1482</v>
      </c>
      <c r="F2316" s="67" t="s">
        <v>1460</v>
      </c>
      <c r="G2316" s="69">
        <v>13</v>
      </c>
    </row>
    <row r="2317" spans="1:7">
      <c r="A2317" s="67" t="s">
        <v>3799</v>
      </c>
      <c r="B2317" s="70">
        <v>46228</v>
      </c>
      <c r="C2317" s="67" t="s">
        <v>1414</v>
      </c>
      <c r="D2317" s="67" t="s">
        <v>1511</v>
      </c>
      <c r="E2317" s="67" t="s">
        <v>1470</v>
      </c>
      <c r="F2317" s="67" t="s">
        <v>1462</v>
      </c>
      <c r="G2317" s="69">
        <v>568</v>
      </c>
    </row>
    <row r="2318" spans="1:7">
      <c r="A2318" s="67" t="s">
        <v>3800</v>
      </c>
      <c r="B2318" s="70">
        <v>46228</v>
      </c>
      <c r="C2318" s="67" t="s">
        <v>1414</v>
      </c>
      <c r="D2318" s="67" t="s">
        <v>1607</v>
      </c>
      <c r="E2318" s="67" t="s">
        <v>1470</v>
      </c>
      <c r="F2318" s="67" t="s">
        <v>1462</v>
      </c>
      <c r="G2318" s="69">
        <v>163</v>
      </c>
    </row>
    <row r="2319" spans="1:7">
      <c r="A2319" s="67" t="s">
        <v>3801</v>
      </c>
      <c r="B2319" s="70">
        <v>46228</v>
      </c>
      <c r="C2319" s="67" t="s">
        <v>1414</v>
      </c>
      <c r="D2319" s="67" t="s">
        <v>1476</v>
      </c>
      <c r="E2319" s="67" t="s">
        <v>1362</v>
      </c>
      <c r="F2319" s="67" t="s">
        <v>1462</v>
      </c>
      <c r="G2319" s="69">
        <v>487</v>
      </c>
    </row>
    <row r="2320" spans="1:7">
      <c r="A2320" s="67" t="s">
        <v>3802</v>
      </c>
      <c r="B2320" s="70">
        <v>46228</v>
      </c>
      <c r="C2320" s="67" t="s">
        <v>1425</v>
      </c>
      <c r="D2320" s="67" t="s">
        <v>1469</v>
      </c>
      <c r="E2320" s="67" t="s">
        <v>1470</v>
      </c>
      <c r="F2320" s="67" t="s">
        <v>1462</v>
      </c>
      <c r="G2320" s="69">
        <v>106</v>
      </c>
    </row>
    <row r="2321" spans="1:7">
      <c r="A2321" s="67" t="s">
        <v>3803</v>
      </c>
      <c r="B2321" s="70">
        <v>46228</v>
      </c>
      <c r="C2321" s="67" t="s">
        <v>1429</v>
      </c>
      <c r="D2321" s="67" t="s">
        <v>360</v>
      </c>
      <c r="E2321" s="67" t="s">
        <v>1368</v>
      </c>
      <c r="F2321" s="67" t="s">
        <v>1460</v>
      </c>
      <c r="G2321" s="69">
        <v>9</v>
      </c>
    </row>
    <row r="2322" spans="1:7">
      <c r="A2322" s="67" t="s">
        <v>3804</v>
      </c>
      <c r="B2322" s="70">
        <v>46228</v>
      </c>
      <c r="C2322" s="67" t="s">
        <v>1446</v>
      </c>
      <c r="D2322" s="67" t="s">
        <v>1466</v>
      </c>
      <c r="E2322" s="67" t="s">
        <v>1386</v>
      </c>
      <c r="F2322" s="67" t="s">
        <v>1462</v>
      </c>
      <c r="G2322" s="69">
        <v>196</v>
      </c>
    </row>
    <row r="2323" spans="1:7">
      <c r="A2323" s="67" t="s">
        <v>3805</v>
      </c>
      <c r="B2323" s="70">
        <v>46228</v>
      </c>
      <c r="C2323" s="67" t="s">
        <v>1446</v>
      </c>
      <c r="D2323" s="67" t="s">
        <v>1602</v>
      </c>
      <c r="E2323" s="67" t="s">
        <v>1386</v>
      </c>
      <c r="F2323" s="67" t="s">
        <v>1462</v>
      </c>
      <c r="G2323" s="69">
        <v>255</v>
      </c>
    </row>
    <row r="2324" spans="1:7">
      <c r="A2324" s="67" t="s">
        <v>3806</v>
      </c>
      <c r="B2324" s="70">
        <v>46229</v>
      </c>
      <c r="C2324" s="67" t="s">
        <v>1359</v>
      </c>
      <c r="D2324" s="67" t="s">
        <v>1476</v>
      </c>
      <c r="E2324" s="67" t="s">
        <v>1362</v>
      </c>
      <c r="F2324" s="67" t="s">
        <v>1462</v>
      </c>
      <c r="G2324" s="69">
        <v>81</v>
      </c>
    </row>
    <row r="2325" spans="1:7">
      <c r="A2325" s="67" t="s">
        <v>3807</v>
      </c>
      <c r="B2325" s="70">
        <v>46229</v>
      </c>
      <c r="C2325" s="67" t="s">
        <v>1359</v>
      </c>
      <c r="D2325" s="67" t="s">
        <v>369</v>
      </c>
      <c r="E2325" s="67" t="s">
        <v>1368</v>
      </c>
      <c r="F2325" s="67" t="s">
        <v>1462</v>
      </c>
      <c r="G2325" s="69">
        <v>101</v>
      </c>
    </row>
    <row r="2326" spans="1:7">
      <c r="A2326" s="67" t="s">
        <v>3808</v>
      </c>
      <c r="B2326" s="70">
        <v>46229</v>
      </c>
      <c r="C2326" s="67" t="s">
        <v>1371</v>
      </c>
      <c r="D2326" s="67" t="s">
        <v>356</v>
      </c>
      <c r="E2326" s="67" t="s">
        <v>1368</v>
      </c>
      <c r="F2326" s="67" t="s">
        <v>1462</v>
      </c>
      <c r="G2326" s="69">
        <v>299</v>
      </c>
    </row>
    <row r="2327" spans="1:7">
      <c r="A2327" s="67" t="s">
        <v>3809</v>
      </c>
      <c r="B2327" s="70">
        <v>46229</v>
      </c>
      <c r="C2327" s="67" t="s">
        <v>1371</v>
      </c>
      <c r="D2327" s="67" t="s">
        <v>1476</v>
      </c>
      <c r="E2327" s="67" t="s">
        <v>1362</v>
      </c>
      <c r="F2327" s="67" t="s">
        <v>1462</v>
      </c>
      <c r="G2327" s="69">
        <v>471</v>
      </c>
    </row>
    <row r="2328" spans="1:7">
      <c r="A2328" s="67" t="s">
        <v>3810</v>
      </c>
      <c r="B2328" s="70">
        <v>46229</v>
      </c>
      <c r="C2328" s="67" t="s">
        <v>1371</v>
      </c>
      <c r="D2328" s="67" t="s">
        <v>1459</v>
      </c>
      <c r="E2328" s="67" t="s">
        <v>1362</v>
      </c>
      <c r="F2328" s="67" t="s">
        <v>1488</v>
      </c>
      <c r="G2328" s="69">
        <v>5</v>
      </c>
    </row>
    <row r="2329" spans="1:7">
      <c r="A2329" s="67" t="s">
        <v>3811</v>
      </c>
      <c r="B2329" s="70">
        <v>46229</v>
      </c>
      <c r="C2329" s="67" t="s">
        <v>1384</v>
      </c>
      <c r="D2329" s="67" t="s">
        <v>1466</v>
      </c>
      <c r="E2329" s="67" t="s">
        <v>1386</v>
      </c>
      <c r="F2329" s="67" t="s">
        <v>1462</v>
      </c>
      <c r="G2329" s="69">
        <v>486</v>
      </c>
    </row>
    <row r="2330" spans="1:7">
      <c r="A2330" s="67" t="s">
        <v>3812</v>
      </c>
      <c r="B2330" s="70">
        <v>46229</v>
      </c>
      <c r="C2330" s="67" t="s">
        <v>1397</v>
      </c>
      <c r="D2330" s="67" t="s">
        <v>367</v>
      </c>
      <c r="E2330" s="67" t="s">
        <v>1368</v>
      </c>
      <c r="F2330" s="67" t="s">
        <v>1462</v>
      </c>
      <c r="G2330" s="69">
        <v>264</v>
      </c>
    </row>
    <row r="2331" spans="1:7">
      <c r="A2331" s="67" t="s">
        <v>3813</v>
      </c>
      <c r="B2331" s="70">
        <v>46229</v>
      </c>
      <c r="C2331" s="67" t="s">
        <v>1399</v>
      </c>
      <c r="D2331" s="67" t="s">
        <v>1551</v>
      </c>
      <c r="E2331" s="67" t="s">
        <v>1362</v>
      </c>
      <c r="F2331" s="67" t="s">
        <v>1462</v>
      </c>
      <c r="G2331" s="69">
        <v>572</v>
      </c>
    </row>
    <row r="2332" spans="1:7">
      <c r="A2332" s="67" t="s">
        <v>3814</v>
      </c>
      <c r="B2332" s="70">
        <v>46229</v>
      </c>
      <c r="C2332" s="67" t="s">
        <v>1404</v>
      </c>
      <c r="D2332" s="67" t="s">
        <v>1484</v>
      </c>
      <c r="E2332" s="67" t="s">
        <v>1470</v>
      </c>
      <c r="F2332" s="67" t="s">
        <v>1462</v>
      </c>
      <c r="G2332" s="69">
        <v>342</v>
      </c>
    </row>
    <row r="2333" spans="1:7">
      <c r="A2333" s="67" t="s">
        <v>3815</v>
      </c>
      <c r="B2333" s="70">
        <v>46229</v>
      </c>
      <c r="C2333" s="67" t="s">
        <v>1404</v>
      </c>
      <c r="D2333" s="67" t="s">
        <v>1484</v>
      </c>
      <c r="E2333" s="67" t="s">
        <v>1470</v>
      </c>
      <c r="F2333" s="67" t="s">
        <v>1462</v>
      </c>
      <c r="G2333" s="69">
        <v>499</v>
      </c>
    </row>
    <row r="2334" spans="1:7">
      <c r="A2334" s="67" t="s">
        <v>3816</v>
      </c>
      <c r="B2334" s="70">
        <v>46229</v>
      </c>
      <c r="C2334" s="67" t="s">
        <v>1404</v>
      </c>
      <c r="D2334" s="67" t="s">
        <v>358</v>
      </c>
      <c r="E2334" s="67" t="s">
        <v>1368</v>
      </c>
      <c r="F2334" s="67" t="s">
        <v>1462</v>
      </c>
      <c r="G2334" s="69">
        <v>466</v>
      </c>
    </row>
    <row r="2335" spans="1:7">
      <c r="A2335" s="67" t="s">
        <v>3817</v>
      </c>
      <c r="B2335" s="70">
        <v>46229</v>
      </c>
      <c r="C2335" s="67" t="s">
        <v>1411</v>
      </c>
      <c r="D2335" s="67" t="s">
        <v>356</v>
      </c>
      <c r="E2335" s="67" t="s">
        <v>1368</v>
      </c>
      <c r="F2335" s="67" t="s">
        <v>1462</v>
      </c>
      <c r="G2335" s="69">
        <v>479</v>
      </c>
    </row>
    <row r="2336" spans="1:7">
      <c r="A2336" s="67" t="s">
        <v>3818</v>
      </c>
      <c r="B2336" s="70">
        <v>46229</v>
      </c>
      <c r="C2336" s="67" t="s">
        <v>1411</v>
      </c>
      <c r="D2336" s="67" t="s">
        <v>1506</v>
      </c>
      <c r="E2336" s="67" t="s">
        <v>1482</v>
      </c>
      <c r="F2336" s="67" t="s">
        <v>1460</v>
      </c>
      <c r="G2336" s="69">
        <v>22</v>
      </c>
    </row>
    <row r="2337" spans="1:7">
      <c r="A2337" s="67" t="s">
        <v>3819</v>
      </c>
      <c r="B2337" s="70">
        <v>46229</v>
      </c>
      <c r="C2337" s="67" t="s">
        <v>1411</v>
      </c>
      <c r="D2337" s="67" t="s">
        <v>1506</v>
      </c>
      <c r="E2337" s="67" t="s">
        <v>1482</v>
      </c>
      <c r="F2337" s="67" t="s">
        <v>1462</v>
      </c>
      <c r="G2337" s="69">
        <v>473</v>
      </c>
    </row>
    <row r="2338" spans="1:7">
      <c r="A2338" s="67" t="s">
        <v>3820</v>
      </c>
      <c r="B2338" s="70">
        <v>46229</v>
      </c>
      <c r="C2338" s="67" t="s">
        <v>1411</v>
      </c>
      <c r="D2338" s="67" t="s">
        <v>1481</v>
      </c>
      <c r="E2338" s="67" t="s">
        <v>1482</v>
      </c>
      <c r="F2338" s="67" t="s">
        <v>1462</v>
      </c>
      <c r="G2338" s="69">
        <v>263</v>
      </c>
    </row>
    <row r="2339" spans="1:7">
      <c r="A2339" s="67" t="s">
        <v>3821</v>
      </c>
      <c r="B2339" s="70">
        <v>46229</v>
      </c>
      <c r="C2339" s="67" t="s">
        <v>1414</v>
      </c>
      <c r="D2339" s="67" t="s">
        <v>1511</v>
      </c>
      <c r="E2339" s="67" t="s">
        <v>1470</v>
      </c>
      <c r="F2339" s="67" t="s">
        <v>1462</v>
      </c>
      <c r="G2339" s="69">
        <v>86</v>
      </c>
    </row>
    <row r="2340" spans="1:7">
      <c r="A2340" s="67" t="s">
        <v>3822</v>
      </c>
      <c r="B2340" s="70">
        <v>46229</v>
      </c>
      <c r="C2340" s="67" t="s">
        <v>1423</v>
      </c>
      <c r="D2340" s="67" t="s">
        <v>1743</v>
      </c>
      <c r="E2340" s="67" t="s">
        <v>1410</v>
      </c>
      <c r="F2340" s="67" t="s">
        <v>1462</v>
      </c>
      <c r="G2340" s="69">
        <v>567</v>
      </c>
    </row>
    <row r="2341" spans="1:7">
      <c r="A2341" s="67" t="s">
        <v>3823</v>
      </c>
      <c r="B2341" s="70">
        <v>46229</v>
      </c>
      <c r="C2341" s="67" t="s">
        <v>1429</v>
      </c>
      <c r="D2341" s="67" t="s">
        <v>1551</v>
      </c>
      <c r="E2341" s="67" t="s">
        <v>1362</v>
      </c>
      <c r="F2341" s="67" t="s">
        <v>1462</v>
      </c>
      <c r="G2341" s="69">
        <v>38</v>
      </c>
    </row>
    <row r="2342" spans="1:7">
      <c r="A2342" s="67" t="s">
        <v>3824</v>
      </c>
      <c r="B2342" s="70">
        <v>46229</v>
      </c>
      <c r="C2342" s="67" t="s">
        <v>1450</v>
      </c>
      <c r="D2342" s="67" t="s">
        <v>1506</v>
      </c>
      <c r="E2342" s="67" t="s">
        <v>1482</v>
      </c>
      <c r="F2342" s="67" t="s">
        <v>1460</v>
      </c>
      <c r="G2342" s="69">
        <v>5</v>
      </c>
    </row>
    <row r="2343" spans="1:7">
      <c r="A2343" s="67" t="s">
        <v>3825</v>
      </c>
      <c r="B2343" s="70">
        <v>46230</v>
      </c>
      <c r="C2343" s="67" t="s">
        <v>1359</v>
      </c>
      <c r="D2343" s="67" t="s">
        <v>1476</v>
      </c>
      <c r="E2343" s="67" t="s">
        <v>1362</v>
      </c>
      <c r="F2343" s="67" t="s">
        <v>1462</v>
      </c>
      <c r="G2343" s="69">
        <v>143</v>
      </c>
    </row>
    <row r="2344" spans="1:7">
      <c r="A2344" s="67" t="s">
        <v>3826</v>
      </c>
      <c r="B2344" s="70">
        <v>46230</v>
      </c>
      <c r="C2344" s="67" t="s">
        <v>1371</v>
      </c>
      <c r="D2344" s="67" t="s">
        <v>363</v>
      </c>
      <c r="E2344" s="67" t="s">
        <v>1368</v>
      </c>
      <c r="F2344" s="67" t="s">
        <v>1462</v>
      </c>
      <c r="G2344" s="69">
        <v>435</v>
      </c>
    </row>
    <row r="2345" spans="1:7">
      <c r="A2345" s="67" t="s">
        <v>3827</v>
      </c>
      <c r="B2345" s="70">
        <v>46230</v>
      </c>
      <c r="C2345" s="67" t="s">
        <v>1371</v>
      </c>
      <c r="D2345" s="67" t="s">
        <v>1476</v>
      </c>
      <c r="E2345" s="67" t="s">
        <v>1362</v>
      </c>
      <c r="F2345" s="67" t="s">
        <v>1462</v>
      </c>
      <c r="G2345" s="69">
        <v>133</v>
      </c>
    </row>
    <row r="2346" spans="1:7">
      <c r="A2346" s="67" t="s">
        <v>3828</v>
      </c>
      <c r="B2346" s="70">
        <v>46230</v>
      </c>
      <c r="C2346" s="67" t="s">
        <v>1371</v>
      </c>
      <c r="D2346" s="67" t="s">
        <v>1459</v>
      </c>
      <c r="E2346" s="67" t="s">
        <v>1362</v>
      </c>
      <c r="F2346" s="67" t="s">
        <v>1462</v>
      </c>
      <c r="G2346" s="69">
        <v>418</v>
      </c>
    </row>
    <row r="2347" spans="1:7">
      <c r="A2347" s="67" t="s">
        <v>3829</v>
      </c>
      <c r="B2347" s="70">
        <v>46230</v>
      </c>
      <c r="C2347" s="67" t="s">
        <v>1375</v>
      </c>
      <c r="D2347" s="67" t="s">
        <v>358</v>
      </c>
      <c r="E2347" s="67" t="s">
        <v>1368</v>
      </c>
      <c r="F2347" s="67" t="s">
        <v>1462</v>
      </c>
      <c r="G2347" s="69">
        <v>574</v>
      </c>
    </row>
    <row r="2348" spans="1:7">
      <c r="A2348" s="67" t="s">
        <v>3830</v>
      </c>
      <c r="B2348" s="70">
        <v>46230</v>
      </c>
      <c r="C2348" s="67" t="s">
        <v>1381</v>
      </c>
      <c r="D2348" s="67" t="s">
        <v>358</v>
      </c>
      <c r="E2348" s="67" t="s">
        <v>1368</v>
      </c>
      <c r="F2348" s="67" t="s">
        <v>1462</v>
      </c>
      <c r="G2348" s="69">
        <v>585</v>
      </c>
    </row>
    <row r="2349" spans="1:7">
      <c r="A2349" s="67" t="s">
        <v>3831</v>
      </c>
      <c r="B2349" s="70">
        <v>46230</v>
      </c>
      <c r="C2349" s="67" t="s">
        <v>1384</v>
      </c>
      <c r="D2349" s="67" t="s">
        <v>1551</v>
      </c>
      <c r="E2349" s="67" t="s">
        <v>1362</v>
      </c>
      <c r="F2349" s="67" t="s">
        <v>1460</v>
      </c>
      <c r="G2349" s="69">
        <v>6</v>
      </c>
    </row>
    <row r="2350" spans="1:7">
      <c r="A2350" s="67" t="s">
        <v>3832</v>
      </c>
      <c r="B2350" s="70">
        <v>46230</v>
      </c>
      <c r="C2350" s="67" t="s">
        <v>1384</v>
      </c>
      <c r="D2350" s="67" t="s">
        <v>1602</v>
      </c>
      <c r="E2350" s="67" t="s">
        <v>1386</v>
      </c>
      <c r="F2350" s="67" t="s">
        <v>1460</v>
      </c>
      <c r="G2350" s="69">
        <v>26</v>
      </c>
    </row>
    <row r="2351" spans="1:7">
      <c r="A2351" s="67" t="s">
        <v>3833</v>
      </c>
      <c r="B2351" s="70">
        <v>46230</v>
      </c>
      <c r="C2351" s="67" t="s">
        <v>1389</v>
      </c>
      <c r="D2351" s="67" t="s">
        <v>1491</v>
      </c>
      <c r="E2351" s="67" t="s">
        <v>1470</v>
      </c>
      <c r="F2351" s="67" t="s">
        <v>1462</v>
      </c>
      <c r="G2351" s="69">
        <v>492</v>
      </c>
    </row>
    <row r="2352" spans="1:7">
      <c r="A2352" s="67" t="s">
        <v>3834</v>
      </c>
      <c r="B2352" s="70">
        <v>46230</v>
      </c>
      <c r="C2352" s="67" t="s">
        <v>1399</v>
      </c>
      <c r="D2352" s="67" t="s">
        <v>353</v>
      </c>
      <c r="E2352" s="67" t="s">
        <v>1368</v>
      </c>
      <c r="F2352" s="67" t="s">
        <v>1462</v>
      </c>
      <c r="G2352" s="69">
        <v>110</v>
      </c>
    </row>
    <row r="2353" spans="1:7">
      <c r="A2353" s="67" t="s">
        <v>3835</v>
      </c>
      <c r="B2353" s="70">
        <v>46230</v>
      </c>
      <c r="C2353" s="67" t="s">
        <v>1404</v>
      </c>
      <c r="D2353" s="67" t="s">
        <v>356</v>
      </c>
      <c r="E2353" s="67" t="s">
        <v>1368</v>
      </c>
      <c r="F2353" s="67" t="s">
        <v>1462</v>
      </c>
      <c r="G2353" s="69">
        <v>110</v>
      </c>
    </row>
    <row r="2354" spans="1:7">
      <c r="A2354" s="67" t="s">
        <v>3836</v>
      </c>
      <c r="B2354" s="70">
        <v>46230</v>
      </c>
      <c r="C2354" s="67" t="s">
        <v>1404</v>
      </c>
      <c r="D2354" s="67" t="s">
        <v>1551</v>
      </c>
      <c r="E2354" s="67" t="s">
        <v>1362</v>
      </c>
      <c r="F2354" s="67" t="s">
        <v>1488</v>
      </c>
      <c r="G2354" s="69">
        <v>7</v>
      </c>
    </row>
    <row r="2355" spans="1:7">
      <c r="A2355" s="67" t="s">
        <v>3837</v>
      </c>
      <c r="B2355" s="70">
        <v>46230</v>
      </c>
      <c r="C2355" s="67" t="s">
        <v>1406</v>
      </c>
      <c r="D2355" s="67" t="s">
        <v>369</v>
      </c>
      <c r="E2355" s="67" t="s">
        <v>1368</v>
      </c>
      <c r="F2355" s="67" t="s">
        <v>1462</v>
      </c>
      <c r="G2355" s="69">
        <v>310</v>
      </c>
    </row>
    <row r="2356" spans="1:7">
      <c r="A2356" s="67" t="s">
        <v>3838</v>
      </c>
      <c r="B2356" s="70">
        <v>46230</v>
      </c>
      <c r="C2356" s="67" t="s">
        <v>1421</v>
      </c>
      <c r="D2356" s="67" t="s">
        <v>2005</v>
      </c>
      <c r="E2356" s="67" t="s">
        <v>5</v>
      </c>
      <c r="F2356" s="67" t="s">
        <v>1460</v>
      </c>
      <c r="G2356" s="69">
        <v>27</v>
      </c>
    </row>
    <row r="2357" spans="1:7">
      <c r="A2357" s="67" t="s">
        <v>3839</v>
      </c>
      <c r="B2357" s="70">
        <v>46230</v>
      </c>
      <c r="C2357" s="67" t="s">
        <v>1444</v>
      </c>
      <c r="D2357" s="67" t="s">
        <v>1466</v>
      </c>
      <c r="E2357" s="67" t="s">
        <v>1386</v>
      </c>
      <c r="F2357" s="67" t="s">
        <v>1460</v>
      </c>
      <c r="G2357" s="69">
        <v>18</v>
      </c>
    </row>
    <row r="2358" spans="1:7">
      <c r="A2358" s="67" t="s">
        <v>3840</v>
      </c>
      <c r="B2358" s="70">
        <v>46230</v>
      </c>
      <c r="C2358" s="67" t="s">
        <v>1444</v>
      </c>
      <c r="D2358" s="67" t="s">
        <v>1466</v>
      </c>
      <c r="E2358" s="67" t="s">
        <v>1386</v>
      </c>
      <c r="F2358" s="67" t="s">
        <v>1462</v>
      </c>
      <c r="G2358" s="69">
        <v>378</v>
      </c>
    </row>
    <row r="2359" spans="1:7">
      <c r="A2359" s="67" t="s">
        <v>3841</v>
      </c>
      <c r="B2359" s="70">
        <v>46230</v>
      </c>
      <c r="C2359" s="67" t="s">
        <v>1446</v>
      </c>
      <c r="D2359" s="67" t="s">
        <v>353</v>
      </c>
      <c r="E2359" s="67" t="s">
        <v>1368</v>
      </c>
      <c r="F2359" s="67" t="s">
        <v>1462</v>
      </c>
      <c r="G2359" s="69">
        <v>191</v>
      </c>
    </row>
    <row r="2360" spans="1:7">
      <c r="A2360" s="67" t="s">
        <v>3842</v>
      </c>
      <c r="B2360" s="70">
        <v>46230</v>
      </c>
      <c r="C2360" s="67" t="s">
        <v>1446</v>
      </c>
      <c r="D2360" s="67" t="s">
        <v>1476</v>
      </c>
      <c r="E2360" s="67" t="s">
        <v>1362</v>
      </c>
      <c r="F2360" s="67" t="s">
        <v>1462</v>
      </c>
      <c r="G2360" s="69">
        <v>178</v>
      </c>
    </row>
    <row r="2361" spans="1:7">
      <c r="A2361" s="67" t="s">
        <v>3843</v>
      </c>
      <c r="B2361" s="70">
        <v>46231</v>
      </c>
      <c r="C2361" s="67" t="s">
        <v>1359</v>
      </c>
      <c r="D2361" s="67" t="s">
        <v>365</v>
      </c>
      <c r="E2361" s="67" t="s">
        <v>1368</v>
      </c>
      <c r="F2361" s="67" t="s">
        <v>1462</v>
      </c>
      <c r="G2361" s="69">
        <v>523</v>
      </c>
    </row>
    <row r="2362" spans="1:7">
      <c r="A2362" s="67" t="s">
        <v>3844</v>
      </c>
      <c r="B2362" s="70">
        <v>46231</v>
      </c>
      <c r="C2362" s="67" t="s">
        <v>1359</v>
      </c>
      <c r="D2362" s="67" t="s">
        <v>1459</v>
      </c>
      <c r="E2362" s="67" t="s">
        <v>1362</v>
      </c>
      <c r="F2362" s="67" t="s">
        <v>1462</v>
      </c>
      <c r="G2362" s="69">
        <v>459</v>
      </c>
    </row>
    <row r="2363" spans="1:7">
      <c r="A2363" s="67" t="s">
        <v>3845</v>
      </c>
      <c r="B2363" s="70">
        <v>46231</v>
      </c>
      <c r="C2363" s="67" t="s">
        <v>1359</v>
      </c>
      <c r="D2363" s="67" t="s">
        <v>1459</v>
      </c>
      <c r="E2363" s="67" t="s">
        <v>1362</v>
      </c>
      <c r="F2363" s="67" t="s">
        <v>1462</v>
      </c>
      <c r="G2363" s="69">
        <v>87</v>
      </c>
    </row>
    <row r="2364" spans="1:7">
      <c r="A2364" s="67" t="s">
        <v>3846</v>
      </c>
      <c r="B2364" s="70">
        <v>46231</v>
      </c>
      <c r="C2364" s="67" t="s">
        <v>1381</v>
      </c>
      <c r="D2364" s="67" t="s">
        <v>353</v>
      </c>
      <c r="E2364" s="67" t="s">
        <v>1368</v>
      </c>
      <c r="F2364" s="67" t="s">
        <v>1462</v>
      </c>
      <c r="G2364" s="69">
        <v>490</v>
      </c>
    </row>
    <row r="2365" spans="1:7">
      <c r="A2365" s="67" t="s">
        <v>3847</v>
      </c>
      <c r="B2365" s="70">
        <v>46231</v>
      </c>
      <c r="C2365" s="67" t="s">
        <v>1381</v>
      </c>
      <c r="D2365" s="67" t="s">
        <v>1484</v>
      </c>
      <c r="E2365" s="67" t="s">
        <v>1470</v>
      </c>
      <c r="F2365" s="67" t="s">
        <v>1462</v>
      </c>
      <c r="G2365" s="69">
        <v>110</v>
      </c>
    </row>
    <row r="2366" spans="1:7">
      <c r="A2366" s="67" t="s">
        <v>3848</v>
      </c>
      <c r="B2366" s="70">
        <v>46231</v>
      </c>
      <c r="C2366" s="67" t="s">
        <v>1381</v>
      </c>
      <c r="D2366" s="67" t="s">
        <v>365</v>
      </c>
      <c r="E2366" s="67" t="s">
        <v>1368</v>
      </c>
      <c r="F2366" s="67" t="s">
        <v>1462</v>
      </c>
      <c r="G2366" s="69">
        <v>577</v>
      </c>
    </row>
    <row r="2367" spans="1:7">
      <c r="A2367" s="67" t="s">
        <v>3849</v>
      </c>
      <c r="B2367" s="70">
        <v>46231</v>
      </c>
      <c r="C2367" s="67" t="s">
        <v>1381</v>
      </c>
      <c r="D2367" s="67" t="s">
        <v>369</v>
      </c>
      <c r="E2367" s="67" t="s">
        <v>1368</v>
      </c>
      <c r="F2367" s="67" t="s">
        <v>1462</v>
      </c>
      <c r="G2367" s="69">
        <v>36</v>
      </c>
    </row>
    <row r="2368" spans="1:7">
      <c r="A2368" s="67" t="s">
        <v>3850</v>
      </c>
      <c r="B2368" s="70">
        <v>46231</v>
      </c>
      <c r="C2368" s="67" t="s">
        <v>1389</v>
      </c>
      <c r="D2368" s="67" t="s">
        <v>369</v>
      </c>
      <c r="E2368" s="67" t="s">
        <v>1368</v>
      </c>
      <c r="F2368" s="67" t="s">
        <v>1462</v>
      </c>
      <c r="G2368" s="69">
        <v>501</v>
      </c>
    </row>
    <row r="2369" spans="1:7">
      <c r="A2369" s="67" t="s">
        <v>3851</v>
      </c>
      <c r="B2369" s="70">
        <v>46231</v>
      </c>
      <c r="C2369" s="67" t="s">
        <v>1404</v>
      </c>
      <c r="D2369" s="67" t="s">
        <v>1551</v>
      </c>
      <c r="E2369" s="67" t="s">
        <v>1362</v>
      </c>
      <c r="F2369" s="67" t="s">
        <v>1462</v>
      </c>
      <c r="G2369" s="69">
        <v>459</v>
      </c>
    </row>
    <row r="2370" spans="1:7">
      <c r="A2370" s="67" t="s">
        <v>3852</v>
      </c>
      <c r="B2370" s="70">
        <v>46231</v>
      </c>
      <c r="C2370" s="67" t="s">
        <v>1411</v>
      </c>
      <c r="D2370" s="67" t="s">
        <v>1506</v>
      </c>
      <c r="E2370" s="67" t="s">
        <v>1482</v>
      </c>
      <c r="F2370" s="67" t="s">
        <v>1462</v>
      </c>
      <c r="G2370" s="69">
        <v>121</v>
      </c>
    </row>
    <row r="2371" spans="1:7">
      <c r="A2371" s="67" t="s">
        <v>3853</v>
      </c>
      <c r="B2371" s="70">
        <v>46231</v>
      </c>
      <c r="C2371" s="67" t="s">
        <v>1411</v>
      </c>
      <c r="D2371" s="67" t="s">
        <v>1481</v>
      </c>
      <c r="E2371" s="67" t="s">
        <v>1482</v>
      </c>
      <c r="F2371" s="67" t="s">
        <v>1460</v>
      </c>
      <c r="G2371" s="69">
        <v>23</v>
      </c>
    </row>
    <row r="2372" spans="1:7">
      <c r="A2372" s="67" t="s">
        <v>3854</v>
      </c>
      <c r="B2372" s="70">
        <v>46231</v>
      </c>
      <c r="C2372" s="67" t="s">
        <v>1429</v>
      </c>
      <c r="D2372" s="67" t="s">
        <v>367</v>
      </c>
      <c r="E2372" s="67" t="s">
        <v>1368</v>
      </c>
      <c r="F2372" s="67" t="s">
        <v>1462</v>
      </c>
      <c r="G2372" s="69">
        <v>364</v>
      </c>
    </row>
    <row r="2373" spans="1:7">
      <c r="A2373" s="67" t="s">
        <v>3855</v>
      </c>
      <c r="B2373" s="70">
        <v>46232</v>
      </c>
      <c r="C2373" s="67" t="s">
        <v>1359</v>
      </c>
      <c r="D2373" s="67" t="s">
        <v>1476</v>
      </c>
      <c r="E2373" s="67" t="s">
        <v>1362</v>
      </c>
      <c r="F2373" s="67" t="s">
        <v>1460</v>
      </c>
      <c r="G2373" s="69">
        <v>10</v>
      </c>
    </row>
    <row r="2374" spans="1:7">
      <c r="A2374" s="67" t="s">
        <v>3856</v>
      </c>
      <c r="B2374" s="70">
        <v>46232</v>
      </c>
      <c r="C2374" s="67" t="s">
        <v>1366</v>
      </c>
      <c r="D2374" s="67" t="s">
        <v>1511</v>
      </c>
      <c r="E2374" s="67" t="s">
        <v>1470</v>
      </c>
      <c r="F2374" s="67" t="s">
        <v>1462</v>
      </c>
      <c r="G2374" s="69">
        <v>285</v>
      </c>
    </row>
    <row r="2375" spans="1:7">
      <c r="A2375" s="67" t="s">
        <v>3857</v>
      </c>
      <c r="B2375" s="70">
        <v>46232</v>
      </c>
      <c r="C2375" s="67" t="s">
        <v>1366</v>
      </c>
      <c r="D2375" s="67" t="s">
        <v>369</v>
      </c>
      <c r="E2375" s="67" t="s">
        <v>1368</v>
      </c>
      <c r="F2375" s="67" t="s">
        <v>1462</v>
      </c>
      <c r="G2375" s="69">
        <v>71</v>
      </c>
    </row>
    <row r="2376" spans="1:7">
      <c r="A2376" s="67" t="s">
        <v>3858</v>
      </c>
      <c r="B2376" s="70">
        <v>46232</v>
      </c>
      <c r="C2376" s="67" t="s">
        <v>1371</v>
      </c>
      <c r="D2376" s="67" t="s">
        <v>1476</v>
      </c>
      <c r="E2376" s="67" t="s">
        <v>1362</v>
      </c>
      <c r="F2376" s="67" t="s">
        <v>1462</v>
      </c>
      <c r="G2376" s="69">
        <v>37</v>
      </c>
    </row>
    <row r="2377" spans="1:7">
      <c r="A2377" s="67" t="s">
        <v>3859</v>
      </c>
      <c r="B2377" s="70">
        <v>46232</v>
      </c>
      <c r="C2377" s="67" t="s">
        <v>1381</v>
      </c>
      <c r="D2377" s="67" t="s">
        <v>1511</v>
      </c>
      <c r="E2377" s="67" t="s">
        <v>1470</v>
      </c>
      <c r="F2377" s="67" t="s">
        <v>1460</v>
      </c>
      <c r="G2377" s="69">
        <v>8</v>
      </c>
    </row>
    <row r="2378" spans="1:7">
      <c r="A2378" s="67" t="s">
        <v>3860</v>
      </c>
      <c r="B2378" s="70">
        <v>46232</v>
      </c>
      <c r="C2378" s="67" t="s">
        <v>1381</v>
      </c>
      <c r="D2378" s="67" t="s">
        <v>367</v>
      </c>
      <c r="E2378" s="67" t="s">
        <v>1368</v>
      </c>
      <c r="F2378" s="67" t="s">
        <v>1462</v>
      </c>
      <c r="G2378" s="69">
        <v>385</v>
      </c>
    </row>
    <row r="2379" spans="1:7">
      <c r="A2379" s="67" t="s">
        <v>3861</v>
      </c>
      <c r="B2379" s="70">
        <v>46232</v>
      </c>
      <c r="C2379" s="67" t="s">
        <v>1399</v>
      </c>
      <c r="D2379" s="67" t="s">
        <v>367</v>
      </c>
      <c r="E2379" s="67" t="s">
        <v>1368</v>
      </c>
      <c r="F2379" s="67" t="s">
        <v>1462</v>
      </c>
      <c r="G2379" s="69">
        <v>66</v>
      </c>
    </row>
    <row r="2380" spans="1:7">
      <c r="A2380" s="67" t="s">
        <v>3862</v>
      </c>
      <c r="B2380" s="70">
        <v>46232</v>
      </c>
      <c r="C2380" s="67" t="s">
        <v>1399</v>
      </c>
      <c r="D2380" s="67" t="s">
        <v>369</v>
      </c>
      <c r="E2380" s="67" t="s">
        <v>1368</v>
      </c>
      <c r="F2380" s="67" t="s">
        <v>1460</v>
      </c>
      <c r="G2380" s="69">
        <v>26</v>
      </c>
    </row>
    <row r="2381" spans="1:7">
      <c r="A2381" s="67" t="s">
        <v>3863</v>
      </c>
      <c r="B2381" s="70">
        <v>46232</v>
      </c>
      <c r="C2381" s="67" t="s">
        <v>1404</v>
      </c>
      <c r="D2381" s="67" t="s">
        <v>356</v>
      </c>
      <c r="E2381" s="67" t="s">
        <v>1368</v>
      </c>
      <c r="F2381" s="67" t="s">
        <v>1460</v>
      </c>
      <c r="G2381" s="69">
        <v>9</v>
      </c>
    </row>
    <row r="2382" spans="1:7">
      <c r="A2382" s="67" t="s">
        <v>3864</v>
      </c>
      <c r="B2382" s="70">
        <v>46232</v>
      </c>
      <c r="C2382" s="67" t="s">
        <v>1404</v>
      </c>
      <c r="D2382" s="67" t="s">
        <v>356</v>
      </c>
      <c r="E2382" s="67" t="s">
        <v>1368</v>
      </c>
      <c r="F2382" s="67" t="s">
        <v>1462</v>
      </c>
      <c r="G2382" s="69">
        <v>521</v>
      </c>
    </row>
    <row r="2383" spans="1:7">
      <c r="A2383" s="67" t="s">
        <v>3865</v>
      </c>
      <c r="B2383" s="70">
        <v>46232</v>
      </c>
      <c r="C2383" s="67" t="s">
        <v>1411</v>
      </c>
      <c r="D2383" s="67" t="s">
        <v>1506</v>
      </c>
      <c r="E2383" s="67" t="s">
        <v>1482</v>
      </c>
      <c r="F2383" s="67" t="s">
        <v>1462</v>
      </c>
      <c r="G2383" s="69">
        <v>409</v>
      </c>
    </row>
    <row r="2384" spans="1:7">
      <c r="A2384" s="67" t="s">
        <v>3866</v>
      </c>
      <c r="B2384" s="70">
        <v>46232</v>
      </c>
      <c r="C2384" s="67" t="s">
        <v>1411</v>
      </c>
      <c r="D2384" s="67" t="s">
        <v>1481</v>
      </c>
      <c r="E2384" s="67" t="s">
        <v>1482</v>
      </c>
      <c r="F2384" s="67" t="s">
        <v>1462</v>
      </c>
      <c r="G2384" s="69">
        <v>36</v>
      </c>
    </row>
    <row r="2385" spans="1:7">
      <c r="A2385" s="67" t="s">
        <v>3867</v>
      </c>
      <c r="B2385" s="70">
        <v>46232</v>
      </c>
      <c r="C2385" s="67" t="s">
        <v>1414</v>
      </c>
      <c r="D2385" s="67" t="s">
        <v>1484</v>
      </c>
      <c r="E2385" s="67" t="s">
        <v>1470</v>
      </c>
      <c r="F2385" s="67" t="s">
        <v>1462</v>
      </c>
      <c r="G2385" s="69">
        <v>56</v>
      </c>
    </row>
    <row r="2386" spans="1:7">
      <c r="A2386" s="67" t="s">
        <v>3868</v>
      </c>
      <c r="B2386" s="70">
        <v>46232</v>
      </c>
      <c r="C2386" s="67" t="s">
        <v>1414</v>
      </c>
      <c r="D2386" s="67" t="s">
        <v>1484</v>
      </c>
      <c r="E2386" s="67" t="s">
        <v>1470</v>
      </c>
      <c r="F2386" s="67" t="s">
        <v>1462</v>
      </c>
      <c r="G2386" s="69">
        <v>382</v>
      </c>
    </row>
    <row r="2387" spans="1:7">
      <c r="A2387" s="67" t="s">
        <v>3869</v>
      </c>
      <c r="B2387" s="70">
        <v>46232</v>
      </c>
      <c r="C2387" s="67" t="s">
        <v>1414</v>
      </c>
      <c r="D2387" s="67" t="s">
        <v>1469</v>
      </c>
      <c r="E2387" s="67" t="s">
        <v>1470</v>
      </c>
      <c r="F2387" s="67" t="s">
        <v>1462</v>
      </c>
      <c r="G2387" s="69">
        <v>364</v>
      </c>
    </row>
    <row r="2388" spans="1:7">
      <c r="A2388" s="67" t="s">
        <v>3870</v>
      </c>
      <c r="B2388" s="70">
        <v>46232</v>
      </c>
      <c r="C2388" s="67" t="s">
        <v>1421</v>
      </c>
      <c r="D2388" s="67" t="s">
        <v>3871</v>
      </c>
      <c r="E2388" s="67" t="s">
        <v>5</v>
      </c>
      <c r="F2388" s="67" t="s">
        <v>1462</v>
      </c>
      <c r="G2388" s="69">
        <v>397</v>
      </c>
    </row>
    <row r="2389" spans="1:7">
      <c r="A2389" s="67" t="s">
        <v>3872</v>
      </c>
      <c r="B2389" s="70">
        <v>46232</v>
      </c>
      <c r="C2389" s="67" t="s">
        <v>1425</v>
      </c>
      <c r="D2389" s="67" t="s">
        <v>1484</v>
      </c>
      <c r="E2389" s="67" t="s">
        <v>1470</v>
      </c>
      <c r="F2389" s="67" t="s">
        <v>1460</v>
      </c>
      <c r="G2389" s="69">
        <v>19</v>
      </c>
    </row>
    <row r="2390" spans="1:7">
      <c r="A2390" s="67" t="s">
        <v>3873</v>
      </c>
      <c r="B2390" s="70">
        <v>46232</v>
      </c>
      <c r="C2390" s="67" t="s">
        <v>1425</v>
      </c>
      <c r="D2390" s="67" t="s">
        <v>1491</v>
      </c>
      <c r="E2390" s="67" t="s">
        <v>1470</v>
      </c>
      <c r="F2390" s="67" t="s">
        <v>1462</v>
      </c>
      <c r="G2390" s="69">
        <v>389</v>
      </c>
    </row>
    <row r="2391" spans="1:7">
      <c r="A2391" s="67" t="s">
        <v>3874</v>
      </c>
      <c r="B2391" s="70">
        <v>46232</v>
      </c>
      <c r="C2391" s="67" t="s">
        <v>1429</v>
      </c>
      <c r="D2391" s="67" t="s">
        <v>1459</v>
      </c>
      <c r="E2391" s="67" t="s">
        <v>1362</v>
      </c>
      <c r="F2391" s="67" t="s">
        <v>1462</v>
      </c>
      <c r="G2391" s="69">
        <v>22</v>
      </c>
    </row>
    <row r="2392" spans="1:7">
      <c r="A2392" s="67" t="s">
        <v>3875</v>
      </c>
      <c r="B2392" s="70">
        <v>46232</v>
      </c>
      <c r="C2392" s="67" t="s">
        <v>1450</v>
      </c>
      <c r="D2392" s="67" t="s">
        <v>1506</v>
      </c>
      <c r="E2392" s="67" t="s">
        <v>1482</v>
      </c>
      <c r="F2392" s="67" t="s">
        <v>1462</v>
      </c>
      <c r="G2392" s="69">
        <v>491</v>
      </c>
    </row>
    <row r="2393" spans="1:7">
      <c r="A2393" s="67" t="s">
        <v>3876</v>
      </c>
      <c r="B2393" s="70">
        <v>46233</v>
      </c>
      <c r="C2393" s="67" t="s">
        <v>1359</v>
      </c>
      <c r="D2393" s="67" t="s">
        <v>1476</v>
      </c>
      <c r="E2393" s="67" t="s">
        <v>1362</v>
      </c>
      <c r="F2393" s="67" t="s">
        <v>1462</v>
      </c>
      <c r="G2393" s="69">
        <v>397</v>
      </c>
    </row>
    <row r="2394" spans="1:7">
      <c r="A2394" s="67" t="s">
        <v>3877</v>
      </c>
      <c r="B2394" s="70">
        <v>46233</v>
      </c>
      <c r="C2394" s="67" t="s">
        <v>1359</v>
      </c>
      <c r="D2394" s="67" t="s">
        <v>1466</v>
      </c>
      <c r="E2394" s="67" t="s">
        <v>1386</v>
      </c>
      <c r="F2394" s="67" t="s">
        <v>1462</v>
      </c>
      <c r="G2394" s="69">
        <v>542</v>
      </c>
    </row>
    <row r="2395" spans="1:7">
      <c r="A2395" s="67" t="s">
        <v>3878</v>
      </c>
      <c r="B2395" s="70">
        <v>46233</v>
      </c>
      <c r="C2395" s="67" t="s">
        <v>1359</v>
      </c>
      <c r="D2395" s="67" t="s">
        <v>1551</v>
      </c>
      <c r="E2395" s="67" t="s">
        <v>1362</v>
      </c>
      <c r="F2395" s="67" t="s">
        <v>1460</v>
      </c>
      <c r="G2395" s="69">
        <v>28</v>
      </c>
    </row>
    <row r="2396" spans="1:7">
      <c r="A2396" s="67" t="s">
        <v>3879</v>
      </c>
      <c r="B2396" s="70">
        <v>46233</v>
      </c>
      <c r="C2396" s="67" t="s">
        <v>1366</v>
      </c>
      <c r="D2396" s="67" t="s">
        <v>365</v>
      </c>
      <c r="E2396" s="67" t="s">
        <v>1368</v>
      </c>
      <c r="F2396" s="67" t="s">
        <v>1462</v>
      </c>
      <c r="G2396" s="69">
        <v>475</v>
      </c>
    </row>
    <row r="2397" spans="1:7">
      <c r="A2397" s="67" t="s">
        <v>3880</v>
      </c>
      <c r="B2397" s="70">
        <v>46233</v>
      </c>
      <c r="C2397" s="67" t="s">
        <v>1371</v>
      </c>
      <c r="D2397" s="67" t="s">
        <v>1476</v>
      </c>
      <c r="E2397" s="67" t="s">
        <v>1362</v>
      </c>
      <c r="F2397" s="67" t="s">
        <v>1462</v>
      </c>
      <c r="G2397" s="69">
        <v>123</v>
      </c>
    </row>
    <row r="2398" spans="1:7">
      <c r="A2398" s="67" t="s">
        <v>3881</v>
      </c>
      <c r="B2398" s="70">
        <v>46233</v>
      </c>
      <c r="C2398" s="67" t="s">
        <v>1371</v>
      </c>
      <c r="D2398" s="67" t="s">
        <v>1602</v>
      </c>
      <c r="E2398" s="67" t="s">
        <v>1386</v>
      </c>
      <c r="F2398" s="67" t="s">
        <v>1462</v>
      </c>
      <c r="G2398" s="69">
        <v>112</v>
      </c>
    </row>
    <row r="2399" spans="1:7">
      <c r="A2399" s="67" t="s">
        <v>3882</v>
      </c>
      <c r="B2399" s="70">
        <v>46233</v>
      </c>
      <c r="C2399" s="67" t="s">
        <v>1381</v>
      </c>
      <c r="D2399" s="67" t="s">
        <v>353</v>
      </c>
      <c r="E2399" s="67" t="s">
        <v>1368</v>
      </c>
      <c r="F2399" s="67" t="s">
        <v>1462</v>
      </c>
      <c r="G2399" s="69">
        <v>242</v>
      </c>
    </row>
    <row r="2400" spans="1:7">
      <c r="A2400" s="67" t="s">
        <v>3883</v>
      </c>
      <c r="B2400" s="70">
        <v>46233</v>
      </c>
      <c r="C2400" s="67" t="s">
        <v>1381</v>
      </c>
      <c r="D2400" s="67" t="s">
        <v>1484</v>
      </c>
      <c r="E2400" s="67" t="s">
        <v>1470</v>
      </c>
      <c r="F2400" s="67" t="s">
        <v>1462</v>
      </c>
      <c r="G2400" s="69">
        <v>88</v>
      </c>
    </row>
    <row r="2401" spans="1:7">
      <c r="A2401" s="67" t="s">
        <v>3884</v>
      </c>
      <c r="B2401" s="70">
        <v>46233</v>
      </c>
      <c r="C2401" s="67" t="s">
        <v>1389</v>
      </c>
      <c r="D2401" s="67" t="s">
        <v>365</v>
      </c>
      <c r="E2401" s="67" t="s">
        <v>1368</v>
      </c>
      <c r="F2401" s="67" t="s">
        <v>1462</v>
      </c>
      <c r="G2401" s="69">
        <v>397</v>
      </c>
    </row>
    <row r="2402" spans="1:7">
      <c r="A2402" s="67" t="s">
        <v>3885</v>
      </c>
      <c r="B2402" s="70">
        <v>46233</v>
      </c>
      <c r="C2402" s="67" t="s">
        <v>1389</v>
      </c>
      <c r="D2402" s="67" t="s">
        <v>367</v>
      </c>
      <c r="E2402" s="67" t="s">
        <v>1368</v>
      </c>
      <c r="F2402" s="67" t="s">
        <v>1462</v>
      </c>
      <c r="G2402" s="69">
        <v>200</v>
      </c>
    </row>
    <row r="2403" spans="1:7">
      <c r="A2403" s="67" t="s">
        <v>3886</v>
      </c>
      <c r="B2403" s="70">
        <v>46233</v>
      </c>
      <c r="C2403" s="67" t="s">
        <v>1389</v>
      </c>
      <c r="D2403" s="67" t="s">
        <v>1551</v>
      </c>
      <c r="E2403" s="67" t="s">
        <v>1362</v>
      </c>
      <c r="F2403" s="67" t="s">
        <v>1462</v>
      </c>
      <c r="G2403" s="69">
        <v>382</v>
      </c>
    </row>
    <row r="2404" spans="1:7">
      <c r="A2404" s="67" t="s">
        <v>3887</v>
      </c>
      <c r="B2404" s="70">
        <v>46233</v>
      </c>
      <c r="C2404" s="67" t="s">
        <v>1399</v>
      </c>
      <c r="D2404" s="67" t="s">
        <v>1459</v>
      </c>
      <c r="E2404" s="67" t="s">
        <v>1362</v>
      </c>
      <c r="F2404" s="67" t="s">
        <v>1462</v>
      </c>
      <c r="G2404" s="69">
        <v>590</v>
      </c>
    </row>
    <row r="2405" spans="1:7">
      <c r="A2405" s="67" t="s">
        <v>3888</v>
      </c>
      <c r="B2405" s="70">
        <v>46233</v>
      </c>
      <c r="C2405" s="67" t="s">
        <v>1404</v>
      </c>
      <c r="D2405" s="67" t="s">
        <v>1484</v>
      </c>
      <c r="E2405" s="67" t="s">
        <v>1470</v>
      </c>
      <c r="F2405" s="67" t="s">
        <v>1460</v>
      </c>
      <c r="G2405" s="69">
        <v>11</v>
      </c>
    </row>
    <row r="2406" spans="1:7">
      <c r="A2406" s="67" t="s">
        <v>3889</v>
      </c>
      <c r="B2406" s="70">
        <v>46233</v>
      </c>
      <c r="C2406" s="67" t="s">
        <v>1404</v>
      </c>
      <c r="D2406" s="67" t="s">
        <v>358</v>
      </c>
      <c r="E2406" s="67" t="s">
        <v>1368</v>
      </c>
      <c r="F2406" s="67" t="s">
        <v>1462</v>
      </c>
      <c r="G2406" s="69">
        <v>571</v>
      </c>
    </row>
    <row r="2407" spans="1:7">
      <c r="A2407" s="67" t="s">
        <v>3890</v>
      </c>
      <c r="B2407" s="70">
        <v>46233</v>
      </c>
      <c r="C2407" s="67" t="s">
        <v>1404</v>
      </c>
      <c r="D2407" s="67" t="s">
        <v>358</v>
      </c>
      <c r="E2407" s="67" t="s">
        <v>1368</v>
      </c>
      <c r="F2407" s="67" t="s">
        <v>1462</v>
      </c>
      <c r="G2407" s="69">
        <v>248</v>
      </c>
    </row>
    <row r="2408" spans="1:7">
      <c r="A2408" s="67" t="s">
        <v>3891</v>
      </c>
      <c r="B2408" s="70">
        <v>46233</v>
      </c>
      <c r="C2408" s="67" t="s">
        <v>1406</v>
      </c>
      <c r="D2408" s="67" t="s">
        <v>369</v>
      </c>
      <c r="E2408" s="67" t="s">
        <v>1368</v>
      </c>
      <c r="F2408" s="67" t="s">
        <v>1462</v>
      </c>
      <c r="G2408" s="69">
        <v>319</v>
      </c>
    </row>
    <row r="2409" spans="1:7">
      <c r="A2409" s="67" t="s">
        <v>3892</v>
      </c>
      <c r="B2409" s="70">
        <v>46233</v>
      </c>
      <c r="C2409" s="67" t="s">
        <v>1411</v>
      </c>
      <c r="D2409" s="67" t="s">
        <v>1506</v>
      </c>
      <c r="E2409" s="67" t="s">
        <v>1482</v>
      </c>
      <c r="F2409" s="67" t="s">
        <v>1462</v>
      </c>
      <c r="G2409" s="69">
        <v>514</v>
      </c>
    </row>
    <row r="2410" spans="1:7">
      <c r="A2410" s="67" t="s">
        <v>3893</v>
      </c>
      <c r="B2410" s="70">
        <v>46233</v>
      </c>
      <c r="C2410" s="67" t="s">
        <v>1411</v>
      </c>
      <c r="D2410" s="67" t="s">
        <v>1481</v>
      </c>
      <c r="E2410" s="67" t="s">
        <v>1482</v>
      </c>
      <c r="F2410" s="67" t="s">
        <v>1462</v>
      </c>
      <c r="G2410" s="69">
        <v>528</v>
      </c>
    </row>
    <row r="2411" spans="1:7">
      <c r="A2411" s="67" t="s">
        <v>3894</v>
      </c>
      <c r="B2411" s="70">
        <v>46233</v>
      </c>
      <c r="C2411" s="67" t="s">
        <v>1423</v>
      </c>
      <c r="D2411" s="67" t="s">
        <v>1487</v>
      </c>
      <c r="E2411" s="67" t="s">
        <v>1410</v>
      </c>
      <c r="F2411" s="67" t="s">
        <v>1488</v>
      </c>
      <c r="G2411" s="69">
        <v>4</v>
      </c>
    </row>
    <row r="2412" spans="1:7">
      <c r="A2412" s="67" t="s">
        <v>3895</v>
      </c>
      <c r="B2412" s="70">
        <v>46233</v>
      </c>
      <c r="C2412" s="67" t="s">
        <v>1425</v>
      </c>
      <c r="D2412" s="67" t="s">
        <v>1491</v>
      </c>
      <c r="E2412" s="67" t="s">
        <v>1470</v>
      </c>
      <c r="F2412" s="67" t="s">
        <v>1462</v>
      </c>
      <c r="G2412" s="69">
        <v>584</v>
      </c>
    </row>
    <row r="2413" spans="1:7">
      <c r="A2413" s="67" t="s">
        <v>3896</v>
      </c>
      <c r="B2413" s="70">
        <v>46233</v>
      </c>
      <c r="C2413" s="67" t="s">
        <v>1427</v>
      </c>
      <c r="D2413" s="67" t="s">
        <v>1466</v>
      </c>
      <c r="E2413" s="67" t="s">
        <v>1386</v>
      </c>
      <c r="F2413" s="67" t="s">
        <v>1462</v>
      </c>
      <c r="G2413" s="69">
        <v>372</v>
      </c>
    </row>
    <row r="2414" spans="1:7">
      <c r="A2414" s="67" t="s">
        <v>3897</v>
      </c>
      <c r="B2414" s="70">
        <v>46233</v>
      </c>
      <c r="C2414" s="67" t="s">
        <v>1448</v>
      </c>
      <c r="D2414" s="67" t="s">
        <v>1618</v>
      </c>
      <c r="E2414" s="67" t="s">
        <v>1433</v>
      </c>
      <c r="F2414" s="67" t="s">
        <v>1460</v>
      </c>
      <c r="G2414" s="69">
        <v>26</v>
      </c>
    </row>
    <row r="2415" spans="1:7">
      <c r="A2415" s="67" t="s">
        <v>3898</v>
      </c>
      <c r="B2415" s="70">
        <v>46234</v>
      </c>
      <c r="C2415" s="67" t="s">
        <v>1359</v>
      </c>
      <c r="D2415" s="67" t="s">
        <v>365</v>
      </c>
      <c r="E2415" s="67" t="s">
        <v>1368</v>
      </c>
      <c r="F2415" s="67" t="s">
        <v>1460</v>
      </c>
      <c r="G2415" s="69">
        <v>7</v>
      </c>
    </row>
    <row r="2416" spans="1:7">
      <c r="A2416" s="67" t="s">
        <v>3899</v>
      </c>
      <c r="B2416" s="70">
        <v>46234</v>
      </c>
      <c r="C2416" s="67" t="s">
        <v>1359</v>
      </c>
      <c r="D2416" s="67" t="s">
        <v>1466</v>
      </c>
      <c r="E2416" s="67" t="s">
        <v>1386</v>
      </c>
      <c r="F2416" s="67" t="s">
        <v>1462</v>
      </c>
      <c r="G2416" s="69">
        <v>453</v>
      </c>
    </row>
    <row r="2417" spans="1:7">
      <c r="A2417" s="67" t="s">
        <v>3900</v>
      </c>
      <c r="B2417" s="70">
        <v>46234</v>
      </c>
      <c r="C2417" s="67" t="s">
        <v>1359</v>
      </c>
      <c r="D2417" s="67" t="s">
        <v>1551</v>
      </c>
      <c r="E2417" s="67" t="s">
        <v>1362</v>
      </c>
      <c r="F2417" s="67" t="s">
        <v>1462</v>
      </c>
      <c r="G2417" s="69">
        <v>370</v>
      </c>
    </row>
    <row r="2418" spans="1:7">
      <c r="A2418" s="67" t="s">
        <v>3901</v>
      </c>
      <c r="B2418" s="70">
        <v>46234</v>
      </c>
      <c r="C2418" s="67" t="s">
        <v>1359</v>
      </c>
      <c r="D2418" s="67" t="s">
        <v>1459</v>
      </c>
      <c r="E2418" s="67" t="s">
        <v>1362</v>
      </c>
      <c r="F2418" s="67" t="s">
        <v>1462</v>
      </c>
      <c r="G2418" s="69">
        <v>124</v>
      </c>
    </row>
    <row r="2419" spans="1:7">
      <c r="A2419" s="67" t="s">
        <v>3902</v>
      </c>
      <c r="B2419" s="70">
        <v>46234</v>
      </c>
      <c r="C2419" s="67" t="s">
        <v>1359</v>
      </c>
      <c r="D2419" s="67" t="s">
        <v>1459</v>
      </c>
      <c r="E2419" s="67" t="s">
        <v>1362</v>
      </c>
      <c r="F2419" s="67" t="s">
        <v>1462</v>
      </c>
      <c r="G2419" s="69">
        <v>415</v>
      </c>
    </row>
    <row r="2420" spans="1:7">
      <c r="A2420" s="67" t="s">
        <v>3903</v>
      </c>
      <c r="B2420" s="70">
        <v>46234</v>
      </c>
      <c r="C2420" s="67" t="s">
        <v>1359</v>
      </c>
      <c r="D2420" s="67" t="s">
        <v>1459</v>
      </c>
      <c r="E2420" s="67" t="s">
        <v>1362</v>
      </c>
      <c r="F2420" s="67" t="s">
        <v>1462</v>
      </c>
      <c r="G2420" s="69">
        <v>99</v>
      </c>
    </row>
    <row r="2421" spans="1:7">
      <c r="A2421" s="67" t="s">
        <v>3904</v>
      </c>
      <c r="B2421" s="70">
        <v>46234</v>
      </c>
      <c r="C2421" s="67" t="s">
        <v>1366</v>
      </c>
      <c r="D2421" s="67" t="s">
        <v>353</v>
      </c>
      <c r="E2421" s="67" t="s">
        <v>1368</v>
      </c>
      <c r="F2421" s="67" t="s">
        <v>1462</v>
      </c>
      <c r="G2421" s="69">
        <v>158</v>
      </c>
    </row>
    <row r="2422" spans="1:7">
      <c r="A2422" s="67" t="s">
        <v>3905</v>
      </c>
      <c r="B2422" s="70">
        <v>46234</v>
      </c>
      <c r="C2422" s="67" t="s">
        <v>1366</v>
      </c>
      <c r="D2422" s="67" t="s">
        <v>1511</v>
      </c>
      <c r="E2422" s="67" t="s">
        <v>1470</v>
      </c>
      <c r="F2422" s="67" t="s">
        <v>1460</v>
      </c>
      <c r="G2422" s="69">
        <v>24</v>
      </c>
    </row>
    <row r="2423" spans="1:7">
      <c r="A2423" s="67" t="s">
        <v>3906</v>
      </c>
      <c r="B2423" s="70">
        <v>46234</v>
      </c>
      <c r="C2423" s="67" t="s">
        <v>1366</v>
      </c>
      <c r="D2423" s="67" t="s">
        <v>365</v>
      </c>
      <c r="E2423" s="67" t="s">
        <v>1368</v>
      </c>
      <c r="F2423" s="67" t="s">
        <v>1460</v>
      </c>
      <c r="G2423" s="69">
        <v>16</v>
      </c>
    </row>
    <row r="2424" spans="1:7">
      <c r="A2424" s="67" t="s">
        <v>3907</v>
      </c>
      <c r="B2424" s="70">
        <v>46234</v>
      </c>
      <c r="C2424" s="67" t="s">
        <v>1371</v>
      </c>
      <c r="D2424" s="67" t="s">
        <v>1476</v>
      </c>
      <c r="E2424" s="67" t="s">
        <v>1362</v>
      </c>
      <c r="F2424" s="67" t="s">
        <v>1462</v>
      </c>
      <c r="G2424" s="69">
        <v>157</v>
      </c>
    </row>
    <row r="2425" spans="1:7">
      <c r="A2425" s="67" t="s">
        <v>3908</v>
      </c>
      <c r="B2425" s="70">
        <v>46234</v>
      </c>
      <c r="C2425" s="67" t="s">
        <v>1371</v>
      </c>
      <c r="D2425" s="67" t="s">
        <v>1551</v>
      </c>
      <c r="E2425" s="67" t="s">
        <v>1362</v>
      </c>
      <c r="F2425" s="67" t="s">
        <v>1462</v>
      </c>
      <c r="G2425" s="69">
        <v>221</v>
      </c>
    </row>
    <row r="2426" spans="1:7">
      <c r="A2426" s="67" t="s">
        <v>3909</v>
      </c>
      <c r="B2426" s="70">
        <v>46234</v>
      </c>
      <c r="C2426" s="67" t="s">
        <v>1371</v>
      </c>
      <c r="D2426" s="67" t="s">
        <v>1459</v>
      </c>
      <c r="E2426" s="67" t="s">
        <v>1362</v>
      </c>
      <c r="F2426" s="67" t="s">
        <v>1462</v>
      </c>
      <c r="G2426" s="69">
        <v>228</v>
      </c>
    </row>
    <row r="2427" spans="1:7">
      <c r="A2427" s="67" t="s">
        <v>3910</v>
      </c>
      <c r="B2427" s="70">
        <v>46234</v>
      </c>
      <c r="C2427" s="67" t="s">
        <v>1384</v>
      </c>
      <c r="D2427" s="67" t="s">
        <v>1466</v>
      </c>
      <c r="E2427" s="67" t="s">
        <v>1386</v>
      </c>
      <c r="F2427" s="67" t="s">
        <v>1462</v>
      </c>
      <c r="G2427" s="69">
        <v>570</v>
      </c>
    </row>
    <row r="2428" spans="1:7">
      <c r="A2428" s="67" t="s">
        <v>3911</v>
      </c>
      <c r="B2428" s="70">
        <v>46234</v>
      </c>
      <c r="C2428" s="67" t="s">
        <v>1393</v>
      </c>
      <c r="D2428" s="67" t="s">
        <v>353</v>
      </c>
      <c r="E2428" s="67" t="s">
        <v>1368</v>
      </c>
      <c r="F2428" s="67" t="s">
        <v>1462</v>
      </c>
      <c r="G2428" s="69">
        <v>146</v>
      </c>
    </row>
    <row r="2429" spans="1:7">
      <c r="A2429" s="67" t="s">
        <v>3912</v>
      </c>
      <c r="B2429" s="70">
        <v>46234</v>
      </c>
      <c r="C2429" s="67" t="s">
        <v>1399</v>
      </c>
      <c r="D2429" s="67" t="s">
        <v>1459</v>
      </c>
      <c r="E2429" s="67" t="s">
        <v>1362</v>
      </c>
      <c r="F2429" s="67" t="s">
        <v>1462</v>
      </c>
      <c r="G2429" s="69">
        <v>379</v>
      </c>
    </row>
    <row r="2430" spans="1:7">
      <c r="A2430" s="67" t="s">
        <v>3913</v>
      </c>
      <c r="B2430" s="70">
        <v>46234</v>
      </c>
      <c r="C2430" s="67" t="s">
        <v>1404</v>
      </c>
      <c r="D2430" s="67" t="s">
        <v>356</v>
      </c>
      <c r="E2430" s="67" t="s">
        <v>1368</v>
      </c>
      <c r="F2430" s="67" t="s">
        <v>1462</v>
      </c>
      <c r="G2430" s="69">
        <v>581</v>
      </c>
    </row>
    <row r="2431" spans="1:7">
      <c r="A2431" s="67" t="s">
        <v>3914</v>
      </c>
      <c r="B2431" s="70">
        <v>46234</v>
      </c>
      <c r="C2431" s="67" t="s">
        <v>1404</v>
      </c>
      <c r="D2431" s="67" t="s">
        <v>360</v>
      </c>
      <c r="E2431" s="67" t="s">
        <v>1368</v>
      </c>
      <c r="F2431" s="67" t="s">
        <v>1460</v>
      </c>
      <c r="G2431" s="69">
        <v>15</v>
      </c>
    </row>
    <row r="2432" spans="1:7">
      <c r="A2432" s="67" t="s">
        <v>3915</v>
      </c>
      <c r="B2432" s="70">
        <v>46234</v>
      </c>
      <c r="C2432" s="67" t="s">
        <v>1404</v>
      </c>
      <c r="D2432" s="67" t="s">
        <v>367</v>
      </c>
      <c r="E2432" s="67" t="s">
        <v>1368</v>
      </c>
      <c r="F2432" s="67" t="s">
        <v>1462</v>
      </c>
      <c r="G2432" s="69">
        <v>370</v>
      </c>
    </row>
    <row r="2433" spans="1:7">
      <c r="A2433" s="67" t="s">
        <v>3916</v>
      </c>
      <c r="B2433" s="70">
        <v>46234</v>
      </c>
      <c r="C2433" s="67" t="s">
        <v>1406</v>
      </c>
      <c r="D2433" s="67" t="s">
        <v>356</v>
      </c>
      <c r="E2433" s="67" t="s">
        <v>1368</v>
      </c>
      <c r="F2433" s="67" t="s">
        <v>1460</v>
      </c>
      <c r="G2433" s="69">
        <v>27</v>
      </c>
    </row>
    <row r="2434" spans="1:7">
      <c r="A2434" s="67" t="s">
        <v>3917</v>
      </c>
      <c r="B2434" s="70">
        <v>46234</v>
      </c>
      <c r="C2434" s="67" t="s">
        <v>1406</v>
      </c>
      <c r="D2434" s="67" t="s">
        <v>365</v>
      </c>
      <c r="E2434" s="67" t="s">
        <v>1368</v>
      </c>
      <c r="F2434" s="67" t="s">
        <v>1462</v>
      </c>
      <c r="G2434" s="69">
        <v>414</v>
      </c>
    </row>
    <row r="2435" spans="1:7">
      <c r="A2435" s="67" t="s">
        <v>3918</v>
      </c>
      <c r="B2435" s="70">
        <v>46234</v>
      </c>
      <c r="C2435" s="67" t="s">
        <v>1411</v>
      </c>
      <c r="D2435" s="67" t="s">
        <v>1506</v>
      </c>
      <c r="E2435" s="67" t="s">
        <v>1482</v>
      </c>
      <c r="F2435" s="67" t="s">
        <v>1460</v>
      </c>
      <c r="G2435" s="69">
        <v>14</v>
      </c>
    </row>
    <row r="2436" spans="1:7">
      <c r="A2436" s="67" t="s">
        <v>3919</v>
      </c>
      <c r="B2436" s="70">
        <v>46234</v>
      </c>
      <c r="C2436" s="67" t="s">
        <v>1414</v>
      </c>
      <c r="D2436" s="67" t="s">
        <v>1484</v>
      </c>
      <c r="E2436" s="67" t="s">
        <v>1470</v>
      </c>
      <c r="F2436" s="67" t="s">
        <v>1462</v>
      </c>
      <c r="G2436" s="69">
        <v>524</v>
      </c>
    </row>
    <row r="2437" spans="1:7">
      <c r="A2437" s="67" t="s">
        <v>3920</v>
      </c>
      <c r="B2437" s="70">
        <v>46234</v>
      </c>
      <c r="C2437" s="67" t="s">
        <v>1423</v>
      </c>
      <c r="D2437" s="67" t="s">
        <v>1743</v>
      </c>
      <c r="E2437" s="67" t="s">
        <v>1410</v>
      </c>
      <c r="F2437" s="67" t="s">
        <v>1462</v>
      </c>
      <c r="G2437" s="69">
        <v>164</v>
      </c>
    </row>
    <row r="2438" spans="1:7">
      <c r="A2438" s="67" t="s">
        <v>3921</v>
      </c>
      <c r="B2438" s="70">
        <v>46235</v>
      </c>
      <c r="C2438" s="67" t="s">
        <v>1359</v>
      </c>
      <c r="D2438" s="67" t="s">
        <v>1466</v>
      </c>
      <c r="E2438" s="67" t="s">
        <v>1386</v>
      </c>
      <c r="F2438" s="67" t="s">
        <v>1488</v>
      </c>
      <c r="G2438" s="69">
        <v>6</v>
      </c>
    </row>
    <row r="2439" spans="1:7">
      <c r="A2439" s="67" t="s">
        <v>3922</v>
      </c>
      <c r="B2439" s="70">
        <v>46235</v>
      </c>
      <c r="C2439" s="67" t="s">
        <v>1366</v>
      </c>
      <c r="D2439" s="67" t="s">
        <v>356</v>
      </c>
      <c r="E2439" s="67" t="s">
        <v>1368</v>
      </c>
      <c r="F2439" s="67" t="s">
        <v>1488</v>
      </c>
      <c r="G2439" s="69">
        <v>8</v>
      </c>
    </row>
    <row r="2440" spans="1:7">
      <c r="A2440" s="67" t="s">
        <v>3923</v>
      </c>
      <c r="B2440" s="70">
        <v>46235</v>
      </c>
      <c r="C2440" s="67" t="s">
        <v>1371</v>
      </c>
      <c r="D2440" s="67" t="s">
        <v>358</v>
      </c>
      <c r="E2440" s="67" t="s">
        <v>1368</v>
      </c>
      <c r="F2440" s="67" t="s">
        <v>1460</v>
      </c>
      <c r="G2440" s="69">
        <v>27</v>
      </c>
    </row>
    <row r="2441" spans="1:7">
      <c r="A2441" s="67" t="s">
        <v>3924</v>
      </c>
      <c r="B2441" s="70">
        <v>46235</v>
      </c>
      <c r="C2441" s="67" t="s">
        <v>1384</v>
      </c>
      <c r="D2441" s="67" t="s">
        <v>1459</v>
      </c>
      <c r="E2441" s="67" t="s">
        <v>1362</v>
      </c>
      <c r="F2441" s="67" t="s">
        <v>1462</v>
      </c>
      <c r="G2441" s="69">
        <v>409</v>
      </c>
    </row>
    <row r="2442" spans="1:7">
      <c r="A2442" s="67" t="s">
        <v>3925</v>
      </c>
      <c r="B2442" s="70">
        <v>46235</v>
      </c>
      <c r="C2442" s="67" t="s">
        <v>1389</v>
      </c>
      <c r="D2442" s="67" t="s">
        <v>369</v>
      </c>
      <c r="E2442" s="67" t="s">
        <v>1368</v>
      </c>
      <c r="F2442" s="67" t="s">
        <v>1460</v>
      </c>
      <c r="G2442" s="69">
        <v>20</v>
      </c>
    </row>
    <row r="2443" spans="1:7">
      <c r="A2443" s="67" t="s">
        <v>3926</v>
      </c>
      <c r="B2443" s="70">
        <v>46235</v>
      </c>
      <c r="C2443" s="67" t="s">
        <v>1391</v>
      </c>
      <c r="D2443" s="67" t="s">
        <v>2005</v>
      </c>
      <c r="E2443" s="67" t="s">
        <v>5</v>
      </c>
      <c r="F2443" s="67" t="s">
        <v>1462</v>
      </c>
      <c r="G2443" s="69">
        <v>33</v>
      </c>
    </row>
    <row r="2444" spans="1:7">
      <c r="A2444" s="67" t="s">
        <v>3927</v>
      </c>
      <c r="B2444" s="70">
        <v>46235</v>
      </c>
      <c r="C2444" s="67" t="s">
        <v>1393</v>
      </c>
      <c r="D2444" s="67" t="s">
        <v>369</v>
      </c>
      <c r="E2444" s="67" t="s">
        <v>1368</v>
      </c>
      <c r="F2444" s="67" t="s">
        <v>1462</v>
      </c>
      <c r="G2444" s="69">
        <v>388</v>
      </c>
    </row>
    <row r="2445" spans="1:7">
      <c r="A2445" s="67" t="s">
        <v>3928</v>
      </c>
      <c r="B2445" s="70">
        <v>46235</v>
      </c>
      <c r="C2445" s="67" t="s">
        <v>1399</v>
      </c>
      <c r="D2445" s="67" t="s">
        <v>1551</v>
      </c>
      <c r="E2445" s="67" t="s">
        <v>1362</v>
      </c>
      <c r="F2445" s="67" t="s">
        <v>1462</v>
      </c>
      <c r="G2445" s="69">
        <v>430</v>
      </c>
    </row>
    <row r="2446" spans="1:7">
      <c r="A2446" s="67" t="s">
        <v>3929</v>
      </c>
      <c r="B2446" s="70">
        <v>46235</v>
      </c>
      <c r="C2446" s="67" t="s">
        <v>1399</v>
      </c>
      <c r="D2446" s="67" t="s">
        <v>358</v>
      </c>
      <c r="E2446" s="67" t="s">
        <v>1368</v>
      </c>
      <c r="F2446" s="67" t="s">
        <v>1462</v>
      </c>
      <c r="G2446" s="69">
        <v>487</v>
      </c>
    </row>
    <row r="2447" spans="1:7">
      <c r="A2447" s="67" t="s">
        <v>3930</v>
      </c>
      <c r="B2447" s="70">
        <v>46235</v>
      </c>
      <c r="C2447" s="67" t="s">
        <v>1404</v>
      </c>
      <c r="D2447" s="67" t="s">
        <v>353</v>
      </c>
      <c r="E2447" s="67" t="s">
        <v>1368</v>
      </c>
      <c r="F2447" s="67" t="s">
        <v>1462</v>
      </c>
      <c r="G2447" s="69">
        <v>292</v>
      </c>
    </row>
    <row r="2448" spans="1:7">
      <c r="A2448" s="67" t="s">
        <v>3931</v>
      </c>
      <c r="B2448" s="70">
        <v>46235</v>
      </c>
      <c r="C2448" s="67" t="s">
        <v>1404</v>
      </c>
      <c r="D2448" s="67" t="s">
        <v>356</v>
      </c>
      <c r="E2448" s="67" t="s">
        <v>1368</v>
      </c>
      <c r="F2448" s="67" t="s">
        <v>1462</v>
      </c>
      <c r="G2448" s="69">
        <v>450</v>
      </c>
    </row>
    <row r="2449" spans="1:7">
      <c r="A2449" s="67" t="s">
        <v>3932</v>
      </c>
      <c r="B2449" s="70">
        <v>46235</v>
      </c>
      <c r="C2449" s="67" t="s">
        <v>1404</v>
      </c>
      <c r="D2449" s="67" t="s">
        <v>363</v>
      </c>
      <c r="E2449" s="67" t="s">
        <v>1368</v>
      </c>
      <c r="F2449" s="67" t="s">
        <v>1460</v>
      </c>
      <c r="G2449" s="69">
        <v>23</v>
      </c>
    </row>
    <row r="2450" spans="1:7">
      <c r="A2450" s="67" t="s">
        <v>3933</v>
      </c>
      <c r="B2450" s="70">
        <v>46235</v>
      </c>
      <c r="C2450" s="67" t="s">
        <v>1404</v>
      </c>
      <c r="D2450" s="67" t="s">
        <v>1484</v>
      </c>
      <c r="E2450" s="67" t="s">
        <v>1470</v>
      </c>
      <c r="F2450" s="67" t="s">
        <v>1462</v>
      </c>
      <c r="G2450" s="69">
        <v>332</v>
      </c>
    </row>
    <row r="2451" spans="1:7">
      <c r="A2451" s="67" t="s">
        <v>3934</v>
      </c>
      <c r="B2451" s="70">
        <v>46235</v>
      </c>
      <c r="C2451" s="67" t="s">
        <v>1406</v>
      </c>
      <c r="D2451" s="67" t="s">
        <v>365</v>
      </c>
      <c r="E2451" s="67" t="s">
        <v>1368</v>
      </c>
      <c r="F2451" s="67" t="s">
        <v>1462</v>
      </c>
      <c r="G2451" s="69">
        <v>112</v>
      </c>
    </row>
    <row r="2452" spans="1:7">
      <c r="A2452" s="67" t="s">
        <v>3935</v>
      </c>
      <c r="B2452" s="70">
        <v>46235</v>
      </c>
      <c r="C2452" s="67" t="s">
        <v>1411</v>
      </c>
      <c r="D2452" s="67" t="s">
        <v>369</v>
      </c>
      <c r="E2452" s="67" t="s">
        <v>1368</v>
      </c>
      <c r="F2452" s="67" t="s">
        <v>1462</v>
      </c>
      <c r="G2452" s="69">
        <v>321</v>
      </c>
    </row>
    <row r="2453" spans="1:7">
      <c r="A2453" s="67" t="s">
        <v>3936</v>
      </c>
      <c r="B2453" s="70">
        <v>46235</v>
      </c>
      <c r="C2453" s="67" t="s">
        <v>1411</v>
      </c>
      <c r="D2453" s="67" t="s">
        <v>1481</v>
      </c>
      <c r="E2453" s="67" t="s">
        <v>1482</v>
      </c>
      <c r="F2453" s="67" t="s">
        <v>1462</v>
      </c>
      <c r="G2453" s="69">
        <v>113</v>
      </c>
    </row>
    <row r="2454" spans="1:7">
      <c r="A2454" s="67" t="s">
        <v>3937</v>
      </c>
      <c r="B2454" s="70">
        <v>46235</v>
      </c>
      <c r="C2454" s="67" t="s">
        <v>1411</v>
      </c>
      <c r="D2454" s="67" t="s">
        <v>1481</v>
      </c>
      <c r="E2454" s="67" t="s">
        <v>1482</v>
      </c>
      <c r="F2454" s="67" t="s">
        <v>1462</v>
      </c>
      <c r="G2454" s="69">
        <v>354</v>
      </c>
    </row>
    <row r="2455" spans="1:7">
      <c r="A2455" s="67" t="s">
        <v>3938</v>
      </c>
      <c r="B2455" s="70">
        <v>46235</v>
      </c>
      <c r="C2455" s="67" t="s">
        <v>1414</v>
      </c>
      <c r="D2455" s="67" t="s">
        <v>1469</v>
      </c>
      <c r="E2455" s="67" t="s">
        <v>1470</v>
      </c>
      <c r="F2455" s="67" t="s">
        <v>1462</v>
      </c>
      <c r="G2455" s="69">
        <v>247</v>
      </c>
    </row>
    <row r="2456" spans="1:7">
      <c r="A2456" s="67" t="s">
        <v>3939</v>
      </c>
      <c r="B2456" s="70">
        <v>46235</v>
      </c>
      <c r="C2456" s="67" t="s">
        <v>1423</v>
      </c>
      <c r="D2456" s="67" t="s">
        <v>365</v>
      </c>
      <c r="E2456" s="67" t="s">
        <v>1368</v>
      </c>
      <c r="F2456" s="67" t="s">
        <v>1462</v>
      </c>
      <c r="G2456" s="69">
        <v>76</v>
      </c>
    </row>
    <row r="2457" spans="1:7">
      <c r="A2457" s="67" t="s">
        <v>3940</v>
      </c>
      <c r="B2457" s="70">
        <v>46235</v>
      </c>
      <c r="C2457" s="67" t="s">
        <v>1423</v>
      </c>
      <c r="D2457" s="67" t="s">
        <v>1743</v>
      </c>
      <c r="E2457" s="67" t="s">
        <v>1410</v>
      </c>
      <c r="F2457" s="67" t="s">
        <v>1460</v>
      </c>
      <c r="G2457" s="69">
        <v>6</v>
      </c>
    </row>
    <row r="2458" spans="1:7">
      <c r="A2458" s="67" t="s">
        <v>3941</v>
      </c>
      <c r="B2458" s="70">
        <v>46235</v>
      </c>
      <c r="C2458" s="67" t="s">
        <v>1425</v>
      </c>
      <c r="D2458" s="67" t="s">
        <v>1459</v>
      </c>
      <c r="E2458" s="67" t="s">
        <v>1362</v>
      </c>
      <c r="F2458" s="67" t="s">
        <v>1460</v>
      </c>
      <c r="G2458" s="69">
        <v>16</v>
      </c>
    </row>
    <row r="2459" spans="1:7">
      <c r="A2459" s="67" t="s">
        <v>3942</v>
      </c>
      <c r="B2459" s="70">
        <v>46235</v>
      </c>
      <c r="C2459" s="67" t="s">
        <v>1425</v>
      </c>
      <c r="D2459" s="67" t="s">
        <v>1469</v>
      </c>
      <c r="E2459" s="67" t="s">
        <v>1470</v>
      </c>
      <c r="F2459" s="67" t="s">
        <v>1462</v>
      </c>
      <c r="G2459" s="69">
        <v>534</v>
      </c>
    </row>
    <row r="2460" spans="1:7">
      <c r="A2460" s="67" t="s">
        <v>3943</v>
      </c>
      <c r="B2460" s="70">
        <v>46235</v>
      </c>
      <c r="C2460" s="67" t="s">
        <v>1427</v>
      </c>
      <c r="D2460" s="67" t="s">
        <v>358</v>
      </c>
      <c r="E2460" s="67" t="s">
        <v>1368</v>
      </c>
      <c r="F2460" s="67" t="s">
        <v>1460</v>
      </c>
      <c r="G2460" s="69">
        <v>15</v>
      </c>
    </row>
    <row r="2461" spans="1:7">
      <c r="A2461" s="67" t="s">
        <v>3944</v>
      </c>
      <c r="B2461" s="70">
        <v>46236</v>
      </c>
      <c r="C2461" s="67" t="s">
        <v>1359</v>
      </c>
      <c r="D2461" s="67" t="s">
        <v>356</v>
      </c>
      <c r="E2461" s="67" t="s">
        <v>1368</v>
      </c>
      <c r="F2461" s="67" t="s">
        <v>1460</v>
      </c>
      <c r="G2461" s="69">
        <v>17</v>
      </c>
    </row>
    <row r="2462" spans="1:7">
      <c r="A2462" s="67" t="s">
        <v>3945</v>
      </c>
      <c r="B2462" s="70">
        <v>46236</v>
      </c>
      <c r="C2462" s="67" t="s">
        <v>1359</v>
      </c>
      <c r="D2462" s="67" t="s">
        <v>1476</v>
      </c>
      <c r="E2462" s="67" t="s">
        <v>1362</v>
      </c>
      <c r="F2462" s="67" t="s">
        <v>1462</v>
      </c>
      <c r="G2462" s="69">
        <v>445</v>
      </c>
    </row>
    <row r="2463" spans="1:7">
      <c r="A2463" s="67" t="s">
        <v>3946</v>
      </c>
      <c r="B2463" s="70">
        <v>46236</v>
      </c>
      <c r="C2463" s="67" t="s">
        <v>1359</v>
      </c>
      <c r="D2463" s="67" t="s">
        <v>1551</v>
      </c>
      <c r="E2463" s="67" t="s">
        <v>1362</v>
      </c>
      <c r="F2463" s="67" t="s">
        <v>1462</v>
      </c>
      <c r="G2463" s="69">
        <v>44</v>
      </c>
    </row>
    <row r="2464" spans="1:7">
      <c r="A2464" s="67" t="s">
        <v>3947</v>
      </c>
      <c r="B2464" s="70">
        <v>46236</v>
      </c>
      <c r="C2464" s="67" t="s">
        <v>1366</v>
      </c>
      <c r="D2464" s="67" t="s">
        <v>356</v>
      </c>
      <c r="E2464" s="67" t="s">
        <v>1368</v>
      </c>
      <c r="F2464" s="67" t="s">
        <v>1462</v>
      </c>
      <c r="G2464" s="69">
        <v>539</v>
      </c>
    </row>
    <row r="2465" spans="1:7">
      <c r="A2465" s="67" t="s">
        <v>3948</v>
      </c>
      <c r="B2465" s="70">
        <v>46236</v>
      </c>
      <c r="C2465" s="67" t="s">
        <v>1366</v>
      </c>
      <c r="D2465" s="67" t="s">
        <v>356</v>
      </c>
      <c r="E2465" s="67" t="s">
        <v>1368</v>
      </c>
      <c r="F2465" s="67" t="s">
        <v>1462</v>
      </c>
      <c r="G2465" s="69">
        <v>442</v>
      </c>
    </row>
    <row r="2466" spans="1:7">
      <c r="A2466" s="67" t="s">
        <v>3949</v>
      </c>
      <c r="B2466" s="70">
        <v>46236</v>
      </c>
      <c r="C2466" s="67" t="s">
        <v>1366</v>
      </c>
      <c r="D2466" s="67" t="s">
        <v>369</v>
      </c>
      <c r="E2466" s="67" t="s">
        <v>1368</v>
      </c>
      <c r="F2466" s="67" t="s">
        <v>1462</v>
      </c>
      <c r="G2466" s="69">
        <v>157</v>
      </c>
    </row>
    <row r="2467" spans="1:7">
      <c r="A2467" s="67" t="s">
        <v>3950</v>
      </c>
      <c r="B2467" s="70">
        <v>46236</v>
      </c>
      <c r="C2467" s="67" t="s">
        <v>1371</v>
      </c>
      <c r="D2467" s="67" t="s">
        <v>1459</v>
      </c>
      <c r="E2467" s="67" t="s">
        <v>1362</v>
      </c>
      <c r="F2467" s="67" t="s">
        <v>1462</v>
      </c>
      <c r="G2467" s="69">
        <v>236</v>
      </c>
    </row>
    <row r="2468" spans="1:7">
      <c r="A2468" s="67" t="s">
        <v>3951</v>
      </c>
      <c r="B2468" s="70">
        <v>46236</v>
      </c>
      <c r="C2468" s="67" t="s">
        <v>1381</v>
      </c>
      <c r="D2468" s="67" t="s">
        <v>353</v>
      </c>
      <c r="E2468" s="67" t="s">
        <v>1368</v>
      </c>
      <c r="F2468" s="67" t="s">
        <v>1462</v>
      </c>
      <c r="G2468" s="69">
        <v>310</v>
      </c>
    </row>
    <row r="2469" spans="1:7">
      <c r="A2469" s="67" t="s">
        <v>3952</v>
      </c>
      <c r="B2469" s="70">
        <v>46236</v>
      </c>
      <c r="C2469" s="67" t="s">
        <v>1381</v>
      </c>
      <c r="D2469" s="67" t="s">
        <v>365</v>
      </c>
      <c r="E2469" s="67" t="s">
        <v>1368</v>
      </c>
      <c r="F2469" s="67" t="s">
        <v>1462</v>
      </c>
      <c r="G2469" s="69">
        <v>515</v>
      </c>
    </row>
    <row r="2470" spans="1:7">
      <c r="A2470" s="67" t="s">
        <v>3953</v>
      </c>
      <c r="B2470" s="70">
        <v>46236</v>
      </c>
      <c r="C2470" s="67" t="s">
        <v>1381</v>
      </c>
      <c r="D2470" s="67" t="s">
        <v>358</v>
      </c>
      <c r="E2470" s="67" t="s">
        <v>1368</v>
      </c>
      <c r="F2470" s="67" t="s">
        <v>1462</v>
      </c>
      <c r="G2470" s="69">
        <v>318</v>
      </c>
    </row>
    <row r="2471" spans="1:7">
      <c r="A2471" s="67" t="s">
        <v>3954</v>
      </c>
      <c r="B2471" s="70">
        <v>46236</v>
      </c>
      <c r="C2471" s="67" t="s">
        <v>1389</v>
      </c>
      <c r="D2471" s="67" t="s">
        <v>1459</v>
      </c>
      <c r="E2471" s="67" t="s">
        <v>1362</v>
      </c>
      <c r="F2471" s="67" t="s">
        <v>1462</v>
      </c>
      <c r="G2471" s="69">
        <v>350</v>
      </c>
    </row>
    <row r="2472" spans="1:7">
      <c r="A2472" s="67" t="s">
        <v>3955</v>
      </c>
      <c r="B2472" s="70">
        <v>46236</v>
      </c>
      <c r="C2472" s="67" t="s">
        <v>1399</v>
      </c>
      <c r="D2472" s="67" t="s">
        <v>1476</v>
      </c>
      <c r="E2472" s="67" t="s">
        <v>1362</v>
      </c>
      <c r="F2472" s="67" t="s">
        <v>1460</v>
      </c>
      <c r="G2472" s="69">
        <v>22</v>
      </c>
    </row>
    <row r="2473" spans="1:7">
      <c r="A2473" s="67" t="s">
        <v>3956</v>
      </c>
      <c r="B2473" s="70">
        <v>46236</v>
      </c>
      <c r="C2473" s="67" t="s">
        <v>1404</v>
      </c>
      <c r="D2473" s="67" t="s">
        <v>353</v>
      </c>
      <c r="E2473" s="67" t="s">
        <v>1368</v>
      </c>
      <c r="F2473" s="67" t="s">
        <v>1460</v>
      </c>
      <c r="G2473" s="69">
        <v>25</v>
      </c>
    </row>
    <row r="2474" spans="1:7">
      <c r="A2474" s="67" t="s">
        <v>3957</v>
      </c>
      <c r="B2474" s="70">
        <v>46236</v>
      </c>
      <c r="C2474" s="67" t="s">
        <v>1404</v>
      </c>
      <c r="D2474" s="67" t="s">
        <v>360</v>
      </c>
      <c r="E2474" s="67" t="s">
        <v>1368</v>
      </c>
      <c r="F2474" s="67" t="s">
        <v>1462</v>
      </c>
      <c r="G2474" s="69">
        <v>485</v>
      </c>
    </row>
    <row r="2475" spans="1:7">
      <c r="A2475" s="67" t="s">
        <v>3958</v>
      </c>
      <c r="B2475" s="70">
        <v>46236</v>
      </c>
      <c r="C2475" s="67" t="s">
        <v>1404</v>
      </c>
      <c r="D2475" s="67" t="s">
        <v>369</v>
      </c>
      <c r="E2475" s="67" t="s">
        <v>1368</v>
      </c>
      <c r="F2475" s="67" t="s">
        <v>1462</v>
      </c>
      <c r="G2475" s="69">
        <v>389</v>
      </c>
    </row>
    <row r="2476" spans="1:7">
      <c r="A2476" s="67" t="s">
        <v>3959</v>
      </c>
      <c r="B2476" s="70">
        <v>46236</v>
      </c>
      <c r="C2476" s="67" t="s">
        <v>1411</v>
      </c>
      <c r="D2476" s="67" t="s">
        <v>1506</v>
      </c>
      <c r="E2476" s="67" t="s">
        <v>1482</v>
      </c>
      <c r="F2476" s="67" t="s">
        <v>1460</v>
      </c>
      <c r="G2476" s="69">
        <v>26</v>
      </c>
    </row>
    <row r="2477" spans="1:7">
      <c r="A2477" s="67" t="s">
        <v>3960</v>
      </c>
      <c r="B2477" s="70">
        <v>46236</v>
      </c>
      <c r="C2477" s="67" t="s">
        <v>1414</v>
      </c>
      <c r="D2477" s="67" t="s">
        <v>1484</v>
      </c>
      <c r="E2477" s="67" t="s">
        <v>1470</v>
      </c>
      <c r="F2477" s="67" t="s">
        <v>1462</v>
      </c>
      <c r="G2477" s="69">
        <v>284</v>
      </c>
    </row>
    <row r="2478" spans="1:7">
      <c r="A2478" s="67" t="s">
        <v>3961</v>
      </c>
      <c r="B2478" s="70">
        <v>46236</v>
      </c>
      <c r="C2478" s="67" t="s">
        <v>1414</v>
      </c>
      <c r="D2478" s="67" t="s">
        <v>1491</v>
      </c>
      <c r="E2478" s="67" t="s">
        <v>1470</v>
      </c>
      <c r="F2478" s="67" t="s">
        <v>1462</v>
      </c>
      <c r="G2478" s="69">
        <v>78</v>
      </c>
    </row>
    <row r="2479" spans="1:7">
      <c r="A2479" s="67" t="s">
        <v>3962</v>
      </c>
      <c r="B2479" s="70">
        <v>46236</v>
      </c>
      <c r="C2479" s="67" t="s">
        <v>1425</v>
      </c>
      <c r="D2479" s="67" t="s">
        <v>1484</v>
      </c>
      <c r="E2479" s="67" t="s">
        <v>1470</v>
      </c>
      <c r="F2479" s="67" t="s">
        <v>1462</v>
      </c>
      <c r="G2479" s="69">
        <v>223</v>
      </c>
    </row>
    <row r="2480" spans="1:7">
      <c r="A2480" s="67" t="s">
        <v>3963</v>
      </c>
      <c r="B2480" s="70">
        <v>46236</v>
      </c>
      <c r="C2480" s="67" t="s">
        <v>1425</v>
      </c>
      <c r="D2480" s="67" t="s">
        <v>1484</v>
      </c>
      <c r="E2480" s="67" t="s">
        <v>1470</v>
      </c>
      <c r="F2480" s="67" t="s">
        <v>1460</v>
      </c>
      <c r="G2480" s="69">
        <v>11</v>
      </c>
    </row>
    <row r="2481" spans="1:7">
      <c r="A2481" s="67" t="s">
        <v>3964</v>
      </c>
      <c r="B2481" s="70">
        <v>46236</v>
      </c>
      <c r="C2481" s="67" t="s">
        <v>1425</v>
      </c>
      <c r="D2481" s="67" t="s">
        <v>1491</v>
      </c>
      <c r="E2481" s="67" t="s">
        <v>1470</v>
      </c>
      <c r="F2481" s="67" t="s">
        <v>1462</v>
      </c>
      <c r="G2481" s="69">
        <v>303</v>
      </c>
    </row>
    <row r="2482" spans="1:7">
      <c r="A2482" s="67" t="s">
        <v>3965</v>
      </c>
      <c r="B2482" s="70">
        <v>46236</v>
      </c>
      <c r="C2482" s="67" t="s">
        <v>1429</v>
      </c>
      <c r="D2482" s="67" t="s">
        <v>353</v>
      </c>
      <c r="E2482" s="67" t="s">
        <v>1368</v>
      </c>
      <c r="F2482" s="67" t="s">
        <v>1462</v>
      </c>
      <c r="G2482" s="69">
        <v>372</v>
      </c>
    </row>
    <row r="2483" spans="1:7">
      <c r="A2483" s="67" t="s">
        <v>3966</v>
      </c>
      <c r="B2483" s="70">
        <v>46236</v>
      </c>
      <c r="C2483" s="67" t="s">
        <v>1429</v>
      </c>
      <c r="D2483" s="67" t="s">
        <v>363</v>
      </c>
      <c r="E2483" s="67" t="s">
        <v>1368</v>
      </c>
      <c r="F2483" s="67" t="s">
        <v>1462</v>
      </c>
      <c r="G2483" s="69">
        <v>129</v>
      </c>
    </row>
    <row r="2484" spans="1:7">
      <c r="A2484" s="67" t="s">
        <v>3967</v>
      </c>
      <c r="B2484" s="70">
        <v>46236</v>
      </c>
      <c r="C2484" s="67" t="s">
        <v>1446</v>
      </c>
      <c r="D2484" s="67" t="s">
        <v>1466</v>
      </c>
      <c r="E2484" s="67" t="s">
        <v>1386</v>
      </c>
      <c r="F2484" s="67" t="s">
        <v>1462</v>
      </c>
      <c r="G2484" s="69">
        <v>228</v>
      </c>
    </row>
    <row r="2485" spans="1:7">
      <c r="A2485" s="67" t="s">
        <v>3968</v>
      </c>
      <c r="B2485" s="70">
        <v>46237</v>
      </c>
      <c r="C2485" s="67" t="s">
        <v>1366</v>
      </c>
      <c r="D2485" s="67" t="s">
        <v>369</v>
      </c>
      <c r="E2485" s="67" t="s">
        <v>1368</v>
      </c>
      <c r="F2485" s="67" t="s">
        <v>1462</v>
      </c>
      <c r="G2485" s="69">
        <v>191</v>
      </c>
    </row>
    <row r="2486" spans="1:7">
      <c r="A2486" s="67" t="s">
        <v>3969</v>
      </c>
      <c r="B2486" s="70">
        <v>46237</v>
      </c>
      <c r="C2486" s="67" t="s">
        <v>1371</v>
      </c>
      <c r="D2486" s="67" t="s">
        <v>1551</v>
      </c>
      <c r="E2486" s="67" t="s">
        <v>1362</v>
      </c>
      <c r="F2486" s="67" t="s">
        <v>1462</v>
      </c>
      <c r="G2486" s="69">
        <v>441</v>
      </c>
    </row>
    <row r="2487" spans="1:7">
      <c r="A2487" s="67" t="s">
        <v>3970</v>
      </c>
      <c r="B2487" s="70">
        <v>46237</v>
      </c>
      <c r="C2487" s="67" t="s">
        <v>1381</v>
      </c>
      <c r="D2487" s="67" t="s">
        <v>363</v>
      </c>
      <c r="E2487" s="67" t="s">
        <v>1368</v>
      </c>
      <c r="F2487" s="67" t="s">
        <v>1462</v>
      </c>
      <c r="G2487" s="69">
        <v>183</v>
      </c>
    </row>
    <row r="2488" spans="1:7">
      <c r="A2488" s="67" t="s">
        <v>3971</v>
      </c>
      <c r="B2488" s="70">
        <v>46237</v>
      </c>
      <c r="C2488" s="67" t="s">
        <v>1384</v>
      </c>
      <c r="D2488" s="67" t="s">
        <v>1602</v>
      </c>
      <c r="E2488" s="67" t="s">
        <v>1386</v>
      </c>
      <c r="F2488" s="67" t="s">
        <v>1462</v>
      </c>
      <c r="G2488" s="69">
        <v>452</v>
      </c>
    </row>
    <row r="2489" spans="1:7">
      <c r="A2489" s="67" t="s">
        <v>3972</v>
      </c>
      <c r="B2489" s="70">
        <v>46237</v>
      </c>
      <c r="C2489" s="67" t="s">
        <v>1384</v>
      </c>
      <c r="D2489" s="67" t="s">
        <v>1602</v>
      </c>
      <c r="E2489" s="67" t="s">
        <v>1386</v>
      </c>
      <c r="F2489" s="67" t="s">
        <v>1460</v>
      </c>
      <c r="G2489" s="69">
        <v>26</v>
      </c>
    </row>
    <row r="2490" spans="1:7">
      <c r="A2490" s="67" t="s">
        <v>3973</v>
      </c>
      <c r="B2490" s="70">
        <v>46237</v>
      </c>
      <c r="C2490" s="67" t="s">
        <v>1393</v>
      </c>
      <c r="D2490" s="67" t="s">
        <v>356</v>
      </c>
      <c r="E2490" s="67" t="s">
        <v>1368</v>
      </c>
      <c r="F2490" s="67" t="s">
        <v>1462</v>
      </c>
      <c r="G2490" s="69">
        <v>115</v>
      </c>
    </row>
    <row r="2491" spans="1:7">
      <c r="A2491" s="67" t="s">
        <v>3974</v>
      </c>
      <c r="B2491" s="70">
        <v>46237</v>
      </c>
      <c r="C2491" s="67" t="s">
        <v>1404</v>
      </c>
      <c r="D2491" s="67" t="s">
        <v>367</v>
      </c>
      <c r="E2491" s="67" t="s">
        <v>1368</v>
      </c>
      <c r="F2491" s="67" t="s">
        <v>1460</v>
      </c>
      <c r="G2491" s="69">
        <v>13</v>
      </c>
    </row>
    <row r="2492" spans="1:7">
      <c r="A2492" s="67" t="s">
        <v>3975</v>
      </c>
      <c r="B2492" s="70">
        <v>46237</v>
      </c>
      <c r="C2492" s="67" t="s">
        <v>1406</v>
      </c>
      <c r="D2492" s="67" t="s">
        <v>367</v>
      </c>
      <c r="E2492" s="67" t="s">
        <v>1368</v>
      </c>
      <c r="F2492" s="67" t="s">
        <v>1462</v>
      </c>
      <c r="G2492" s="69">
        <v>258</v>
      </c>
    </row>
    <row r="2493" spans="1:7">
      <c r="A2493" s="67" t="s">
        <v>3976</v>
      </c>
      <c r="B2493" s="70">
        <v>46237</v>
      </c>
      <c r="C2493" s="67" t="s">
        <v>1411</v>
      </c>
      <c r="D2493" s="67" t="s">
        <v>1506</v>
      </c>
      <c r="E2493" s="67" t="s">
        <v>1482</v>
      </c>
      <c r="F2493" s="67" t="s">
        <v>1462</v>
      </c>
      <c r="G2493" s="69">
        <v>556</v>
      </c>
    </row>
    <row r="2494" spans="1:7">
      <c r="A2494" s="67" t="s">
        <v>3977</v>
      </c>
      <c r="B2494" s="70">
        <v>46237</v>
      </c>
      <c r="C2494" s="67" t="s">
        <v>1411</v>
      </c>
      <c r="D2494" s="67" t="s">
        <v>1481</v>
      </c>
      <c r="E2494" s="67" t="s">
        <v>1482</v>
      </c>
      <c r="F2494" s="67" t="s">
        <v>1462</v>
      </c>
      <c r="G2494" s="69">
        <v>550</v>
      </c>
    </row>
    <row r="2495" spans="1:7">
      <c r="A2495" s="67" t="s">
        <v>3978</v>
      </c>
      <c r="B2495" s="70">
        <v>46237</v>
      </c>
      <c r="C2495" s="67" t="s">
        <v>1414</v>
      </c>
      <c r="D2495" s="67" t="s">
        <v>1511</v>
      </c>
      <c r="E2495" s="67" t="s">
        <v>1470</v>
      </c>
      <c r="F2495" s="67" t="s">
        <v>1462</v>
      </c>
      <c r="G2495" s="69">
        <v>121</v>
      </c>
    </row>
    <row r="2496" spans="1:7">
      <c r="A2496" s="67" t="s">
        <v>3979</v>
      </c>
      <c r="B2496" s="70">
        <v>46237</v>
      </c>
      <c r="C2496" s="67" t="s">
        <v>1414</v>
      </c>
      <c r="D2496" s="67" t="s">
        <v>1484</v>
      </c>
      <c r="E2496" s="67" t="s">
        <v>1470</v>
      </c>
      <c r="F2496" s="67" t="s">
        <v>1462</v>
      </c>
      <c r="G2496" s="69">
        <v>396</v>
      </c>
    </row>
    <row r="2497" spans="1:7">
      <c r="A2497" s="67" t="s">
        <v>3980</v>
      </c>
      <c r="B2497" s="70">
        <v>46237</v>
      </c>
      <c r="C2497" s="67" t="s">
        <v>1427</v>
      </c>
      <c r="D2497" s="67" t="s">
        <v>1476</v>
      </c>
      <c r="E2497" s="67" t="s">
        <v>1362</v>
      </c>
      <c r="F2497" s="67" t="s">
        <v>1460</v>
      </c>
      <c r="G2497" s="69">
        <v>15</v>
      </c>
    </row>
    <row r="2498" spans="1:7">
      <c r="A2498" s="67" t="s">
        <v>3981</v>
      </c>
      <c r="B2498" s="70">
        <v>46237</v>
      </c>
      <c r="C2498" s="67" t="s">
        <v>1446</v>
      </c>
      <c r="D2498" s="67" t="s">
        <v>1459</v>
      </c>
      <c r="E2498" s="67" t="s">
        <v>1362</v>
      </c>
      <c r="F2498" s="67" t="s">
        <v>1460</v>
      </c>
      <c r="G2498" s="69">
        <v>22</v>
      </c>
    </row>
    <row r="2499" spans="1:7">
      <c r="A2499" s="67" t="s">
        <v>3982</v>
      </c>
      <c r="B2499" s="70">
        <v>46238</v>
      </c>
      <c r="C2499" s="67" t="s">
        <v>1359</v>
      </c>
      <c r="D2499" s="67" t="s">
        <v>1459</v>
      </c>
      <c r="E2499" s="67" t="s">
        <v>1362</v>
      </c>
      <c r="F2499" s="67" t="s">
        <v>1488</v>
      </c>
      <c r="G2499" s="69">
        <v>5</v>
      </c>
    </row>
    <row r="2500" spans="1:7">
      <c r="A2500" s="67" t="s">
        <v>3983</v>
      </c>
      <c r="B2500" s="70">
        <v>46238</v>
      </c>
      <c r="C2500" s="67" t="s">
        <v>1366</v>
      </c>
      <c r="D2500" s="67" t="s">
        <v>356</v>
      </c>
      <c r="E2500" s="67" t="s">
        <v>1368</v>
      </c>
      <c r="F2500" s="67" t="s">
        <v>1460</v>
      </c>
      <c r="G2500" s="69">
        <v>20</v>
      </c>
    </row>
    <row r="2501" spans="1:7">
      <c r="A2501" s="67" t="s">
        <v>3984</v>
      </c>
      <c r="B2501" s="70">
        <v>46238</v>
      </c>
      <c r="C2501" s="67" t="s">
        <v>1366</v>
      </c>
      <c r="D2501" s="67" t="s">
        <v>1459</v>
      </c>
      <c r="E2501" s="67" t="s">
        <v>1362</v>
      </c>
      <c r="F2501" s="67" t="s">
        <v>1462</v>
      </c>
      <c r="G2501" s="69">
        <v>487</v>
      </c>
    </row>
    <row r="2502" spans="1:7">
      <c r="A2502" s="67" t="s">
        <v>3985</v>
      </c>
      <c r="B2502" s="70">
        <v>46238</v>
      </c>
      <c r="C2502" s="67" t="s">
        <v>1381</v>
      </c>
      <c r="D2502" s="67" t="s">
        <v>365</v>
      </c>
      <c r="E2502" s="67" t="s">
        <v>1368</v>
      </c>
      <c r="F2502" s="67" t="s">
        <v>1462</v>
      </c>
      <c r="G2502" s="69">
        <v>41</v>
      </c>
    </row>
    <row r="2503" spans="1:7">
      <c r="A2503" s="67" t="s">
        <v>3986</v>
      </c>
      <c r="B2503" s="70">
        <v>46238</v>
      </c>
      <c r="C2503" s="67" t="s">
        <v>1384</v>
      </c>
      <c r="D2503" s="67" t="s">
        <v>1459</v>
      </c>
      <c r="E2503" s="67" t="s">
        <v>1362</v>
      </c>
      <c r="F2503" s="67" t="s">
        <v>1462</v>
      </c>
      <c r="G2503" s="69">
        <v>120</v>
      </c>
    </row>
    <row r="2504" spans="1:7">
      <c r="A2504" s="67" t="s">
        <v>3987</v>
      </c>
      <c r="B2504" s="70">
        <v>46238</v>
      </c>
      <c r="C2504" s="67" t="s">
        <v>1389</v>
      </c>
      <c r="D2504" s="67" t="s">
        <v>353</v>
      </c>
      <c r="E2504" s="67" t="s">
        <v>1368</v>
      </c>
      <c r="F2504" s="67" t="s">
        <v>1462</v>
      </c>
      <c r="G2504" s="69">
        <v>430</v>
      </c>
    </row>
    <row r="2505" spans="1:7">
      <c r="A2505" s="67" t="s">
        <v>3988</v>
      </c>
      <c r="B2505" s="70">
        <v>46238</v>
      </c>
      <c r="C2505" s="67" t="s">
        <v>1393</v>
      </c>
      <c r="D2505" s="67" t="s">
        <v>353</v>
      </c>
      <c r="E2505" s="67" t="s">
        <v>1368</v>
      </c>
      <c r="F2505" s="67" t="s">
        <v>1460</v>
      </c>
      <c r="G2505" s="69">
        <v>15</v>
      </c>
    </row>
    <row r="2506" spans="1:7">
      <c r="A2506" s="67" t="s">
        <v>3989</v>
      </c>
      <c r="B2506" s="70">
        <v>46238</v>
      </c>
      <c r="C2506" s="67" t="s">
        <v>1393</v>
      </c>
      <c r="D2506" s="67" t="s">
        <v>363</v>
      </c>
      <c r="E2506" s="67" t="s">
        <v>1368</v>
      </c>
      <c r="F2506" s="67" t="s">
        <v>1462</v>
      </c>
      <c r="G2506" s="69">
        <v>332</v>
      </c>
    </row>
    <row r="2507" spans="1:7">
      <c r="A2507" s="67" t="s">
        <v>3990</v>
      </c>
      <c r="B2507" s="70">
        <v>46238</v>
      </c>
      <c r="C2507" s="67" t="s">
        <v>1399</v>
      </c>
      <c r="D2507" s="67" t="s">
        <v>1476</v>
      </c>
      <c r="E2507" s="67" t="s">
        <v>1362</v>
      </c>
      <c r="F2507" s="67" t="s">
        <v>1462</v>
      </c>
      <c r="G2507" s="69">
        <v>382</v>
      </c>
    </row>
    <row r="2508" spans="1:7">
      <c r="A2508" s="67" t="s">
        <v>3991</v>
      </c>
      <c r="B2508" s="70">
        <v>46238</v>
      </c>
      <c r="C2508" s="67" t="s">
        <v>1399</v>
      </c>
      <c r="D2508" s="67" t="s">
        <v>1551</v>
      </c>
      <c r="E2508" s="67" t="s">
        <v>1362</v>
      </c>
      <c r="F2508" s="67" t="s">
        <v>1460</v>
      </c>
      <c r="G2508" s="69">
        <v>23</v>
      </c>
    </row>
    <row r="2509" spans="1:7">
      <c r="A2509" s="67" t="s">
        <v>3992</v>
      </c>
      <c r="B2509" s="70">
        <v>46238</v>
      </c>
      <c r="C2509" s="67" t="s">
        <v>1404</v>
      </c>
      <c r="D2509" s="67" t="s">
        <v>367</v>
      </c>
      <c r="E2509" s="67" t="s">
        <v>1368</v>
      </c>
      <c r="F2509" s="67" t="s">
        <v>1462</v>
      </c>
      <c r="G2509" s="69">
        <v>299</v>
      </c>
    </row>
    <row r="2510" spans="1:7">
      <c r="A2510" s="67" t="s">
        <v>3993</v>
      </c>
      <c r="B2510" s="70">
        <v>46238</v>
      </c>
      <c r="C2510" s="67" t="s">
        <v>1404</v>
      </c>
      <c r="D2510" s="67" t="s">
        <v>1551</v>
      </c>
      <c r="E2510" s="67" t="s">
        <v>1362</v>
      </c>
      <c r="F2510" s="67" t="s">
        <v>1462</v>
      </c>
      <c r="G2510" s="69">
        <v>72</v>
      </c>
    </row>
    <row r="2511" spans="1:7">
      <c r="A2511" s="67" t="s">
        <v>3994</v>
      </c>
      <c r="B2511" s="70">
        <v>46238</v>
      </c>
      <c r="C2511" s="67" t="s">
        <v>1411</v>
      </c>
      <c r="D2511" s="67" t="s">
        <v>1506</v>
      </c>
      <c r="E2511" s="67" t="s">
        <v>1482</v>
      </c>
      <c r="F2511" s="67" t="s">
        <v>1462</v>
      </c>
      <c r="G2511" s="69">
        <v>400</v>
      </c>
    </row>
    <row r="2512" spans="1:7">
      <c r="A2512" s="67" t="s">
        <v>3995</v>
      </c>
      <c r="B2512" s="70">
        <v>46238</v>
      </c>
      <c r="C2512" s="67" t="s">
        <v>1411</v>
      </c>
      <c r="D2512" s="67" t="s">
        <v>1481</v>
      </c>
      <c r="E2512" s="67" t="s">
        <v>1482</v>
      </c>
      <c r="F2512" s="67" t="s">
        <v>1460</v>
      </c>
      <c r="G2512" s="69">
        <v>25</v>
      </c>
    </row>
    <row r="2513" spans="1:7">
      <c r="A2513" s="67" t="s">
        <v>3996</v>
      </c>
      <c r="B2513" s="70">
        <v>46238</v>
      </c>
      <c r="C2513" s="67" t="s">
        <v>1414</v>
      </c>
      <c r="D2513" s="67" t="s">
        <v>1511</v>
      </c>
      <c r="E2513" s="67" t="s">
        <v>1470</v>
      </c>
      <c r="F2513" s="67" t="s">
        <v>1462</v>
      </c>
      <c r="G2513" s="69">
        <v>159</v>
      </c>
    </row>
    <row r="2514" spans="1:7">
      <c r="A2514" s="67" t="s">
        <v>3997</v>
      </c>
      <c r="B2514" s="70">
        <v>46238</v>
      </c>
      <c r="C2514" s="67" t="s">
        <v>1414</v>
      </c>
      <c r="D2514" s="67" t="s">
        <v>1551</v>
      </c>
      <c r="E2514" s="67" t="s">
        <v>1362</v>
      </c>
      <c r="F2514" s="67" t="s">
        <v>1460</v>
      </c>
      <c r="G2514" s="69">
        <v>10</v>
      </c>
    </row>
    <row r="2515" spans="1:7">
      <c r="A2515" s="67" t="s">
        <v>3998</v>
      </c>
      <c r="B2515" s="70">
        <v>46238</v>
      </c>
      <c r="C2515" s="67" t="s">
        <v>1423</v>
      </c>
      <c r="D2515" s="67" t="s">
        <v>1487</v>
      </c>
      <c r="E2515" s="67" t="s">
        <v>1410</v>
      </c>
      <c r="F2515" s="67" t="s">
        <v>1462</v>
      </c>
      <c r="G2515" s="69">
        <v>320</v>
      </c>
    </row>
    <row r="2516" spans="1:7">
      <c r="A2516" s="67" t="s">
        <v>3999</v>
      </c>
      <c r="B2516" s="70">
        <v>46238</v>
      </c>
      <c r="C2516" s="67" t="s">
        <v>1425</v>
      </c>
      <c r="D2516" s="67" t="s">
        <v>1511</v>
      </c>
      <c r="E2516" s="67" t="s">
        <v>1470</v>
      </c>
      <c r="F2516" s="67" t="s">
        <v>1462</v>
      </c>
      <c r="G2516" s="69">
        <v>421</v>
      </c>
    </row>
    <row r="2517" spans="1:7">
      <c r="A2517" s="67" t="s">
        <v>4000</v>
      </c>
      <c r="B2517" s="70">
        <v>46238</v>
      </c>
      <c r="C2517" s="67" t="s">
        <v>1444</v>
      </c>
      <c r="D2517" s="67" t="s">
        <v>1459</v>
      </c>
      <c r="E2517" s="67" t="s">
        <v>1362</v>
      </c>
      <c r="F2517" s="67" t="s">
        <v>1462</v>
      </c>
      <c r="G2517" s="69">
        <v>438</v>
      </c>
    </row>
    <row r="2518" spans="1:7">
      <c r="A2518" s="67" t="s">
        <v>4001</v>
      </c>
      <c r="B2518" s="70">
        <v>46238</v>
      </c>
      <c r="C2518" s="67" t="s">
        <v>1450</v>
      </c>
      <c r="D2518" s="67" t="s">
        <v>1506</v>
      </c>
      <c r="E2518" s="67" t="s">
        <v>1482</v>
      </c>
      <c r="F2518" s="67" t="s">
        <v>1488</v>
      </c>
      <c r="G2518" s="69">
        <v>6</v>
      </c>
    </row>
    <row r="2519" spans="1:7">
      <c r="A2519" s="67" t="s">
        <v>4002</v>
      </c>
      <c r="B2519" s="70">
        <v>46239</v>
      </c>
      <c r="C2519" s="67" t="s">
        <v>1359</v>
      </c>
      <c r="D2519" s="67" t="s">
        <v>1551</v>
      </c>
      <c r="E2519" s="67" t="s">
        <v>1362</v>
      </c>
      <c r="F2519" s="67" t="s">
        <v>1462</v>
      </c>
      <c r="G2519" s="69">
        <v>130</v>
      </c>
    </row>
    <row r="2520" spans="1:7">
      <c r="A2520" s="67" t="s">
        <v>4003</v>
      </c>
      <c r="B2520" s="70">
        <v>46239</v>
      </c>
      <c r="C2520" s="67" t="s">
        <v>1359</v>
      </c>
      <c r="D2520" s="67" t="s">
        <v>1459</v>
      </c>
      <c r="E2520" s="67" t="s">
        <v>1362</v>
      </c>
      <c r="F2520" s="67" t="s">
        <v>1462</v>
      </c>
      <c r="G2520" s="69">
        <v>391</v>
      </c>
    </row>
    <row r="2521" spans="1:7">
      <c r="A2521" s="67" t="s">
        <v>4004</v>
      </c>
      <c r="B2521" s="70">
        <v>46239</v>
      </c>
      <c r="C2521" s="67" t="s">
        <v>1381</v>
      </c>
      <c r="D2521" s="67" t="s">
        <v>356</v>
      </c>
      <c r="E2521" s="67" t="s">
        <v>1368</v>
      </c>
      <c r="F2521" s="67" t="s">
        <v>1460</v>
      </c>
      <c r="G2521" s="69">
        <v>12</v>
      </c>
    </row>
    <row r="2522" spans="1:7">
      <c r="A2522" s="67" t="s">
        <v>4005</v>
      </c>
      <c r="B2522" s="70">
        <v>46239</v>
      </c>
      <c r="C2522" s="67" t="s">
        <v>1381</v>
      </c>
      <c r="D2522" s="67" t="s">
        <v>367</v>
      </c>
      <c r="E2522" s="67" t="s">
        <v>1368</v>
      </c>
      <c r="F2522" s="67" t="s">
        <v>1462</v>
      </c>
      <c r="G2522" s="69">
        <v>117</v>
      </c>
    </row>
    <row r="2523" spans="1:7">
      <c r="A2523" s="67" t="s">
        <v>4006</v>
      </c>
      <c r="B2523" s="70">
        <v>46239</v>
      </c>
      <c r="C2523" s="67" t="s">
        <v>1381</v>
      </c>
      <c r="D2523" s="67" t="s">
        <v>1551</v>
      </c>
      <c r="E2523" s="67" t="s">
        <v>1362</v>
      </c>
      <c r="F2523" s="67" t="s">
        <v>1462</v>
      </c>
      <c r="G2523" s="69">
        <v>249</v>
      </c>
    </row>
    <row r="2524" spans="1:7">
      <c r="A2524" s="67" t="s">
        <v>4007</v>
      </c>
      <c r="B2524" s="70">
        <v>46239</v>
      </c>
      <c r="C2524" s="67" t="s">
        <v>1384</v>
      </c>
      <c r="D2524" s="67" t="s">
        <v>1602</v>
      </c>
      <c r="E2524" s="67" t="s">
        <v>1386</v>
      </c>
      <c r="F2524" s="67" t="s">
        <v>1488</v>
      </c>
      <c r="G2524" s="69">
        <v>5</v>
      </c>
    </row>
    <row r="2525" spans="1:7">
      <c r="A2525" s="67" t="s">
        <v>4008</v>
      </c>
      <c r="B2525" s="70">
        <v>46239</v>
      </c>
      <c r="C2525" s="67" t="s">
        <v>1399</v>
      </c>
      <c r="D2525" s="67" t="s">
        <v>1551</v>
      </c>
      <c r="E2525" s="67" t="s">
        <v>1362</v>
      </c>
      <c r="F2525" s="67" t="s">
        <v>1462</v>
      </c>
      <c r="G2525" s="69">
        <v>369</v>
      </c>
    </row>
    <row r="2526" spans="1:7">
      <c r="A2526" s="67" t="s">
        <v>4009</v>
      </c>
      <c r="B2526" s="70">
        <v>46239</v>
      </c>
      <c r="C2526" s="67" t="s">
        <v>1404</v>
      </c>
      <c r="D2526" s="67" t="s">
        <v>356</v>
      </c>
      <c r="E2526" s="67" t="s">
        <v>1368</v>
      </c>
      <c r="F2526" s="67" t="s">
        <v>1462</v>
      </c>
      <c r="G2526" s="69">
        <v>427</v>
      </c>
    </row>
    <row r="2527" spans="1:7">
      <c r="A2527" s="67" t="s">
        <v>4010</v>
      </c>
      <c r="B2527" s="70">
        <v>46239</v>
      </c>
      <c r="C2527" s="67" t="s">
        <v>1406</v>
      </c>
      <c r="D2527" s="67" t="s">
        <v>367</v>
      </c>
      <c r="E2527" s="67" t="s">
        <v>1368</v>
      </c>
      <c r="F2527" s="67" t="s">
        <v>1460</v>
      </c>
      <c r="G2527" s="69">
        <v>11</v>
      </c>
    </row>
    <row r="2528" spans="1:7">
      <c r="A2528" s="67" t="s">
        <v>4011</v>
      </c>
      <c r="B2528" s="70">
        <v>46239</v>
      </c>
      <c r="C2528" s="67" t="s">
        <v>1411</v>
      </c>
      <c r="D2528" s="67" t="s">
        <v>1506</v>
      </c>
      <c r="E2528" s="67" t="s">
        <v>1482</v>
      </c>
      <c r="F2528" s="67" t="s">
        <v>1460</v>
      </c>
      <c r="G2528" s="69">
        <v>26</v>
      </c>
    </row>
    <row r="2529" spans="1:7">
      <c r="A2529" s="67" t="s">
        <v>4012</v>
      </c>
      <c r="B2529" s="70">
        <v>46239</v>
      </c>
      <c r="C2529" s="67" t="s">
        <v>1411</v>
      </c>
      <c r="D2529" s="67" t="s">
        <v>1481</v>
      </c>
      <c r="E2529" s="67" t="s">
        <v>1482</v>
      </c>
      <c r="F2529" s="67" t="s">
        <v>1460</v>
      </c>
      <c r="G2529" s="69">
        <v>22</v>
      </c>
    </row>
    <row r="2530" spans="1:7">
      <c r="A2530" s="67" t="s">
        <v>4013</v>
      </c>
      <c r="B2530" s="70">
        <v>46239</v>
      </c>
      <c r="C2530" s="67" t="s">
        <v>1411</v>
      </c>
      <c r="D2530" s="67" t="s">
        <v>1481</v>
      </c>
      <c r="E2530" s="67" t="s">
        <v>1482</v>
      </c>
      <c r="F2530" s="67" t="s">
        <v>1460</v>
      </c>
      <c r="G2530" s="69">
        <v>22</v>
      </c>
    </row>
    <row r="2531" spans="1:7">
      <c r="A2531" s="67" t="s">
        <v>4014</v>
      </c>
      <c r="B2531" s="70">
        <v>46239</v>
      </c>
      <c r="C2531" s="67" t="s">
        <v>1414</v>
      </c>
      <c r="D2531" s="67" t="s">
        <v>1511</v>
      </c>
      <c r="E2531" s="67" t="s">
        <v>1470</v>
      </c>
      <c r="F2531" s="67" t="s">
        <v>1462</v>
      </c>
      <c r="G2531" s="69">
        <v>488</v>
      </c>
    </row>
    <row r="2532" spans="1:7">
      <c r="A2532" s="67" t="s">
        <v>4015</v>
      </c>
      <c r="B2532" s="70">
        <v>46239</v>
      </c>
      <c r="C2532" s="67" t="s">
        <v>1423</v>
      </c>
      <c r="D2532" s="67" t="s">
        <v>1515</v>
      </c>
      <c r="E2532" s="67" t="s">
        <v>1410</v>
      </c>
      <c r="F2532" s="67" t="s">
        <v>1462</v>
      </c>
      <c r="G2532" s="69">
        <v>582</v>
      </c>
    </row>
    <row r="2533" spans="1:7">
      <c r="A2533" s="67" t="s">
        <v>4016</v>
      </c>
      <c r="B2533" s="70">
        <v>46239</v>
      </c>
      <c r="C2533" s="67" t="s">
        <v>1425</v>
      </c>
      <c r="D2533" s="67" t="s">
        <v>1511</v>
      </c>
      <c r="E2533" s="67" t="s">
        <v>1470</v>
      </c>
      <c r="F2533" s="67" t="s">
        <v>1462</v>
      </c>
      <c r="G2533" s="69">
        <v>24</v>
      </c>
    </row>
    <row r="2534" spans="1:7">
      <c r="A2534" s="67" t="s">
        <v>4017</v>
      </c>
      <c r="B2534" s="70">
        <v>46239</v>
      </c>
      <c r="C2534" s="67" t="s">
        <v>1425</v>
      </c>
      <c r="D2534" s="67" t="s">
        <v>1491</v>
      </c>
      <c r="E2534" s="67" t="s">
        <v>1470</v>
      </c>
      <c r="F2534" s="67" t="s">
        <v>1462</v>
      </c>
      <c r="G2534" s="69">
        <v>404</v>
      </c>
    </row>
    <row r="2535" spans="1:7">
      <c r="A2535" s="67" t="s">
        <v>4018</v>
      </c>
      <c r="B2535" s="70">
        <v>46239</v>
      </c>
      <c r="C2535" s="67" t="s">
        <v>1444</v>
      </c>
      <c r="D2535" s="67" t="s">
        <v>1459</v>
      </c>
      <c r="E2535" s="67" t="s">
        <v>1362</v>
      </c>
      <c r="F2535" s="67" t="s">
        <v>1462</v>
      </c>
      <c r="G2535" s="69">
        <v>97</v>
      </c>
    </row>
    <row r="2536" spans="1:7">
      <c r="A2536" s="67" t="s">
        <v>4019</v>
      </c>
      <c r="B2536" s="70">
        <v>46239</v>
      </c>
      <c r="C2536" s="67" t="s">
        <v>1446</v>
      </c>
      <c r="D2536" s="67" t="s">
        <v>356</v>
      </c>
      <c r="E2536" s="67" t="s">
        <v>1368</v>
      </c>
      <c r="F2536" s="67" t="s">
        <v>1462</v>
      </c>
      <c r="G2536" s="69">
        <v>390</v>
      </c>
    </row>
    <row r="2537" spans="1:7">
      <c r="A2537" s="67" t="s">
        <v>4020</v>
      </c>
      <c r="B2537" s="70">
        <v>46239</v>
      </c>
      <c r="C2537" s="67" t="s">
        <v>1448</v>
      </c>
      <c r="D2537" s="67" t="s">
        <v>1618</v>
      </c>
      <c r="E2537" s="67" t="s">
        <v>1433</v>
      </c>
      <c r="F2537" s="67" t="s">
        <v>1460</v>
      </c>
      <c r="G2537" s="69">
        <v>6</v>
      </c>
    </row>
    <row r="2538" spans="1:7">
      <c r="A2538" s="67" t="s">
        <v>4021</v>
      </c>
      <c r="B2538" s="70">
        <v>46240</v>
      </c>
      <c r="C2538" s="67" t="s">
        <v>1359</v>
      </c>
      <c r="D2538" s="67" t="s">
        <v>1476</v>
      </c>
      <c r="E2538" s="67" t="s">
        <v>1362</v>
      </c>
      <c r="F2538" s="67" t="s">
        <v>1462</v>
      </c>
      <c r="G2538" s="69">
        <v>227</v>
      </c>
    </row>
    <row r="2539" spans="1:7">
      <c r="A2539" s="67" t="s">
        <v>4022</v>
      </c>
      <c r="B2539" s="70">
        <v>46240</v>
      </c>
      <c r="C2539" s="67" t="s">
        <v>1366</v>
      </c>
      <c r="D2539" s="67" t="s">
        <v>353</v>
      </c>
      <c r="E2539" s="67" t="s">
        <v>1368</v>
      </c>
      <c r="F2539" s="67" t="s">
        <v>1462</v>
      </c>
      <c r="G2539" s="69">
        <v>380</v>
      </c>
    </row>
    <row r="2540" spans="1:7">
      <c r="A2540" s="67" t="s">
        <v>4023</v>
      </c>
      <c r="B2540" s="70">
        <v>46240</v>
      </c>
      <c r="C2540" s="67" t="s">
        <v>1366</v>
      </c>
      <c r="D2540" s="67" t="s">
        <v>356</v>
      </c>
      <c r="E2540" s="67" t="s">
        <v>1368</v>
      </c>
      <c r="F2540" s="67" t="s">
        <v>1462</v>
      </c>
      <c r="G2540" s="69">
        <v>197</v>
      </c>
    </row>
    <row r="2541" spans="1:7">
      <c r="A2541" s="67" t="s">
        <v>4024</v>
      </c>
      <c r="B2541" s="70">
        <v>46240</v>
      </c>
      <c r="C2541" s="67" t="s">
        <v>1381</v>
      </c>
      <c r="D2541" s="67" t="s">
        <v>353</v>
      </c>
      <c r="E2541" s="67" t="s">
        <v>1368</v>
      </c>
      <c r="F2541" s="67" t="s">
        <v>1462</v>
      </c>
      <c r="G2541" s="69">
        <v>326</v>
      </c>
    </row>
    <row r="2542" spans="1:7">
      <c r="A2542" s="67" t="s">
        <v>4025</v>
      </c>
      <c r="B2542" s="70">
        <v>46240</v>
      </c>
      <c r="C2542" s="67" t="s">
        <v>1381</v>
      </c>
      <c r="D2542" s="67" t="s">
        <v>1511</v>
      </c>
      <c r="E2542" s="67" t="s">
        <v>1470</v>
      </c>
      <c r="F2542" s="67" t="s">
        <v>1460</v>
      </c>
      <c r="G2542" s="69">
        <v>7</v>
      </c>
    </row>
    <row r="2543" spans="1:7">
      <c r="A2543" s="67" t="s">
        <v>4026</v>
      </c>
      <c r="B2543" s="70">
        <v>46240</v>
      </c>
      <c r="C2543" s="67" t="s">
        <v>1384</v>
      </c>
      <c r="D2543" s="67" t="s">
        <v>1476</v>
      </c>
      <c r="E2543" s="67" t="s">
        <v>1362</v>
      </c>
      <c r="F2543" s="67" t="s">
        <v>1462</v>
      </c>
      <c r="G2543" s="69">
        <v>160</v>
      </c>
    </row>
    <row r="2544" spans="1:7">
      <c r="A2544" s="67" t="s">
        <v>4027</v>
      </c>
      <c r="B2544" s="70">
        <v>46240</v>
      </c>
      <c r="C2544" s="67" t="s">
        <v>1384</v>
      </c>
      <c r="D2544" s="67" t="s">
        <v>1466</v>
      </c>
      <c r="E2544" s="67" t="s">
        <v>1386</v>
      </c>
      <c r="F2544" s="67" t="s">
        <v>1462</v>
      </c>
      <c r="G2544" s="69">
        <v>48</v>
      </c>
    </row>
    <row r="2545" spans="1:7">
      <c r="A2545" s="67" t="s">
        <v>4028</v>
      </c>
      <c r="B2545" s="70">
        <v>46240</v>
      </c>
      <c r="C2545" s="67" t="s">
        <v>1393</v>
      </c>
      <c r="D2545" s="67" t="s">
        <v>356</v>
      </c>
      <c r="E2545" s="67" t="s">
        <v>1368</v>
      </c>
      <c r="F2545" s="67" t="s">
        <v>1460</v>
      </c>
      <c r="G2545" s="69">
        <v>17</v>
      </c>
    </row>
    <row r="2546" spans="1:7">
      <c r="A2546" s="67" t="s">
        <v>4029</v>
      </c>
      <c r="B2546" s="70">
        <v>46240</v>
      </c>
      <c r="C2546" s="67" t="s">
        <v>1393</v>
      </c>
      <c r="D2546" s="67" t="s">
        <v>369</v>
      </c>
      <c r="E2546" s="67" t="s">
        <v>1368</v>
      </c>
      <c r="F2546" s="67" t="s">
        <v>1462</v>
      </c>
      <c r="G2546" s="69">
        <v>372</v>
      </c>
    </row>
    <row r="2547" spans="1:7">
      <c r="A2547" s="67" t="s">
        <v>4030</v>
      </c>
      <c r="B2547" s="70">
        <v>46240</v>
      </c>
      <c r="C2547" s="67" t="s">
        <v>1406</v>
      </c>
      <c r="D2547" s="67" t="s">
        <v>363</v>
      </c>
      <c r="E2547" s="67" t="s">
        <v>1368</v>
      </c>
      <c r="F2547" s="67" t="s">
        <v>1462</v>
      </c>
      <c r="G2547" s="69">
        <v>94</v>
      </c>
    </row>
    <row r="2548" spans="1:7">
      <c r="A2548" s="67" t="s">
        <v>4031</v>
      </c>
      <c r="B2548" s="70">
        <v>46240</v>
      </c>
      <c r="C2548" s="67" t="s">
        <v>1411</v>
      </c>
      <c r="D2548" s="67" t="s">
        <v>1481</v>
      </c>
      <c r="E2548" s="67" t="s">
        <v>1482</v>
      </c>
      <c r="F2548" s="67" t="s">
        <v>1462</v>
      </c>
      <c r="G2548" s="69">
        <v>498</v>
      </c>
    </row>
    <row r="2549" spans="1:7">
      <c r="A2549" s="67" t="s">
        <v>4032</v>
      </c>
      <c r="B2549" s="70">
        <v>46240</v>
      </c>
      <c r="C2549" s="67" t="s">
        <v>1414</v>
      </c>
      <c r="D2549" s="67" t="s">
        <v>1484</v>
      </c>
      <c r="E2549" s="67" t="s">
        <v>1470</v>
      </c>
      <c r="F2549" s="67" t="s">
        <v>1488</v>
      </c>
      <c r="G2549" s="69">
        <v>5</v>
      </c>
    </row>
    <row r="2550" spans="1:7">
      <c r="A2550" s="67" t="s">
        <v>4033</v>
      </c>
      <c r="B2550" s="70">
        <v>46240</v>
      </c>
      <c r="C2550" s="67" t="s">
        <v>1423</v>
      </c>
      <c r="D2550" s="67" t="s">
        <v>1743</v>
      </c>
      <c r="E2550" s="67" t="s">
        <v>1410</v>
      </c>
      <c r="F2550" s="67" t="s">
        <v>1462</v>
      </c>
      <c r="G2550" s="69">
        <v>578</v>
      </c>
    </row>
    <row r="2551" spans="1:7">
      <c r="A2551" s="67" t="s">
        <v>4034</v>
      </c>
      <c r="B2551" s="70">
        <v>46240</v>
      </c>
      <c r="C2551" s="67" t="s">
        <v>1425</v>
      </c>
      <c r="D2551" s="67" t="s">
        <v>1511</v>
      </c>
      <c r="E2551" s="67" t="s">
        <v>1470</v>
      </c>
      <c r="F2551" s="67" t="s">
        <v>1460</v>
      </c>
      <c r="G2551" s="69">
        <v>21</v>
      </c>
    </row>
    <row r="2552" spans="1:7">
      <c r="A2552" s="67" t="s">
        <v>4035</v>
      </c>
      <c r="B2552" s="70">
        <v>46240</v>
      </c>
      <c r="C2552" s="67" t="s">
        <v>1425</v>
      </c>
      <c r="D2552" s="67" t="s">
        <v>1511</v>
      </c>
      <c r="E2552" s="67" t="s">
        <v>1470</v>
      </c>
      <c r="F2552" s="67" t="s">
        <v>1462</v>
      </c>
      <c r="G2552" s="69">
        <v>512</v>
      </c>
    </row>
    <row r="2553" spans="1:7">
      <c r="A2553" s="67" t="s">
        <v>4036</v>
      </c>
      <c r="B2553" s="70">
        <v>46240</v>
      </c>
      <c r="C2553" s="67" t="s">
        <v>1425</v>
      </c>
      <c r="D2553" s="67" t="s">
        <v>1551</v>
      </c>
      <c r="E2553" s="67" t="s">
        <v>1362</v>
      </c>
      <c r="F2553" s="67" t="s">
        <v>1460</v>
      </c>
      <c r="G2553" s="69">
        <v>19</v>
      </c>
    </row>
    <row r="2554" spans="1:7">
      <c r="A2554" s="67" t="s">
        <v>4037</v>
      </c>
      <c r="B2554" s="70">
        <v>46240</v>
      </c>
      <c r="C2554" s="67" t="s">
        <v>1429</v>
      </c>
      <c r="D2554" s="67" t="s">
        <v>369</v>
      </c>
      <c r="E2554" s="67" t="s">
        <v>1368</v>
      </c>
      <c r="F2554" s="67" t="s">
        <v>1462</v>
      </c>
      <c r="G2554" s="69">
        <v>274</v>
      </c>
    </row>
    <row r="2555" spans="1:7">
      <c r="A2555" s="67" t="s">
        <v>4038</v>
      </c>
      <c r="B2555" s="70">
        <v>46240</v>
      </c>
      <c r="C2555" s="67" t="s">
        <v>1429</v>
      </c>
      <c r="D2555" s="67" t="s">
        <v>1551</v>
      </c>
      <c r="E2555" s="67" t="s">
        <v>1362</v>
      </c>
      <c r="F2555" s="67" t="s">
        <v>1462</v>
      </c>
      <c r="G2555" s="69">
        <v>66</v>
      </c>
    </row>
    <row r="2556" spans="1:7">
      <c r="A2556" s="67" t="s">
        <v>4039</v>
      </c>
      <c r="B2556" s="70">
        <v>46240</v>
      </c>
      <c r="C2556" s="67" t="s">
        <v>1444</v>
      </c>
      <c r="D2556" s="67" t="s">
        <v>1476</v>
      </c>
      <c r="E2556" s="67" t="s">
        <v>1362</v>
      </c>
      <c r="F2556" s="67" t="s">
        <v>1462</v>
      </c>
      <c r="G2556" s="69">
        <v>589</v>
      </c>
    </row>
    <row r="2557" spans="1:7">
      <c r="A2557" s="67" t="s">
        <v>4040</v>
      </c>
      <c r="B2557" s="70">
        <v>46241</v>
      </c>
      <c r="C2557" s="67" t="s">
        <v>1359</v>
      </c>
      <c r="D2557" s="67" t="s">
        <v>356</v>
      </c>
      <c r="E2557" s="67" t="s">
        <v>1368</v>
      </c>
      <c r="F2557" s="67" t="s">
        <v>1488</v>
      </c>
      <c r="G2557" s="69">
        <v>7</v>
      </c>
    </row>
    <row r="2558" spans="1:7">
      <c r="A2558" s="67" t="s">
        <v>4041</v>
      </c>
      <c r="B2558" s="70">
        <v>46241</v>
      </c>
      <c r="C2558" s="67" t="s">
        <v>1359</v>
      </c>
      <c r="D2558" s="67" t="s">
        <v>1476</v>
      </c>
      <c r="E2558" s="67" t="s">
        <v>1362</v>
      </c>
      <c r="F2558" s="67" t="s">
        <v>1462</v>
      </c>
      <c r="G2558" s="69">
        <v>270</v>
      </c>
    </row>
    <row r="2559" spans="1:7">
      <c r="A2559" s="67" t="s">
        <v>4042</v>
      </c>
      <c r="B2559" s="70">
        <v>46241</v>
      </c>
      <c r="C2559" s="67" t="s">
        <v>1366</v>
      </c>
      <c r="D2559" s="67" t="s">
        <v>369</v>
      </c>
      <c r="E2559" s="67" t="s">
        <v>1368</v>
      </c>
      <c r="F2559" s="67" t="s">
        <v>1462</v>
      </c>
      <c r="G2559" s="69">
        <v>57</v>
      </c>
    </row>
    <row r="2560" spans="1:7">
      <c r="A2560" s="67" t="s">
        <v>4043</v>
      </c>
      <c r="B2560" s="70">
        <v>46241</v>
      </c>
      <c r="C2560" s="67" t="s">
        <v>1366</v>
      </c>
      <c r="D2560" s="67" t="s">
        <v>1469</v>
      </c>
      <c r="E2560" s="67" t="s">
        <v>1470</v>
      </c>
      <c r="F2560" s="67" t="s">
        <v>1462</v>
      </c>
      <c r="G2560" s="69">
        <v>579</v>
      </c>
    </row>
    <row r="2561" spans="1:7">
      <c r="A2561" s="67" t="s">
        <v>4044</v>
      </c>
      <c r="B2561" s="70">
        <v>46241</v>
      </c>
      <c r="C2561" s="67" t="s">
        <v>1371</v>
      </c>
      <c r="D2561" s="67" t="s">
        <v>369</v>
      </c>
      <c r="E2561" s="67" t="s">
        <v>1368</v>
      </c>
      <c r="F2561" s="67" t="s">
        <v>1460</v>
      </c>
      <c r="G2561" s="69">
        <v>18</v>
      </c>
    </row>
    <row r="2562" spans="1:7">
      <c r="A2562" s="67" t="s">
        <v>4045</v>
      </c>
      <c r="B2562" s="70">
        <v>46241</v>
      </c>
      <c r="C2562" s="67" t="s">
        <v>1371</v>
      </c>
      <c r="D2562" s="67" t="s">
        <v>1459</v>
      </c>
      <c r="E2562" s="67" t="s">
        <v>1362</v>
      </c>
      <c r="F2562" s="67" t="s">
        <v>1462</v>
      </c>
      <c r="G2562" s="69">
        <v>229</v>
      </c>
    </row>
    <row r="2563" spans="1:7">
      <c r="A2563" s="67" t="s">
        <v>4046</v>
      </c>
      <c r="B2563" s="70">
        <v>46241</v>
      </c>
      <c r="C2563" s="67" t="s">
        <v>1371</v>
      </c>
      <c r="D2563" s="67" t="s">
        <v>358</v>
      </c>
      <c r="E2563" s="67" t="s">
        <v>1368</v>
      </c>
      <c r="F2563" s="67" t="s">
        <v>1462</v>
      </c>
      <c r="G2563" s="69">
        <v>457</v>
      </c>
    </row>
    <row r="2564" spans="1:7">
      <c r="A2564" s="67" t="s">
        <v>4047</v>
      </c>
      <c r="B2564" s="70">
        <v>46241</v>
      </c>
      <c r="C2564" s="67" t="s">
        <v>1381</v>
      </c>
      <c r="D2564" s="67" t="s">
        <v>1551</v>
      </c>
      <c r="E2564" s="67" t="s">
        <v>1362</v>
      </c>
      <c r="F2564" s="67" t="s">
        <v>1462</v>
      </c>
      <c r="G2564" s="69">
        <v>218</v>
      </c>
    </row>
    <row r="2565" spans="1:7">
      <c r="A2565" s="67" t="s">
        <v>4048</v>
      </c>
      <c r="B2565" s="70">
        <v>46241</v>
      </c>
      <c r="C2565" s="67" t="s">
        <v>1404</v>
      </c>
      <c r="D2565" s="67" t="s">
        <v>353</v>
      </c>
      <c r="E2565" s="67" t="s">
        <v>1368</v>
      </c>
      <c r="F2565" s="67" t="s">
        <v>1462</v>
      </c>
      <c r="G2565" s="69">
        <v>234</v>
      </c>
    </row>
    <row r="2566" spans="1:7">
      <c r="A2566" s="67" t="s">
        <v>4049</v>
      </c>
      <c r="B2566" s="70">
        <v>46241</v>
      </c>
      <c r="C2566" s="67" t="s">
        <v>1404</v>
      </c>
      <c r="D2566" s="67" t="s">
        <v>356</v>
      </c>
      <c r="E2566" s="67" t="s">
        <v>1368</v>
      </c>
      <c r="F2566" s="67" t="s">
        <v>1462</v>
      </c>
      <c r="G2566" s="69">
        <v>467</v>
      </c>
    </row>
    <row r="2567" spans="1:7">
      <c r="A2567" s="67" t="s">
        <v>4050</v>
      </c>
      <c r="B2567" s="70">
        <v>46241</v>
      </c>
      <c r="C2567" s="67" t="s">
        <v>1404</v>
      </c>
      <c r="D2567" s="67" t="s">
        <v>356</v>
      </c>
      <c r="E2567" s="67" t="s">
        <v>1368</v>
      </c>
      <c r="F2567" s="67" t="s">
        <v>1462</v>
      </c>
      <c r="G2567" s="69">
        <v>357</v>
      </c>
    </row>
    <row r="2568" spans="1:7">
      <c r="A2568" s="67" t="s">
        <v>4051</v>
      </c>
      <c r="B2568" s="70">
        <v>46241</v>
      </c>
      <c r="C2568" s="67" t="s">
        <v>1404</v>
      </c>
      <c r="D2568" s="67" t="s">
        <v>356</v>
      </c>
      <c r="E2568" s="67" t="s">
        <v>1368</v>
      </c>
      <c r="F2568" s="67" t="s">
        <v>1460</v>
      </c>
      <c r="G2568" s="69">
        <v>26</v>
      </c>
    </row>
    <row r="2569" spans="1:7">
      <c r="A2569" s="67" t="s">
        <v>4052</v>
      </c>
      <c r="B2569" s="70">
        <v>46241</v>
      </c>
      <c r="C2569" s="67" t="s">
        <v>1404</v>
      </c>
      <c r="D2569" s="67" t="s">
        <v>1476</v>
      </c>
      <c r="E2569" s="67" t="s">
        <v>1362</v>
      </c>
      <c r="F2569" s="67" t="s">
        <v>1462</v>
      </c>
      <c r="G2569" s="69">
        <v>41</v>
      </c>
    </row>
    <row r="2570" spans="1:7">
      <c r="A2570" s="67" t="s">
        <v>4053</v>
      </c>
      <c r="B2570" s="70">
        <v>46241</v>
      </c>
      <c r="C2570" s="67" t="s">
        <v>1404</v>
      </c>
      <c r="D2570" s="67" t="s">
        <v>367</v>
      </c>
      <c r="E2570" s="67" t="s">
        <v>1368</v>
      </c>
      <c r="F2570" s="67" t="s">
        <v>1462</v>
      </c>
      <c r="G2570" s="69">
        <v>90</v>
      </c>
    </row>
    <row r="2571" spans="1:7">
      <c r="A2571" s="67" t="s">
        <v>4054</v>
      </c>
      <c r="B2571" s="70">
        <v>46241</v>
      </c>
      <c r="C2571" s="67" t="s">
        <v>1406</v>
      </c>
      <c r="D2571" s="67" t="s">
        <v>358</v>
      </c>
      <c r="E2571" s="67" t="s">
        <v>1368</v>
      </c>
      <c r="F2571" s="67" t="s">
        <v>1460</v>
      </c>
      <c r="G2571" s="69">
        <v>28</v>
      </c>
    </row>
    <row r="2572" spans="1:7">
      <c r="A2572" s="67" t="s">
        <v>4055</v>
      </c>
      <c r="B2572" s="70">
        <v>46241</v>
      </c>
      <c r="C2572" s="67" t="s">
        <v>1411</v>
      </c>
      <c r="D2572" s="67" t="s">
        <v>1506</v>
      </c>
      <c r="E2572" s="67" t="s">
        <v>1482</v>
      </c>
      <c r="F2572" s="67" t="s">
        <v>1462</v>
      </c>
      <c r="G2572" s="69">
        <v>167</v>
      </c>
    </row>
    <row r="2573" spans="1:7">
      <c r="A2573" s="67" t="s">
        <v>4056</v>
      </c>
      <c r="B2573" s="70">
        <v>46241</v>
      </c>
      <c r="C2573" s="67" t="s">
        <v>1411</v>
      </c>
      <c r="D2573" s="67" t="s">
        <v>1506</v>
      </c>
      <c r="E2573" s="67" t="s">
        <v>1482</v>
      </c>
      <c r="F2573" s="67" t="s">
        <v>1462</v>
      </c>
      <c r="G2573" s="69">
        <v>411</v>
      </c>
    </row>
    <row r="2574" spans="1:7">
      <c r="A2574" s="67" t="s">
        <v>4057</v>
      </c>
      <c r="B2574" s="70">
        <v>46241</v>
      </c>
      <c r="C2574" s="67" t="s">
        <v>1411</v>
      </c>
      <c r="D2574" s="67" t="s">
        <v>1481</v>
      </c>
      <c r="E2574" s="67" t="s">
        <v>1482</v>
      </c>
      <c r="F2574" s="67" t="s">
        <v>1462</v>
      </c>
      <c r="G2574" s="69">
        <v>431</v>
      </c>
    </row>
    <row r="2575" spans="1:7">
      <c r="A2575" s="67" t="s">
        <v>4058</v>
      </c>
      <c r="B2575" s="70">
        <v>46241</v>
      </c>
      <c r="C2575" s="67" t="s">
        <v>1411</v>
      </c>
      <c r="D2575" s="67" t="s">
        <v>1481</v>
      </c>
      <c r="E2575" s="67" t="s">
        <v>1482</v>
      </c>
      <c r="F2575" s="67" t="s">
        <v>1462</v>
      </c>
      <c r="G2575" s="69">
        <v>556</v>
      </c>
    </row>
    <row r="2576" spans="1:7">
      <c r="A2576" s="67" t="s">
        <v>4059</v>
      </c>
      <c r="B2576" s="70">
        <v>46241</v>
      </c>
      <c r="C2576" s="67" t="s">
        <v>1411</v>
      </c>
      <c r="D2576" s="67" t="s">
        <v>358</v>
      </c>
      <c r="E2576" s="67" t="s">
        <v>1368</v>
      </c>
      <c r="F2576" s="67" t="s">
        <v>1462</v>
      </c>
      <c r="G2576" s="69">
        <v>253</v>
      </c>
    </row>
    <row r="2577" spans="1:7">
      <c r="A2577" s="67" t="s">
        <v>4060</v>
      </c>
      <c r="B2577" s="70">
        <v>46241</v>
      </c>
      <c r="C2577" s="67" t="s">
        <v>1414</v>
      </c>
      <c r="D2577" s="67" t="s">
        <v>1484</v>
      </c>
      <c r="E2577" s="67" t="s">
        <v>1470</v>
      </c>
      <c r="F2577" s="67" t="s">
        <v>1462</v>
      </c>
      <c r="G2577" s="69">
        <v>495</v>
      </c>
    </row>
    <row r="2578" spans="1:7">
      <c r="A2578" s="67" t="s">
        <v>4061</v>
      </c>
      <c r="B2578" s="70">
        <v>46241</v>
      </c>
      <c r="C2578" s="67" t="s">
        <v>1414</v>
      </c>
      <c r="D2578" s="67" t="s">
        <v>1484</v>
      </c>
      <c r="E2578" s="67" t="s">
        <v>1470</v>
      </c>
      <c r="F2578" s="67" t="s">
        <v>1488</v>
      </c>
      <c r="G2578" s="69">
        <v>9</v>
      </c>
    </row>
    <row r="2579" spans="1:7">
      <c r="A2579" s="67" t="s">
        <v>4062</v>
      </c>
      <c r="B2579" s="70">
        <v>46241</v>
      </c>
      <c r="C2579" s="67" t="s">
        <v>1414</v>
      </c>
      <c r="D2579" s="67" t="s">
        <v>1484</v>
      </c>
      <c r="E2579" s="67" t="s">
        <v>1470</v>
      </c>
      <c r="F2579" s="67" t="s">
        <v>1462</v>
      </c>
      <c r="G2579" s="69">
        <v>520</v>
      </c>
    </row>
    <row r="2580" spans="1:7">
      <c r="A2580" s="67" t="s">
        <v>4063</v>
      </c>
      <c r="B2580" s="70">
        <v>46241</v>
      </c>
      <c r="C2580" s="67" t="s">
        <v>1414</v>
      </c>
      <c r="D2580" s="67" t="s">
        <v>1469</v>
      </c>
      <c r="E2580" s="67" t="s">
        <v>1470</v>
      </c>
      <c r="F2580" s="67" t="s">
        <v>1460</v>
      </c>
      <c r="G2580" s="69">
        <v>13</v>
      </c>
    </row>
    <row r="2581" spans="1:7">
      <c r="A2581" s="67" t="s">
        <v>4064</v>
      </c>
      <c r="B2581" s="70">
        <v>46241</v>
      </c>
      <c r="C2581" s="67" t="s">
        <v>1425</v>
      </c>
      <c r="D2581" s="67" t="s">
        <v>1607</v>
      </c>
      <c r="E2581" s="67" t="s">
        <v>1470</v>
      </c>
      <c r="F2581" s="67" t="s">
        <v>1462</v>
      </c>
      <c r="G2581" s="69">
        <v>226</v>
      </c>
    </row>
    <row r="2582" spans="1:7">
      <c r="A2582" s="67" t="s">
        <v>4065</v>
      </c>
      <c r="B2582" s="70">
        <v>46241</v>
      </c>
      <c r="C2582" s="67" t="s">
        <v>1425</v>
      </c>
      <c r="D2582" s="67" t="s">
        <v>1459</v>
      </c>
      <c r="E2582" s="67" t="s">
        <v>1362</v>
      </c>
      <c r="F2582" s="67" t="s">
        <v>1462</v>
      </c>
      <c r="G2582" s="69">
        <v>218</v>
      </c>
    </row>
    <row r="2583" spans="1:7">
      <c r="A2583" s="67" t="s">
        <v>4066</v>
      </c>
      <c r="B2583" s="70">
        <v>46241</v>
      </c>
      <c r="C2583" s="67" t="s">
        <v>1446</v>
      </c>
      <c r="D2583" s="67" t="s">
        <v>353</v>
      </c>
      <c r="E2583" s="67" t="s">
        <v>1368</v>
      </c>
      <c r="F2583" s="67" t="s">
        <v>1460</v>
      </c>
      <c r="G2583" s="69">
        <v>20</v>
      </c>
    </row>
    <row r="2584" spans="1:7">
      <c r="A2584" s="67" t="s">
        <v>4067</v>
      </c>
      <c r="B2584" s="70">
        <v>46241</v>
      </c>
      <c r="C2584" s="67" t="s">
        <v>1446</v>
      </c>
      <c r="D2584" s="67" t="s">
        <v>1476</v>
      </c>
      <c r="E2584" s="67" t="s">
        <v>1362</v>
      </c>
      <c r="F2584" s="67" t="s">
        <v>1462</v>
      </c>
      <c r="G2584" s="69">
        <v>274</v>
      </c>
    </row>
    <row r="2585" spans="1:7">
      <c r="A2585" s="67" t="s">
        <v>4068</v>
      </c>
      <c r="B2585" s="70">
        <v>46241</v>
      </c>
      <c r="C2585" s="67" t="s">
        <v>1446</v>
      </c>
      <c r="D2585" s="67" t="s">
        <v>1551</v>
      </c>
      <c r="E2585" s="67" t="s">
        <v>1362</v>
      </c>
      <c r="F2585" s="67" t="s">
        <v>1462</v>
      </c>
      <c r="G2585" s="69">
        <v>94</v>
      </c>
    </row>
    <row r="2586" spans="1:7">
      <c r="A2586" s="67" t="s">
        <v>4069</v>
      </c>
      <c r="B2586" s="70">
        <v>46242</v>
      </c>
      <c r="C2586" s="67" t="s">
        <v>1359</v>
      </c>
      <c r="D2586" s="67" t="s">
        <v>1476</v>
      </c>
      <c r="E2586" s="67" t="s">
        <v>1362</v>
      </c>
      <c r="F2586" s="67" t="s">
        <v>1460</v>
      </c>
      <c r="G2586" s="69">
        <v>29</v>
      </c>
    </row>
    <row r="2587" spans="1:7">
      <c r="A2587" s="67" t="s">
        <v>4070</v>
      </c>
      <c r="B2587" s="70">
        <v>46242</v>
      </c>
      <c r="C2587" s="67" t="s">
        <v>1359</v>
      </c>
      <c r="D2587" s="67" t="s">
        <v>1551</v>
      </c>
      <c r="E2587" s="67" t="s">
        <v>1362</v>
      </c>
      <c r="F2587" s="67" t="s">
        <v>1460</v>
      </c>
      <c r="G2587" s="69">
        <v>22</v>
      </c>
    </row>
    <row r="2588" spans="1:7">
      <c r="A2588" s="67" t="s">
        <v>4071</v>
      </c>
      <c r="B2588" s="70">
        <v>46242</v>
      </c>
      <c r="C2588" s="67" t="s">
        <v>1371</v>
      </c>
      <c r="D2588" s="67" t="s">
        <v>356</v>
      </c>
      <c r="E2588" s="67" t="s">
        <v>1368</v>
      </c>
      <c r="F2588" s="67" t="s">
        <v>1462</v>
      </c>
      <c r="G2588" s="69">
        <v>150</v>
      </c>
    </row>
    <row r="2589" spans="1:7">
      <c r="A2589" s="67" t="s">
        <v>4072</v>
      </c>
      <c r="B2589" s="70">
        <v>46242</v>
      </c>
      <c r="C2589" s="67" t="s">
        <v>1371</v>
      </c>
      <c r="D2589" s="67" t="s">
        <v>1466</v>
      </c>
      <c r="E2589" s="67" t="s">
        <v>1386</v>
      </c>
      <c r="F2589" s="67" t="s">
        <v>1462</v>
      </c>
      <c r="G2589" s="69">
        <v>27</v>
      </c>
    </row>
    <row r="2590" spans="1:7">
      <c r="A2590" s="67" t="s">
        <v>4073</v>
      </c>
      <c r="B2590" s="70">
        <v>46242</v>
      </c>
      <c r="C2590" s="67" t="s">
        <v>1371</v>
      </c>
      <c r="D2590" s="67" t="s">
        <v>1551</v>
      </c>
      <c r="E2590" s="67" t="s">
        <v>1362</v>
      </c>
      <c r="F2590" s="67" t="s">
        <v>1462</v>
      </c>
      <c r="G2590" s="69">
        <v>429</v>
      </c>
    </row>
    <row r="2591" spans="1:7">
      <c r="A2591" s="67" t="s">
        <v>4074</v>
      </c>
      <c r="B2591" s="70">
        <v>46242</v>
      </c>
      <c r="C2591" s="67" t="s">
        <v>1375</v>
      </c>
      <c r="D2591" s="67" t="s">
        <v>1491</v>
      </c>
      <c r="E2591" s="67" t="s">
        <v>1470</v>
      </c>
      <c r="F2591" s="67" t="s">
        <v>1462</v>
      </c>
      <c r="G2591" s="69">
        <v>399</v>
      </c>
    </row>
    <row r="2592" spans="1:7">
      <c r="A2592" s="67" t="s">
        <v>4075</v>
      </c>
      <c r="B2592" s="70">
        <v>46242</v>
      </c>
      <c r="C2592" s="67" t="s">
        <v>1378</v>
      </c>
      <c r="D2592" s="67" t="s">
        <v>369</v>
      </c>
      <c r="E2592" s="67" t="s">
        <v>1368</v>
      </c>
      <c r="F2592" s="67" t="s">
        <v>1460</v>
      </c>
      <c r="G2592" s="69">
        <v>15</v>
      </c>
    </row>
    <row r="2593" spans="1:7">
      <c r="A2593" s="67" t="s">
        <v>4076</v>
      </c>
      <c r="B2593" s="70">
        <v>46242</v>
      </c>
      <c r="C2593" s="67" t="s">
        <v>1381</v>
      </c>
      <c r="D2593" s="67" t="s">
        <v>353</v>
      </c>
      <c r="E2593" s="67" t="s">
        <v>1368</v>
      </c>
      <c r="F2593" s="67" t="s">
        <v>1460</v>
      </c>
      <c r="G2593" s="69">
        <v>15</v>
      </c>
    </row>
    <row r="2594" spans="1:7">
      <c r="A2594" s="67" t="s">
        <v>4077</v>
      </c>
      <c r="B2594" s="70">
        <v>46242</v>
      </c>
      <c r="C2594" s="67" t="s">
        <v>1381</v>
      </c>
      <c r="D2594" s="67" t="s">
        <v>1511</v>
      </c>
      <c r="E2594" s="67" t="s">
        <v>1470</v>
      </c>
      <c r="F2594" s="67" t="s">
        <v>1462</v>
      </c>
      <c r="G2594" s="69">
        <v>512</v>
      </c>
    </row>
    <row r="2595" spans="1:7">
      <c r="A2595" s="67" t="s">
        <v>4078</v>
      </c>
      <c r="B2595" s="70">
        <v>46242</v>
      </c>
      <c r="C2595" s="67" t="s">
        <v>1389</v>
      </c>
      <c r="D2595" s="67" t="s">
        <v>365</v>
      </c>
      <c r="E2595" s="67" t="s">
        <v>1368</v>
      </c>
      <c r="F2595" s="67" t="s">
        <v>1460</v>
      </c>
      <c r="G2595" s="69">
        <v>20</v>
      </c>
    </row>
    <row r="2596" spans="1:7">
      <c r="A2596" s="67" t="s">
        <v>4079</v>
      </c>
      <c r="B2596" s="70">
        <v>46242</v>
      </c>
      <c r="C2596" s="67" t="s">
        <v>1393</v>
      </c>
      <c r="D2596" s="67" t="s">
        <v>353</v>
      </c>
      <c r="E2596" s="67" t="s">
        <v>1368</v>
      </c>
      <c r="F2596" s="67" t="s">
        <v>1462</v>
      </c>
      <c r="G2596" s="69">
        <v>246</v>
      </c>
    </row>
    <row r="2597" spans="1:7">
      <c r="A2597" s="67" t="s">
        <v>4080</v>
      </c>
      <c r="B2597" s="70">
        <v>46242</v>
      </c>
      <c r="C2597" s="67" t="s">
        <v>1408</v>
      </c>
      <c r="D2597" s="67" t="s">
        <v>1479</v>
      </c>
      <c r="E2597" s="67" t="s">
        <v>1410</v>
      </c>
      <c r="F2597" s="67" t="s">
        <v>1462</v>
      </c>
      <c r="G2597" s="69">
        <v>233</v>
      </c>
    </row>
    <row r="2598" spans="1:7">
      <c r="A2598" s="67" t="s">
        <v>4081</v>
      </c>
      <c r="B2598" s="70">
        <v>46242</v>
      </c>
      <c r="C2598" s="67" t="s">
        <v>1411</v>
      </c>
      <c r="D2598" s="67" t="s">
        <v>1506</v>
      </c>
      <c r="E2598" s="67" t="s">
        <v>1482</v>
      </c>
      <c r="F2598" s="67" t="s">
        <v>1462</v>
      </c>
      <c r="G2598" s="69">
        <v>43</v>
      </c>
    </row>
    <row r="2599" spans="1:7">
      <c r="A2599" s="67" t="s">
        <v>4082</v>
      </c>
      <c r="B2599" s="70">
        <v>46242</v>
      </c>
      <c r="C2599" s="67" t="s">
        <v>1411</v>
      </c>
      <c r="D2599" s="67" t="s">
        <v>1481</v>
      </c>
      <c r="E2599" s="67" t="s">
        <v>1482</v>
      </c>
      <c r="F2599" s="67" t="s">
        <v>1462</v>
      </c>
      <c r="G2599" s="69">
        <v>98</v>
      </c>
    </row>
    <row r="2600" spans="1:7">
      <c r="A2600" s="67" t="s">
        <v>4083</v>
      </c>
      <c r="B2600" s="70">
        <v>46242</v>
      </c>
      <c r="C2600" s="67" t="s">
        <v>1414</v>
      </c>
      <c r="D2600" s="67" t="s">
        <v>1484</v>
      </c>
      <c r="E2600" s="67" t="s">
        <v>1470</v>
      </c>
      <c r="F2600" s="67" t="s">
        <v>1462</v>
      </c>
      <c r="G2600" s="69">
        <v>217</v>
      </c>
    </row>
    <row r="2601" spans="1:7">
      <c r="A2601" s="67" t="s">
        <v>4084</v>
      </c>
      <c r="B2601" s="70">
        <v>46242</v>
      </c>
      <c r="C2601" s="67" t="s">
        <v>1414</v>
      </c>
      <c r="D2601" s="67" t="s">
        <v>1491</v>
      </c>
      <c r="E2601" s="67" t="s">
        <v>1470</v>
      </c>
      <c r="F2601" s="67" t="s">
        <v>1462</v>
      </c>
      <c r="G2601" s="69">
        <v>303</v>
      </c>
    </row>
    <row r="2602" spans="1:7">
      <c r="A2602" s="67" t="s">
        <v>4085</v>
      </c>
      <c r="B2602" s="70">
        <v>46242</v>
      </c>
      <c r="C2602" s="67" t="s">
        <v>1414</v>
      </c>
      <c r="D2602" s="67" t="s">
        <v>1491</v>
      </c>
      <c r="E2602" s="67" t="s">
        <v>1470</v>
      </c>
      <c r="F2602" s="67" t="s">
        <v>1462</v>
      </c>
      <c r="G2602" s="69">
        <v>474</v>
      </c>
    </row>
    <row r="2603" spans="1:7">
      <c r="A2603" s="67" t="s">
        <v>4086</v>
      </c>
      <c r="B2603" s="70">
        <v>46242</v>
      </c>
      <c r="C2603" s="67" t="s">
        <v>1421</v>
      </c>
      <c r="D2603" s="67" t="s">
        <v>1582</v>
      </c>
      <c r="E2603" s="67" t="s">
        <v>5</v>
      </c>
      <c r="F2603" s="67" t="s">
        <v>1462</v>
      </c>
      <c r="G2603" s="69">
        <v>143</v>
      </c>
    </row>
    <row r="2604" spans="1:7">
      <c r="A2604" s="67" t="s">
        <v>4087</v>
      </c>
      <c r="B2604" s="70">
        <v>46242</v>
      </c>
      <c r="C2604" s="67" t="s">
        <v>1429</v>
      </c>
      <c r="D2604" s="67" t="s">
        <v>363</v>
      </c>
      <c r="E2604" s="67" t="s">
        <v>1368</v>
      </c>
      <c r="F2604" s="67" t="s">
        <v>1462</v>
      </c>
      <c r="G2604" s="69">
        <v>433</v>
      </c>
    </row>
    <row r="2605" spans="1:7">
      <c r="A2605" s="67" t="s">
        <v>4088</v>
      </c>
      <c r="B2605" s="70">
        <v>46242</v>
      </c>
      <c r="C2605" s="67" t="s">
        <v>1444</v>
      </c>
      <c r="D2605" s="67" t="s">
        <v>1466</v>
      </c>
      <c r="E2605" s="67" t="s">
        <v>1386</v>
      </c>
      <c r="F2605" s="67" t="s">
        <v>1462</v>
      </c>
      <c r="G2605" s="69">
        <v>583</v>
      </c>
    </row>
    <row r="2606" spans="1:7">
      <c r="A2606" s="67" t="s">
        <v>4089</v>
      </c>
      <c r="B2606" s="70">
        <v>46242</v>
      </c>
      <c r="C2606" s="67" t="s">
        <v>1446</v>
      </c>
      <c r="D2606" s="67" t="s">
        <v>353</v>
      </c>
      <c r="E2606" s="67" t="s">
        <v>1368</v>
      </c>
      <c r="F2606" s="67" t="s">
        <v>1462</v>
      </c>
      <c r="G2606" s="69">
        <v>145</v>
      </c>
    </row>
    <row r="2607" spans="1:7">
      <c r="A2607" s="67" t="s">
        <v>4090</v>
      </c>
      <c r="B2607" s="70">
        <v>46242</v>
      </c>
      <c r="C2607" s="67" t="s">
        <v>1446</v>
      </c>
      <c r="D2607" s="67" t="s">
        <v>1476</v>
      </c>
      <c r="E2607" s="67" t="s">
        <v>1362</v>
      </c>
      <c r="F2607" s="67" t="s">
        <v>1462</v>
      </c>
      <c r="G2607" s="69">
        <v>201</v>
      </c>
    </row>
    <row r="2608" spans="1:7">
      <c r="A2608" s="67" t="s">
        <v>4091</v>
      </c>
      <c r="B2608" s="70">
        <v>46243</v>
      </c>
      <c r="C2608" s="67" t="s">
        <v>1371</v>
      </c>
      <c r="D2608" s="67" t="s">
        <v>1476</v>
      </c>
      <c r="E2608" s="67" t="s">
        <v>1362</v>
      </c>
      <c r="F2608" s="67" t="s">
        <v>1462</v>
      </c>
      <c r="G2608" s="69">
        <v>37</v>
      </c>
    </row>
    <row r="2609" spans="1:7">
      <c r="A2609" s="67" t="s">
        <v>4092</v>
      </c>
      <c r="B2609" s="70">
        <v>46243</v>
      </c>
      <c r="C2609" s="67" t="s">
        <v>1378</v>
      </c>
      <c r="D2609" s="67" t="s">
        <v>369</v>
      </c>
      <c r="E2609" s="67" t="s">
        <v>1368</v>
      </c>
      <c r="F2609" s="67" t="s">
        <v>1488</v>
      </c>
      <c r="G2609" s="69">
        <v>8</v>
      </c>
    </row>
    <row r="2610" spans="1:7">
      <c r="A2610" s="67" t="s">
        <v>4093</v>
      </c>
      <c r="B2610" s="70">
        <v>46243</v>
      </c>
      <c r="C2610" s="67" t="s">
        <v>1381</v>
      </c>
      <c r="D2610" s="67" t="s">
        <v>356</v>
      </c>
      <c r="E2610" s="67" t="s">
        <v>1368</v>
      </c>
      <c r="F2610" s="67" t="s">
        <v>1462</v>
      </c>
      <c r="G2610" s="69">
        <v>49</v>
      </c>
    </row>
    <row r="2611" spans="1:7">
      <c r="A2611" s="67" t="s">
        <v>4094</v>
      </c>
      <c r="B2611" s="70">
        <v>46243</v>
      </c>
      <c r="C2611" s="67" t="s">
        <v>1381</v>
      </c>
      <c r="D2611" s="67" t="s">
        <v>369</v>
      </c>
      <c r="E2611" s="67" t="s">
        <v>1368</v>
      </c>
      <c r="F2611" s="67" t="s">
        <v>1462</v>
      </c>
      <c r="G2611" s="69">
        <v>126</v>
      </c>
    </row>
    <row r="2612" spans="1:7">
      <c r="A2612" s="67" t="s">
        <v>4095</v>
      </c>
      <c r="B2612" s="70">
        <v>46243</v>
      </c>
      <c r="C2612" s="67" t="s">
        <v>1384</v>
      </c>
      <c r="D2612" s="67" t="s">
        <v>1602</v>
      </c>
      <c r="E2612" s="67" t="s">
        <v>1386</v>
      </c>
      <c r="F2612" s="67" t="s">
        <v>1460</v>
      </c>
      <c r="G2612" s="69">
        <v>5</v>
      </c>
    </row>
    <row r="2613" spans="1:7">
      <c r="A2613" s="67" t="s">
        <v>4096</v>
      </c>
      <c r="B2613" s="70">
        <v>46243</v>
      </c>
      <c r="C2613" s="67" t="s">
        <v>1397</v>
      </c>
      <c r="D2613" s="67" t="s">
        <v>356</v>
      </c>
      <c r="E2613" s="67" t="s">
        <v>1368</v>
      </c>
      <c r="F2613" s="67" t="s">
        <v>1462</v>
      </c>
      <c r="G2613" s="69">
        <v>368</v>
      </c>
    </row>
    <row r="2614" spans="1:7">
      <c r="A2614" s="67" t="s">
        <v>4097</v>
      </c>
      <c r="B2614" s="70">
        <v>46243</v>
      </c>
      <c r="C2614" s="67" t="s">
        <v>1399</v>
      </c>
      <c r="D2614" s="67" t="s">
        <v>365</v>
      </c>
      <c r="E2614" s="67" t="s">
        <v>1368</v>
      </c>
      <c r="F2614" s="67" t="s">
        <v>1462</v>
      </c>
      <c r="G2614" s="69">
        <v>446</v>
      </c>
    </row>
    <row r="2615" spans="1:7">
      <c r="A2615" s="67" t="s">
        <v>4098</v>
      </c>
      <c r="B2615" s="70">
        <v>46243</v>
      </c>
      <c r="C2615" s="67" t="s">
        <v>1399</v>
      </c>
      <c r="D2615" s="67" t="s">
        <v>1466</v>
      </c>
      <c r="E2615" s="67" t="s">
        <v>1386</v>
      </c>
      <c r="F2615" s="67" t="s">
        <v>1462</v>
      </c>
      <c r="G2615" s="69">
        <v>122</v>
      </c>
    </row>
    <row r="2616" spans="1:7">
      <c r="A2616" s="67" t="s">
        <v>4099</v>
      </c>
      <c r="B2616" s="70">
        <v>46243</v>
      </c>
      <c r="C2616" s="67" t="s">
        <v>1404</v>
      </c>
      <c r="D2616" s="67" t="s">
        <v>353</v>
      </c>
      <c r="E2616" s="67" t="s">
        <v>1368</v>
      </c>
      <c r="F2616" s="67" t="s">
        <v>1462</v>
      </c>
      <c r="G2616" s="69">
        <v>360</v>
      </c>
    </row>
    <row r="2617" spans="1:7">
      <c r="A2617" s="67" t="s">
        <v>4100</v>
      </c>
      <c r="B2617" s="70">
        <v>46243</v>
      </c>
      <c r="C2617" s="67" t="s">
        <v>1404</v>
      </c>
      <c r="D2617" s="67" t="s">
        <v>1511</v>
      </c>
      <c r="E2617" s="67" t="s">
        <v>1470</v>
      </c>
      <c r="F2617" s="67" t="s">
        <v>1462</v>
      </c>
      <c r="G2617" s="69">
        <v>290</v>
      </c>
    </row>
    <row r="2618" spans="1:7">
      <c r="A2618" s="67" t="s">
        <v>4101</v>
      </c>
      <c r="B2618" s="70">
        <v>46243</v>
      </c>
      <c r="C2618" s="67" t="s">
        <v>1404</v>
      </c>
      <c r="D2618" s="67" t="s">
        <v>1484</v>
      </c>
      <c r="E2618" s="67" t="s">
        <v>1470</v>
      </c>
      <c r="F2618" s="67" t="s">
        <v>1462</v>
      </c>
      <c r="G2618" s="69">
        <v>562</v>
      </c>
    </row>
    <row r="2619" spans="1:7">
      <c r="A2619" s="67" t="s">
        <v>4102</v>
      </c>
      <c r="B2619" s="70">
        <v>46243</v>
      </c>
      <c r="C2619" s="67" t="s">
        <v>1404</v>
      </c>
      <c r="D2619" s="67" t="s">
        <v>1476</v>
      </c>
      <c r="E2619" s="67" t="s">
        <v>1362</v>
      </c>
      <c r="F2619" s="67" t="s">
        <v>1488</v>
      </c>
      <c r="G2619" s="69">
        <v>10</v>
      </c>
    </row>
    <row r="2620" spans="1:7">
      <c r="A2620" s="67" t="s">
        <v>4103</v>
      </c>
      <c r="B2620" s="70">
        <v>46243</v>
      </c>
      <c r="C2620" s="67" t="s">
        <v>1411</v>
      </c>
      <c r="D2620" s="67" t="s">
        <v>356</v>
      </c>
      <c r="E2620" s="67" t="s">
        <v>1368</v>
      </c>
      <c r="F2620" s="67" t="s">
        <v>1462</v>
      </c>
      <c r="G2620" s="69">
        <v>223</v>
      </c>
    </row>
    <row r="2621" spans="1:7">
      <c r="A2621" s="67" t="s">
        <v>4104</v>
      </c>
      <c r="B2621" s="70">
        <v>46243</v>
      </c>
      <c r="C2621" s="67" t="s">
        <v>1414</v>
      </c>
      <c r="D2621" s="67" t="s">
        <v>1511</v>
      </c>
      <c r="E2621" s="67" t="s">
        <v>1470</v>
      </c>
      <c r="F2621" s="67" t="s">
        <v>1460</v>
      </c>
      <c r="G2621" s="69">
        <v>15</v>
      </c>
    </row>
    <row r="2622" spans="1:7">
      <c r="A2622" s="67" t="s">
        <v>4105</v>
      </c>
      <c r="B2622" s="70">
        <v>46243</v>
      </c>
      <c r="C2622" s="67" t="s">
        <v>1414</v>
      </c>
      <c r="D2622" s="67" t="s">
        <v>1551</v>
      </c>
      <c r="E2622" s="67" t="s">
        <v>1362</v>
      </c>
      <c r="F2622" s="67" t="s">
        <v>1460</v>
      </c>
      <c r="G2622" s="69">
        <v>24</v>
      </c>
    </row>
    <row r="2623" spans="1:7">
      <c r="A2623" s="67" t="s">
        <v>4106</v>
      </c>
      <c r="B2623" s="70">
        <v>46243</v>
      </c>
      <c r="C2623" s="67" t="s">
        <v>1421</v>
      </c>
      <c r="D2623" s="67" t="s">
        <v>1582</v>
      </c>
      <c r="E2623" s="67" t="s">
        <v>5</v>
      </c>
      <c r="F2623" s="67" t="s">
        <v>1460</v>
      </c>
      <c r="G2623" s="69">
        <v>16</v>
      </c>
    </row>
    <row r="2624" spans="1:7">
      <c r="A2624" s="67" t="s">
        <v>4107</v>
      </c>
      <c r="B2624" s="70">
        <v>46243</v>
      </c>
      <c r="C2624" s="67" t="s">
        <v>1425</v>
      </c>
      <c r="D2624" s="67" t="s">
        <v>1484</v>
      </c>
      <c r="E2624" s="67" t="s">
        <v>1470</v>
      </c>
      <c r="F2624" s="67" t="s">
        <v>1462</v>
      </c>
      <c r="G2624" s="69">
        <v>185</v>
      </c>
    </row>
    <row r="2625" spans="1:7">
      <c r="A2625" s="67" t="s">
        <v>4108</v>
      </c>
      <c r="B2625" s="70">
        <v>46243</v>
      </c>
      <c r="C2625" s="67" t="s">
        <v>1444</v>
      </c>
      <c r="D2625" s="67" t="s">
        <v>353</v>
      </c>
      <c r="E2625" s="67" t="s">
        <v>1368</v>
      </c>
      <c r="F2625" s="67" t="s">
        <v>1462</v>
      </c>
      <c r="G2625" s="69">
        <v>478</v>
      </c>
    </row>
    <row r="2626" spans="1:7">
      <c r="A2626" s="67" t="s">
        <v>4109</v>
      </c>
      <c r="B2626" s="70">
        <v>46243</v>
      </c>
      <c r="C2626" s="67" t="s">
        <v>1448</v>
      </c>
      <c r="D2626" s="67" t="s">
        <v>1520</v>
      </c>
      <c r="E2626" s="67" t="s">
        <v>1433</v>
      </c>
      <c r="F2626" s="67" t="s">
        <v>1488</v>
      </c>
      <c r="G2626" s="69">
        <v>7</v>
      </c>
    </row>
    <row r="2627" spans="1:7">
      <c r="A2627" s="67" t="s">
        <v>4110</v>
      </c>
      <c r="B2627" s="70">
        <v>46244</v>
      </c>
      <c r="C2627" s="67" t="s">
        <v>1366</v>
      </c>
      <c r="D2627" s="67" t="s">
        <v>365</v>
      </c>
      <c r="E2627" s="67" t="s">
        <v>1368</v>
      </c>
      <c r="F2627" s="67" t="s">
        <v>1462</v>
      </c>
      <c r="G2627" s="69">
        <v>567</v>
      </c>
    </row>
    <row r="2628" spans="1:7">
      <c r="A2628" s="67" t="s">
        <v>4111</v>
      </c>
      <c r="B2628" s="70">
        <v>46244</v>
      </c>
      <c r="C2628" s="67" t="s">
        <v>1381</v>
      </c>
      <c r="D2628" s="67" t="s">
        <v>363</v>
      </c>
      <c r="E2628" s="67" t="s">
        <v>1368</v>
      </c>
      <c r="F2628" s="67" t="s">
        <v>1462</v>
      </c>
      <c r="G2628" s="69">
        <v>437</v>
      </c>
    </row>
    <row r="2629" spans="1:7">
      <c r="A2629" s="67" t="s">
        <v>4112</v>
      </c>
      <c r="B2629" s="70">
        <v>46244</v>
      </c>
      <c r="C2629" s="67" t="s">
        <v>1384</v>
      </c>
      <c r="D2629" s="67" t="s">
        <v>1466</v>
      </c>
      <c r="E2629" s="67" t="s">
        <v>1386</v>
      </c>
      <c r="F2629" s="67" t="s">
        <v>1462</v>
      </c>
      <c r="G2629" s="69">
        <v>105</v>
      </c>
    </row>
    <row r="2630" spans="1:7">
      <c r="A2630" s="67" t="s">
        <v>4113</v>
      </c>
      <c r="B2630" s="70">
        <v>46244</v>
      </c>
      <c r="C2630" s="67" t="s">
        <v>1384</v>
      </c>
      <c r="D2630" s="67" t="s">
        <v>1459</v>
      </c>
      <c r="E2630" s="67" t="s">
        <v>1362</v>
      </c>
      <c r="F2630" s="67" t="s">
        <v>1462</v>
      </c>
      <c r="G2630" s="69">
        <v>76</v>
      </c>
    </row>
    <row r="2631" spans="1:7">
      <c r="A2631" s="67" t="s">
        <v>4114</v>
      </c>
      <c r="B2631" s="70">
        <v>46244</v>
      </c>
      <c r="C2631" s="67" t="s">
        <v>1393</v>
      </c>
      <c r="D2631" s="67" t="s">
        <v>363</v>
      </c>
      <c r="E2631" s="67" t="s">
        <v>1368</v>
      </c>
      <c r="F2631" s="67" t="s">
        <v>1462</v>
      </c>
      <c r="G2631" s="69">
        <v>380</v>
      </c>
    </row>
    <row r="2632" spans="1:7">
      <c r="A2632" s="67" t="s">
        <v>4115</v>
      </c>
      <c r="B2632" s="70">
        <v>46244</v>
      </c>
      <c r="C2632" s="67" t="s">
        <v>1404</v>
      </c>
      <c r="D2632" s="67" t="s">
        <v>356</v>
      </c>
      <c r="E2632" s="67" t="s">
        <v>1368</v>
      </c>
      <c r="F2632" s="67" t="s">
        <v>1462</v>
      </c>
      <c r="G2632" s="69">
        <v>330</v>
      </c>
    </row>
    <row r="2633" spans="1:7">
      <c r="A2633" s="67" t="s">
        <v>4116</v>
      </c>
      <c r="B2633" s="70">
        <v>46244</v>
      </c>
      <c r="C2633" s="67" t="s">
        <v>1406</v>
      </c>
      <c r="D2633" s="67" t="s">
        <v>353</v>
      </c>
      <c r="E2633" s="67" t="s">
        <v>1368</v>
      </c>
      <c r="F2633" s="67" t="s">
        <v>1460</v>
      </c>
      <c r="G2633" s="69">
        <v>27</v>
      </c>
    </row>
    <row r="2634" spans="1:7">
      <c r="A2634" s="67" t="s">
        <v>4117</v>
      </c>
      <c r="B2634" s="70">
        <v>46244</v>
      </c>
      <c r="C2634" s="67" t="s">
        <v>1406</v>
      </c>
      <c r="D2634" s="67" t="s">
        <v>369</v>
      </c>
      <c r="E2634" s="67" t="s">
        <v>1368</v>
      </c>
      <c r="F2634" s="67" t="s">
        <v>1460</v>
      </c>
      <c r="G2634" s="69">
        <v>28</v>
      </c>
    </row>
    <row r="2635" spans="1:7">
      <c r="A2635" s="67" t="s">
        <v>4118</v>
      </c>
      <c r="B2635" s="70">
        <v>46244</v>
      </c>
      <c r="C2635" s="67" t="s">
        <v>1408</v>
      </c>
      <c r="D2635" s="67" t="s">
        <v>1487</v>
      </c>
      <c r="E2635" s="67" t="s">
        <v>1410</v>
      </c>
      <c r="F2635" s="67" t="s">
        <v>1462</v>
      </c>
      <c r="G2635" s="69">
        <v>302</v>
      </c>
    </row>
    <row r="2636" spans="1:7">
      <c r="A2636" s="67" t="s">
        <v>4119</v>
      </c>
      <c r="B2636" s="70">
        <v>46244</v>
      </c>
      <c r="C2636" s="67" t="s">
        <v>1411</v>
      </c>
      <c r="D2636" s="67" t="s">
        <v>363</v>
      </c>
      <c r="E2636" s="67" t="s">
        <v>1368</v>
      </c>
      <c r="F2636" s="67" t="s">
        <v>1462</v>
      </c>
      <c r="G2636" s="69">
        <v>505</v>
      </c>
    </row>
    <row r="2637" spans="1:7">
      <c r="A2637" s="67" t="s">
        <v>4120</v>
      </c>
      <c r="B2637" s="70">
        <v>46244</v>
      </c>
      <c r="C2637" s="67" t="s">
        <v>1411</v>
      </c>
      <c r="D2637" s="67" t="s">
        <v>1506</v>
      </c>
      <c r="E2637" s="67" t="s">
        <v>1482</v>
      </c>
      <c r="F2637" s="67" t="s">
        <v>1462</v>
      </c>
      <c r="G2637" s="69">
        <v>553</v>
      </c>
    </row>
    <row r="2638" spans="1:7">
      <c r="A2638" s="67" t="s">
        <v>4121</v>
      </c>
      <c r="B2638" s="70">
        <v>46244</v>
      </c>
      <c r="C2638" s="67" t="s">
        <v>1411</v>
      </c>
      <c r="D2638" s="67" t="s">
        <v>1481</v>
      </c>
      <c r="E2638" s="67" t="s">
        <v>1482</v>
      </c>
      <c r="F2638" s="67" t="s">
        <v>1462</v>
      </c>
      <c r="G2638" s="69">
        <v>379</v>
      </c>
    </row>
    <row r="2639" spans="1:7">
      <c r="A2639" s="67" t="s">
        <v>4122</v>
      </c>
      <c r="B2639" s="70">
        <v>46244</v>
      </c>
      <c r="C2639" s="67" t="s">
        <v>1411</v>
      </c>
      <c r="D2639" s="67" t="s">
        <v>1481</v>
      </c>
      <c r="E2639" s="67" t="s">
        <v>1482</v>
      </c>
      <c r="F2639" s="67" t="s">
        <v>1488</v>
      </c>
      <c r="G2639" s="69">
        <v>8</v>
      </c>
    </row>
    <row r="2640" spans="1:7">
      <c r="A2640" s="67" t="s">
        <v>4123</v>
      </c>
      <c r="B2640" s="70">
        <v>46244</v>
      </c>
      <c r="C2640" s="67" t="s">
        <v>1423</v>
      </c>
      <c r="D2640" s="67" t="s">
        <v>1487</v>
      </c>
      <c r="E2640" s="67" t="s">
        <v>1410</v>
      </c>
      <c r="F2640" s="67" t="s">
        <v>1462</v>
      </c>
      <c r="G2640" s="69">
        <v>347</v>
      </c>
    </row>
    <row r="2641" spans="1:7">
      <c r="A2641" s="67" t="s">
        <v>4124</v>
      </c>
      <c r="B2641" s="70">
        <v>46244</v>
      </c>
      <c r="C2641" s="67" t="s">
        <v>1423</v>
      </c>
      <c r="D2641" s="67" t="s">
        <v>363</v>
      </c>
      <c r="E2641" s="67" t="s">
        <v>1368</v>
      </c>
      <c r="F2641" s="67" t="s">
        <v>1462</v>
      </c>
      <c r="G2641" s="69">
        <v>221</v>
      </c>
    </row>
    <row r="2642" spans="1:7">
      <c r="A2642" s="67" t="s">
        <v>4125</v>
      </c>
      <c r="B2642" s="70">
        <v>46244</v>
      </c>
      <c r="C2642" s="67" t="s">
        <v>1429</v>
      </c>
      <c r="D2642" s="67" t="s">
        <v>353</v>
      </c>
      <c r="E2642" s="67" t="s">
        <v>1368</v>
      </c>
      <c r="F2642" s="67" t="s">
        <v>1462</v>
      </c>
      <c r="G2642" s="69">
        <v>466</v>
      </c>
    </row>
    <row r="2643" spans="1:7">
      <c r="A2643" s="67" t="s">
        <v>4126</v>
      </c>
      <c r="B2643" s="70">
        <v>46245</v>
      </c>
      <c r="C2643" s="67" t="s">
        <v>1359</v>
      </c>
      <c r="D2643" s="67" t="s">
        <v>367</v>
      </c>
      <c r="E2643" s="67" t="s">
        <v>1368</v>
      </c>
      <c r="F2643" s="67" t="s">
        <v>1462</v>
      </c>
      <c r="G2643" s="69">
        <v>425</v>
      </c>
    </row>
    <row r="2644" spans="1:7">
      <c r="A2644" s="67" t="s">
        <v>4127</v>
      </c>
      <c r="B2644" s="70">
        <v>46245</v>
      </c>
      <c r="C2644" s="67" t="s">
        <v>1366</v>
      </c>
      <c r="D2644" s="67" t="s">
        <v>356</v>
      </c>
      <c r="E2644" s="67" t="s">
        <v>1368</v>
      </c>
      <c r="F2644" s="67" t="s">
        <v>1460</v>
      </c>
      <c r="G2644" s="69">
        <v>25</v>
      </c>
    </row>
    <row r="2645" spans="1:7">
      <c r="A2645" s="67" t="s">
        <v>4128</v>
      </c>
      <c r="B2645" s="70">
        <v>46245</v>
      </c>
      <c r="C2645" s="67" t="s">
        <v>1366</v>
      </c>
      <c r="D2645" s="67" t="s">
        <v>369</v>
      </c>
      <c r="E2645" s="67" t="s">
        <v>1368</v>
      </c>
      <c r="F2645" s="67" t="s">
        <v>1462</v>
      </c>
      <c r="G2645" s="69">
        <v>515</v>
      </c>
    </row>
    <row r="2646" spans="1:7">
      <c r="A2646" s="67" t="s">
        <v>4129</v>
      </c>
      <c r="B2646" s="70">
        <v>46245</v>
      </c>
      <c r="C2646" s="67" t="s">
        <v>1371</v>
      </c>
      <c r="D2646" s="67" t="s">
        <v>1466</v>
      </c>
      <c r="E2646" s="67" t="s">
        <v>1386</v>
      </c>
      <c r="F2646" s="67" t="s">
        <v>1462</v>
      </c>
      <c r="G2646" s="69">
        <v>320</v>
      </c>
    </row>
    <row r="2647" spans="1:7">
      <c r="A2647" s="67" t="s">
        <v>4130</v>
      </c>
      <c r="B2647" s="70">
        <v>46245</v>
      </c>
      <c r="C2647" s="67" t="s">
        <v>1375</v>
      </c>
      <c r="D2647" s="67" t="s">
        <v>360</v>
      </c>
      <c r="E2647" s="67" t="s">
        <v>1368</v>
      </c>
      <c r="F2647" s="67" t="s">
        <v>1462</v>
      </c>
      <c r="G2647" s="69">
        <v>462</v>
      </c>
    </row>
    <row r="2648" spans="1:7">
      <c r="A2648" s="67" t="s">
        <v>4131</v>
      </c>
      <c r="B2648" s="70">
        <v>46245</v>
      </c>
      <c r="C2648" s="67" t="s">
        <v>1381</v>
      </c>
      <c r="D2648" s="67" t="s">
        <v>363</v>
      </c>
      <c r="E2648" s="67" t="s">
        <v>1368</v>
      </c>
      <c r="F2648" s="67" t="s">
        <v>1460</v>
      </c>
      <c r="G2648" s="69">
        <v>15</v>
      </c>
    </row>
    <row r="2649" spans="1:7">
      <c r="A2649" s="67" t="s">
        <v>4132</v>
      </c>
      <c r="B2649" s="70">
        <v>46245</v>
      </c>
      <c r="C2649" s="67" t="s">
        <v>1381</v>
      </c>
      <c r="D2649" s="67" t="s">
        <v>358</v>
      </c>
      <c r="E2649" s="67" t="s">
        <v>1368</v>
      </c>
      <c r="F2649" s="67" t="s">
        <v>1462</v>
      </c>
      <c r="G2649" s="69">
        <v>278</v>
      </c>
    </row>
    <row r="2650" spans="1:7">
      <c r="A2650" s="67" t="s">
        <v>4133</v>
      </c>
      <c r="B2650" s="70">
        <v>46245</v>
      </c>
      <c r="C2650" s="67" t="s">
        <v>1393</v>
      </c>
      <c r="D2650" s="67" t="s">
        <v>1618</v>
      </c>
      <c r="E2650" s="67" t="s">
        <v>1433</v>
      </c>
      <c r="F2650" s="67" t="s">
        <v>1460</v>
      </c>
      <c r="G2650" s="69">
        <v>11</v>
      </c>
    </row>
    <row r="2651" spans="1:7">
      <c r="A2651" s="67" t="s">
        <v>4134</v>
      </c>
      <c r="B2651" s="70">
        <v>46245</v>
      </c>
      <c r="C2651" s="67" t="s">
        <v>1399</v>
      </c>
      <c r="D2651" s="67" t="s">
        <v>369</v>
      </c>
      <c r="E2651" s="67" t="s">
        <v>1368</v>
      </c>
      <c r="F2651" s="67" t="s">
        <v>1460</v>
      </c>
      <c r="G2651" s="69">
        <v>5</v>
      </c>
    </row>
    <row r="2652" spans="1:7">
      <c r="A2652" s="67" t="s">
        <v>4135</v>
      </c>
      <c r="B2652" s="70">
        <v>46245</v>
      </c>
      <c r="C2652" s="67" t="s">
        <v>1399</v>
      </c>
      <c r="D2652" s="67" t="s">
        <v>1466</v>
      </c>
      <c r="E2652" s="67" t="s">
        <v>1386</v>
      </c>
      <c r="F2652" s="67" t="s">
        <v>1460</v>
      </c>
      <c r="G2652" s="69">
        <v>23</v>
      </c>
    </row>
    <row r="2653" spans="1:7">
      <c r="A2653" s="67" t="s">
        <v>4136</v>
      </c>
      <c r="B2653" s="70">
        <v>46245</v>
      </c>
      <c r="C2653" s="67" t="s">
        <v>1399</v>
      </c>
      <c r="D2653" s="67" t="s">
        <v>1459</v>
      </c>
      <c r="E2653" s="67" t="s">
        <v>1362</v>
      </c>
      <c r="F2653" s="67" t="s">
        <v>1460</v>
      </c>
      <c r="G2653" s="69">
        <v>7</v>
      </c>
    </row>
    <row r="2654" spans="1:7">
      <c r="A2654" s="67" t="s">
        <v>4137</v>
      </c>
      <c r="B2654" s="70">
        <v>46245</v>
      </c>
      <c r="C2654" s="67" t="s">
        <v>1404</v>
      </c>
      <c r="D2654" s="67" t="s">
        <v>363</v>
      </c>
      <c r="E2654" s="67" t="s">
        <v>1368</v>
      </c>
      <c r="F2654" s="67" t="s">
        <v>1462</v>
      </c>
      <c r="G2654" s="69">
        <v>288</v>
      </c>
    </row>
    <row r="2655" spans="1:7">
      <c r="A2655" s="67" t="s">
        <v>4138</v>
      </c>
      <c r="B2655" s="70">
        <v>46245</v>
      </c>
      <c r="C2655" s="67" t="s">
        <v>1406</v>
      </c>
      <c r="D2655" s="67" t="s">
        <v>1476</v>
      </c>
      <c r="E2655" s="67" t="s">
        <v>1362</v>
      </c>
      <c r="F2655" s="67" t="s">
        <v>1462</v>
      </c>
      <c r="G2655" s="69">
        <v>596</v>
      </c>
    </row>
    <row r="2656" spans="1:7">
      <c r="A2656" s="67" t="s">
        <v>4139</v>
      </c>
      <c r="B2656" s="70">
        <v>46245</v>
      </c>
      <c r="C2656" s="67" t="s">
        <v>1411</v>
      </c>
      <c r="D2656" s="67" t="s">
        <v>1506</v>
      </c>
      <c r="E2656" s="67" t="s">
        <v>1482</v>
      </c>
      <c r="F2656" s="67" t="s">
        <v>1462</v>
      </c>
      <c r="G2656" s="69">
        <v>495</v>
      </c>
    </row>
    <row r="2657" spans="1:7">
      <c r="A2657" s="67" t="s">
        <v>4140</v>
      </c>
      <c r="B2657" s="70">
        <v>46245</v>
      </c>
      <c r="C2657" s="67" t="s">
        <v>1414</v>
      </c>
      <c r="D2657" s="67" t="s">
        <v>1511</v>
      </c>
      <c r="E2657" s="67" t="s">
        <v>1470</v>
      </c>
      <c r="F2657" s="67" t="s">
        <v>1462</v>
      </c>
      <c r="G2657" s="69">
        <v>459</v>
      </c>
    </row>
    <row r="2658" spans="1:7">
      <c r="A2658" s="67" t="s">
        <v>4141</v>
      </c>
      <c r="B2658" s="70">
        <v>46245</v>
      </c>
      <c r="C2658" s="67" t="s">
        <v>1423</v>
      </c>
      <c r="D2658" s="67" t="s">
        <v>358</v>
      </c>
      <c r="E2658" s="67" t="s">
        <v>1368</v>
      </c>
      <c r="F2658" s="67" t="s">
        <v>1462</v>
      </c>
      <c r="G2658" s="69">
        <v>105</v>
      </c>
    </row>
    <row r="2659" spans="1:7">
      <c r="A2659" s="67" t="s">
        <v>4142</v>
      </c>
      <c r="B2659" s="70">
        <v>46245</v>
      </c>
      <c r="C2659" s="67" t="s">
        <v>1427</v>
      </c>
      <c r="D2659" s="67" t="s">
        <v>367</v>
      </c>
      <c r="E2659" s="67" t="s">
        <v>1368</v>
      </c>
      <c r="F2659" s="67" t="s">
        <v>1460</v>
      </c>
      <c r="G2659" s="69">
        <v>5</v>
      </c>
    </row>
    <row r="2660" spans="1:7">
      <c r="A2660" s="67" t="s">
        <v>4143</v>
      </c>
      <c r="B2660" s="70">
        <v>46245</v>
      </c>
      <c r="C2660" s="67" t="s">
        <v>1429</v>
      </c>
      <c r="D2660" s="67" t="s">
        <v>358</v>
      </c>
      <c r="E2660" s="67" t="s">
        <v>1368</v>
      </c>
      <c r="F2660" s="67" t="s">
        <v>1462</v>
      </c>
      <c r="G2660" s="69">
        <v>265</v>
      </c>
    </row>
    <row r="2661" spans="1:7">
      <c r="A2661" s="67" t="s">
        <v>4144</v>
      </c>
      <c r="B2661" s="70">
        <v>46245</v>
      </c>
      <c r="C2661" s="67" t="s">
        <v>1429</v>
      </c>
      <c r="D2661" s="67" t="s">
        <v>358</v>
      </c>
      <c r="E2661" s="67" t="s">
        <v>1368</v>
      </c>
      <c r="F2661" s="67" t="s">
        <v>1460</v>
      </c>
      <c r="G2661" s="69">
        <v>17</v>
      </c>
    </row>
    <row r="2662" spans="1:7">
      <c r="A2662" s="67" t="s">
        <v>4145</v>
      </c>
      <c r="B2662" s="70">
        <v>46245</v>
      </c>
      <c r="C2662" s="67" t="s">
        <v>1444</v>
      </c>
      <c r="D2662" s="67" t="s">
        <v>1551</v>
      </c>
      <c r="E2662" s="67" t="s">
        <v>1362</v>
      </c>
      <c r="F2662" s="67" t="s">
        <v>1462</v>
      </c>
      <c r="G2662" s="69">
        <v>586</v>
      </c>
    </row>
    <row r="2663" spans="1:7">
      <c r="A2663" s="67" t="s">
        <v>4146</v>
      </c>
      <c r="B2663" s="70">
        <v>46245</v>
      </c>
      <c r="C2663" s="67" t="s">
        <v>1446</v>
      </c>
      <c r="D2663" s="67" t="s">
        <v>1551</v>
      </c>
      <c r="E2663" s="67" t="s">
        <v>1362</v>
      </c>
      <c r="F2663" s="67" t="s">
        <v>1462</v>
      </c>
      <c r="G2663" s="69">
        <v>464</v>
      </c>
    </row>
    <row r="2664" spans="1:7">
      <c r="A2664" s="67" t="s">
        <v>4147</v>
      </c>
      <c r="B2664" s="70">
        <v>46246</v>
      </c>
      <c r="C2664" s="67" t="s">
        <v>1366</v>
      </c>
      <c r="D2664" s="67" t="s">
        <v>353</v>
      </c>
      <c r="E2664" s="67" t="s">
        <v>1368</v>
      </c>
      <c r="F2664" s="67" t="s">
        <v>1462</v>
      </c>
      <c r="G2664" s="69">
        <v>242</v>
      </c>
    </row>
    <row r="2665" spans="1:7">
      <c r="A2665" s="67" t="s">
        <v>4148</v>
      </c>
      <c r="B2665" s="70">
        <v>46246</v>
      </c>
      <c r="C2665" s="67" t="s">
        <v>1366</v>
      </c>
      <c r="D2665" s="67" t="s">
        <v>363</v>
      </c>
      <c r="E2665" s="67" t="s">
        <v>1368</v>
      </c>
      <c r="F2665" s="67" t="s">
        <v>1460</v>
      </c>
      <c r="G2665" s="69">
        <v>14</v>
      </c>
    </row>
    <row r="2666" spans="1:7">
      <c r="A2666" s="67" t="s">
        <v>4149</v>
      </c>
      <c r="B2666" s="70">
        <v>46246</v>
      </c>
      <c r="C2666" s="67" t="s">
        <v>1366</v>
      </c>
      <c r="D2666" s="67" t="s">
        <v>369</v>
      </c>
      <c r="E2666" s="67" t="s">
        <v>1368</v>
      </c>
      <c r="F2666" s="67" t="s">
        <v>1488</v>
      </c>
      <c r="G2666" s="69">
        <v>5</v>
      </c>
    </row>
    <row r="2667" spans="1:7">
      <c r="A2667" s="67" t="s">
        <v>4150</v>
      </c>
      <c r="B2667" s="70">
        <v>46246</v>
      </c>
      <c r="C2667" s="67" t="s">
        <v>1366</v>
      </c>
      <c r="D2667" s="67" t="s">
        <v>358</v>
      </c>
      <c r="E2667" s="67" t="s">
        <v>1368</v>
      </c>
      <c r="F2667" s="67" t="s">
        <v>1460</v>
      </c>
      <c r="G2667" s="69">
        <v>14</v>
      </c>
    </row>
    <row r="2668" spans="1:7">
      <c r="A2668" s="67" t="s">
        <v>4151</v>
      </c>
      <c r="B2668" s="70">
        <v>46246</v>
      </c>
      <c r="C2668" s="67" t="s">
        <v>1371</v>
      </c>
      <c r="D2668" s="67" t="s">
        <v>1466</v>
      </c>
      <c r="E2668" s="67" t="s">
        <v>1386</v>
      </c>
      <c r="F2668" s="67" t="s">
        <v>1462</v>
      </c>
      <c r="G2668" s="69">
        <v>472</v>
      </c>
    </row>
    <row r="2669" spans="1:7">
      <c r="A2669" s="67" t="s">
        <v>4152</v>
      </c>
      <c r="B2669" s="70">
        <v>46246</v>
      </c>
      <c r="C2669" s="67" t="s">
        <v>1371</v>
      </c>
      <c r="D2669" s="67" t="s">
        <v>1466</v>
      </c>
      <c r="E2669" s="67" t="s">
        <v>1386</v>
      </c>
      <c r="F2669" s="67" t="s">
        <v>1460</v>
      </c>
      <c r="G2669" s="69">
        <v>11</v>
      </c>
    </row>
    <row r="2670" spans="1:7">
      <c r="A2670" s="67" t="s">
        <v>4153</v>
      </c>
      <c r="B2670" s="70">
        <v>46246</v>
      </c>
      <c r="C2670" s="67" t="s">
        <v>1375</v>
      </c>
      <c r="D2670" s="67" t="s">
        <v>1469</v>
      </c>
      <c r="E2670" s="67" t="s">
        <v>1470</v>
      </c>
      <c r="F2670" s="67" t="s">
        <v>1460</v>
      </c>
      <c r="G2670" s="69">
        <v>30</v>
      </c>
    </row>
    <row r="2671" spans="1:7">
      <c r="A2671" s="67" t="s">
        <v>4154</v>
      </c>
      <c r="B2671" s="70">
        <v>46246</v>
      </c>
      <c r="C2671" s="67" t="s">
        <v>1381</v>
      </c>
      <c r="D2671" s="67" t="s">
        <v>1511</v>
      </c>
      <c r="E2671" s="67" t="s">
        <v>1470</v>
      </c>
      <c r="F2671" s="67" t="s">
        <v>1462</v>
      </c>
      <c r="G2671" s="69">
        <v>440</v>
      </c>
    </row>
    <row r="2672" spans="1:7">
      <c r="A2672" s="67" t="s">
        <v>4155</v>
      </c>
      <c r="B2672" s="70">
        <v>46246</v>
      </c>
      <c r="C2672" s="67" t="s">
        <v>1381</v>
      </c>
      <c r="D2672" s="67" t="s">
        <v>1469</v>
      </c>
      <c r="E2672" s="67" t="s">
        <v>1470</v>
      </c>
      <c r="F2672" s="67" t="s">
        <v>1460</v>
      </c>
      <c r="G2672" s="69">
        <v>18</v>
      </c>
    </row>
    <row r="2673" spans="1:7">
      <c r="A2673" s="67" t="s">
        <v>4156</v>
      </c>
      <c r="B2673" s="70">
        <v>46246</v>
      </c>
      <c r="C2673" s="67" t="s">
        <v>1384</v>
      </c>
      <c r="D2673" s="67" t="s">
        <v>1476</v>
      </c>
      <c r="E2673" s="67" t="s">
        <v>1362</v>
      </c>
      <c r="F2673" s="67" t="s">
        <v>1462</v>
      </c>
      <c r="G2673" s="69">
        <v>546</v>
      </c>
    </row>
    <row r="2674" spans="1:7">
      <c r="A2674" s="67" t="s">
        <v>4157</v>
      </c>
      <c r="B2674" s="70">
        <v>46246</v>
      </c>
      <c r="C2674" s="67" t="s">
        <v>1384</v>
      </c>
      <c r="D2674" s="67" t="s">
        <v>1551</v>
      </c>
      <c r="E2674" s="67" t="s">
        <v>1362</v>
      </c>
      <c r="F2674" s="67" t="s">
        <v>1460</v>
      </c>
      <c r="G2674" s="69">
        <v>11</v>
      </c>
    </row>
    <row r="2675" spans="1:7">
      <c r="A2675" s="67" t="s">
        <v>4158</v>
      </c>
      <c r="B2675" s="70">
        <v>46246</v>
      </c>
      <c r="C2675" s="67" t="s">
        <v>1389</v>
      </c>
      <c r="D2675" s="67" t="s">
        <v>367</v>
      </c>
      <c r="E2675" s="67" t="s">
        <v>1368</v>
      </c>
      <c r="F2675" s="67" t="s">
        <v>1462</v>
      </c>
      <c r="G2675" s="69">
        <v>115</v>
      </c>
    </row>
    <row r="2676" spans="1:7">
      <c r="A2676" s="67" t="s">
        <v>4159</v>
      </c>
      <c r="B2676" s="70">
        <v>46246</v>
      </c>
      <c r="C2676" s="67" t="s">
        <v>1389</v>
      </c>
      <c r="D2676" s="67" t="s">
        <v>367</v>
      </c>
      <c r="E2676" s="67" t="s">
        <v>1368</v>
      </c>
      <c r="F2676" s="67" t="s">
        <v>1462</v>
      </c>
      <c r="G2676" s="69">
        <v>352</v>
      </c>
    </row>
    <row r="2677" spans="1:7">
      <c r="A2677" s="67" t="s">
        <v>4160</v>
      </c>
      <c r="B2677" s="70">
        <v>46246</v>
      </c>
      <c r="C2677" s="67" t="s">
        <v>1404</v>
      </c>
      <c r="D2677" s="67" t="s">
        <v>1511</v>
      </c>
      <c r="E2677" s="67" t="s">
        <v>1470</v>
      </c>
      <c r="F2677" s="67" t="s">
        <v>1462</v>
      </c>
      <c r="G2677" s="69">
        <v>594</v>
      </c>
    </row>
    <row r="2678" spans="1:7">
      <c r="A2678" s="67" t="s">
        <v>4161</v>
      </c>
      <c r="B2678" s="70">
        <v>46246</v>
      </c>
      <c r="C2678" s="67" t="s">
        <v>1411</v>
      </c>
      <c r="D2678" s="67" t="s">
        <v>356</v>
      </c>
      <c r="E2678" s="67" t="s">
        <v>1368</v>
      </c>
      <c r="F2678" s="67" t="s">
        <v>1462</v>
      </c>
      <c r="G2678" s="69">
        <v>587</v>
      </c>
    </row>
    <row r="2679" spans="1:7">
      <c r="A2679" s="67" t="s">
        <v>4162</v>
      </c>
      <c r="B2679" s="70">
        <v>46246</v>
      </c>
      <c r="C2679" s="67" t="s">
        <v>1411</v>
      </c>
      <c r="D2679" s="67" t="s">
        <v>1481</v>
      </c>
      <c r="E2679" s="67" t="s">
        <v>1482</v>
      </c>
      <c r="F2679" s="67" t="s">
        <v>1460</v>
      </c>
      <c r="G2679" s="69">
        <v>5</v>
      </c>
    </row>
    <row r="2680" spans="1:7">
      <c r="A2680" s="67" t="s">
        <v>4163</v>
      </c>
      <c r="B2680" s="70">
        <v>46246</v>
      </c>
      <c r="C2680" s="67" t="s">
        <v>1414</v>
      </c>
      <c r="D2680" s="67" t="s">
        <v>1484</v>
      </c>
      <c r="E2680" s="67" t="s">
        <v>1470</v>
      </c>
      <c r="F2680" s="67" t="s">
        <v>1460</v>
      </c>
      <c r="G2680" s="69">
        <v>25</v>
      </c>
    </row>
    <row r="2681" spans="1:7">
      <c r="A2681" s="67" t="s">
        <v>4164</v>
      </c>
      <c r="B2681" s="70">
        <v>46246</v>
      </c>
      <c r="C2681" s="67" t="s">
        <v>1423</v>
      </c>
      <c r="D2681" s="67" t="s">
        <v>1487</v>
      </c>
      <c r="E2681" s="67" t="s">
        <v>1410</v>
      </c>
      <c r="F2681" s="67" t="s">
        <v>1462</v>
      </c>
      <c r="G2681" s="69">
        <v>470</v>
      </c>
    </row>
    <row r="2682" spans="1:7">
      <c r="A2682" s="67" t="s">
        <v>4165</v>
      </c>
      <c r="B2682" s="70">
        <v>46246</v>
      </c>
      <c r="C2682" s="67" t="s">
        <v>1423</v>
      </c>
      <c r="D2682" s="67" t="s">
        <v>1487</v>
      </c>
      <c r="E2682" s="67" t="s">
        <v>1410</v>
      </c>
      <c r="F2682" s="67" t="s">
        <v>1462</v>
      </c>
      <c r="G2682" s="69">
        <v>512</v>
      </c>
    </row>
    <row r="2683" spans="1:7">
      <c r="A2683" s="67" t="s">
        <v>4166</v>
      </c>
      <c r="B2683" s="70">
        <v>46246</v>
      </c>
      <c r="C2683" s="67" t="s">
        <v>1425</v>
      </c>
      <c r="D2683" s="67" t="s">
        <v>1484</v>
      </c>
      <c r="E2683" s="67" t="s">
        <v>1470</v>
      </c>
      <c r="F2683" s="67" t="s">
        <v>1462</v>
      </c>
      <c r="G2683" s="69">
        <v>287</v>
      </c>
    </row>
    <row r="2684" spans="1:7">
      <c r="A2684" s="67" t="s">
        <v>4167</v>
      </c>
      <c r="B2684" s="70">
        <v>46246</v>
      </c>
      <c r="C2684" s="67" t="s">
        <v>1429</v>
      </c>
      <c r="D2684" s="67" t="s">
        <v>367</v>
      </c>
      <c r="E2684" s="67" t="s">
        <v>1368</v>
      </c>
      <c r="F2684" s="67" t="s">
        <v>1462</v>
      </c>
      <c r="G2684" s="69">
        <v>302</v>
      </c>
    </row>
    <row r="2685" spans="1:7">
      <c r="A2685" s="67" t="s">
        <v>4168</v>
      </c>
      <c r="B2685" s="70">
        <v>46246</v>
      </c>
      <c r="C2685" s="67" t="s">
        <v>1444</v>
      </c>
      <c r="D2685" s="67" t="s">
        <v>1551</v>
      </c>
      <c r="E2685" s="67" t="s">
        <v>1362</v>
      </c>
      <c r="F2685" s="67" t="s">
        <v>1460</v>
      </c>
      <c r="G2685" s="69">
        <v>9</v>
      </c>
    </row>
    <row r="2686" spans="1:7">
      <c r="A2686" s="67" t="s">
        <v>4169</v>
      </c>
      <c r="B2686" s="70">
        <v>46246</v>
      </c>
      <c r="C2686" s="67" t="s">
        <v>1446</v>
      </c>
      <c r="D2686" s="67" t="s">
        <v>1459</v>
      </c>
      <c r="E2686" s="67" t="s">
        <v>1362</v>
      </c>
      <c r="F2686" s="67" t="s">
        <v>1460</v>
      </c>
      <c r="G2686" s="69">
        <v>25</v>
      </c>
    </row>
    <row r="2687" spans="1:7">
      <c r="A2687" s="67" t="s">
        <v>4170</v>
      </c>
      <c r="B2687" s="70">
        <v>46247</v>
      </c>
      <c r="C2687" s="67" t="s">
        <v>1359</v>
      </c>
      <c r="D2687" s="67" t="s">
        <v>1466</v>
      </c>
      <c r="E2687" s="67" t="s">
        <v>1386</v>
      </c>
      <c r="F2687" s="67" t="s">
        <v>1488</v>
      </c>
      <c r="G2687" s="69">
        <v>4</v>
      </c>
    </row>
    <row r="2688" spans="1:7">
      <c r="A2688" s="67" t="s">
        <v>4171</v>
      </c>
      <c r="B2688" s="70">
        <v>46247</v>
      </c>
      <c r="C2688" s="67" t="s">
        <v>1375</v>
      </c>
      <c r="D2688" s="67" t="s">
        <v>369</v>
      </c>
      <c r="E2688" s="67" t="s">
        <v>1368</v>
      </c>
      <c r="F2688" s="67" t="s">
        <v>1462</v>
      </c>
      <c r="G2688" s="69">
        <v>312</v>
      </c>
    </row>
    <row r="2689" spans="1:7">
      <c r="A2689" s="67" t="s">
        <v>4172</v>
      </c>
      <c r="B2689" s="70">
        <v>46247</v>
      </c>
      <c r="C2689" s="67" t="s">
        <v>1378</v>
      </c>
      <c r="D2689" s="67" t="s">
        <v>369</v>
      </c>
      <c r="E2689" s="67" t="s">
        <v>1368</v>
      </c>
      <c r="F2689" s="67" t="s">
        <v>1462</v>
      </c>
      <c r="G2689" s="69">
        <v>294</v>
      </c>
    </row>
    <row r="2690" spans="1:7">
      <c r="A2690" s="67" t="s">
        <v>4173</v>
      </c>
      <c r="B2690" s="70">
        <v>46247</v>
      </c>
      <c r="C2690" s="67" t="s">
        <v>1381</v>
      </c>
      <c r="D2690" s="67" t="s">
        <v>353</v>
      </c>
      <c r="E2690" s="67" t="s">
        <v>1368</v>
      </c>
      <c r="F2690" s="67" t="s">
        <v>1462</v>
      </c>
      <c r="G2690" s="69">
        <v>185</v>
      </c>
    </row>
    <row r="2691" spans="1:7">
      <c r="A2691" s="67" t="s">
        <v>4174</v>
      </c>
      <c r="B2691" s="70">
        <v>46247</v>
      </c>
      <c r="C2691" s="67" t="s">
        <v>1381</v>
      </c>
      <c r="D2691" s="67" t="s">
        <v>369</v>
      </c>
      <c r="E2691" s="67" t="s">
        <v>1368</v>
      </c>
      <c r="F2691" s="67" t="s">
        <v>1460</v>
      </c>
      <c r="G2691" s="69">
        <v>16</v>
      </c>
    </row>
    <row r="2692" spans="1:7">
      <c r="A2692" s="67" t="s">
        <v>4175</v>
      </c>
      <c r="B2692" s="70">
        <v>46247</v>
      </c>
      <c r="C2692" s="67" t="s">
        <v>1381</v>
      </c>
      <c r="D2692" s="67" t="s">
        <v>369</v>
      </c>
      <c r="E2692" s="67" t="s">
        <v>1368</v>
      </c>
      <c r="F2692" s="67" t="s">
        <v>1462</v>
      </c>
      <c r="G2692" s="69">
        <v>227</v>
      </c>
    </row>
    <row r="2693" spans="1:7">
      <c r="A2693" s="67" t="s">
        <v>4176</v>
      </c>
      <c r="B2693" s="70">
        <v>46247</v>
      </c>
      <c r="C2693" s="67" t="s">
        <v>1404</v>
      </c>
      <c r="D2693" s="67" t="s">
        <v>356</v>
      </c>
      <c r="E2693" s="67" t="s">
        <v>1368</v>
      </c>
      <c r="F2693" s="67" t="s">
        <v>1460</v>
      </c>
      <c r="G2693" s="69">
        <v>24</v>
      </c>
    </row>
    <row r="2694" spans="1:7">
      <c r="A2694" s="67" t="s">
        <v>4177</v>
      </c>
      <c r="B2694" s="70">
        <v>46247</v>
      </c>
      <c r="C2694" s="67" t="s">
        <v>1404</v>
      </c>
      <c r="D2694" s="67" t="s">
        <v>367</v>
      </c>
      <c r="E2694" s="67" t="s">
        <v>1368</v>
      </c>
      <c r="F2694" s="67" t="s">
        <v>1462</v>
      </c>
      <c r="G2694" s="69">
        <v>404</v>
      </c>
    </row>
    <row r="2695" spans="1:7">
      <c r="A2695" s="67" t="s">
        <v>4178</v>
      </c>
      <c r="B2695" s="70">
        <v>46247</v>
      </c>
      <c r="C2695" s="67" t="s">
        <v>1404</v>
      </c>
      <c r="D2695" s="67" t="s">
        <v>367</v>
      </c>
      <c r="E2695" s="67" t="s">
        <v>1368</v>
      </c>
      <c r="F2695" s="67" t="s">
        <v>1488</v>
      </c>
      <c r="G2695" s="69">
        <v>9</v>
      </c>
    </row>
    <row r="2696" spans="1:7">
      <c r="A2696" s="67" t="s">
        <v>4179</v>
      </c>
      <c r="B2696" s="70">
        <v>46247</v>
      </c>
      <c r="C2696" s="67" t="s">
        <v>1411</v>
      </c>
      <c r="D2696" s="67" t="s">
        <v>365</v>
      </c>
      <c r="E2696" s="67" t="s">
        <v>1368</v>
      </c>
      <c r="F2696" s="67" t="s">
        <v>1462</v>
      </c>
      <c r="G2696" s="69">
        <v>51</v>
      </c>
    </row>
    <row r="2697" spans="1:7">
      <c r="A2697" s="67" t="s">
        <v>4180</v>
      </c>
      <c r="B2697" s="70">
        <v>46247</v>
      </c>
      <c r="C2697" s="67" t="s">
        <v>1411</v>
      </c>
      <c r="D2697" s="67" t="s">
        <v>1506</v>
      </c>
      <c r="E2697" s="67" t="s">
        <v>1482</v>
      </c>
      <c r="F2697" s="67" t="s">
        <v>1462</v>
      </c>
      <c r="G2697" s="69">
        <v>487</v>
      </c>
    </row>
    <row r="2698" spans="1:7">
      <c r="A2698" s="67" t="s">
        <v>4181</v>
      </c>
      <c r="B2698" s="70">
        <v>46247</v>
      </c>
      <c r="C2698" s="67" t="s">
        <v>1411</v>
      </c>
      <c r="D2698" s="67" t="s">
        <v>1506</v>
      </c>
      <c r="E2698" s="67" t="s">
        <v>1482</v>
      </c>
      <c r="F2698" s="67" t="s">
        <v>1460</v>
      </c>
      <c r="G2698" s="69">
        <v>20</v>
      </c>
    </row>
    <row r="2699" spans="1:7">
      <c r="A2699" s="67" t="s">
        <v>4182</v>
      </c>
      <c r="B2699" s="70">
        <v>46247</v>
      </c>
      <c r="C2699" s="67" t="s">
        <v>1411</v>
      </c>
      <c r="D2699" s="67" t="s">
        <v>1481</v>
      </c>
      <c r="E2699" s="67" t="s">
        <v>1482</v>
      </c>
      <c r="F2699" s="67" t="s">
        <v>1460</v>
      </c>
      <c r="G2699" s="69">
        <v>9</v>
      </c>
    </row>
    <row r="2700" spans="1:7">
      <c r="A2700" s="67" t="s">
        <v>4183</v>
      </c>
      <c r="B2700" s="70">
        <v>46247</v>
      </c>
      <c r="C2700" s="67" t="s">
        <v>1414</v>
      </c>
      <c r="D2700" s="67" t="s">
        <v>1484</v>
      </c>
      <c r="E2700" s="67" t="s">
        <v>1470</v>
      </c>
      <c r="F2700" s="67" t="s">
        <v>1460</v>
      </c>
      <c r="G2700" s="69">
        <v>13</v>
      </c>
    </row>
    <row r="2701" spans="1:7">
      <c r="A2701" s="67" t="s">
        <v>4184</v>
      </c>
      <c r="B2701" s="70">
        <v>46247</v>
      </c>
      <c r="C2701" s="67" t="s">
        <v>1425</v>
      </c>
      <c r="D2701" s="67" t="s">
        <v>1551</v>
      </c>
      <c r="E2701" s="67" t="s">
        <v>1362</v>
      </c>
      <c r="F2701" s="67" t="s">
        <v>1462</v>
      </c>
      <c r="G2701" s="69">
        <v>429</v>
      </c>
    </row>
    <row r="2702" spans="1:7">
      <c r="A2702" s="67" t="s">
        <v>4185</v>
      </c>
      <c r="B2702" s="70">
        <v>46247</v>
      </c>
      <c r="C2702" s="67" t="s">
        <v>1429</v>
      </c>
      <c r="D2702" s="67" t="s">
        <v>358</v>
      </c>
      <c r="E2702" s="67" t="s">
        <v>1368</v>
      </c>
      <c r="F2702" s="67" t="s">
        <v>1462</v>
      </c>
      <c r="G2702" s="69">
        <v>151</v>
      </c>
    </row>
    <row r="2703" spans="1:7">
      <c r="A2703" s="67" t="s">
        <v>4186</v>
      </c>
      <c r="B2703" s="70">
        <v>46247</v>
      </c>
      <c r="C2703" s="67" t="s">
        <v>1438</v>
      </c>
      <c r="D2703" s="67" t="s">
        <v>356</v>
      </c>
      <c r="E2703" s="67" t="s">
        <v>1368</v>
      </c>
      <c r="F2703" s="67" t="s">
        <v>1460</v>
      </c>
      <c r="G2703" s="69">
        <v>9</v>
      </c>
    </row>
    <row r="2704" spans="1:7">
      <c r="A2704" s="67" t="s">
        <v>4187</v>
      </c>
      <c r="B2704" s="70">
        <v>46248</v>
      </c>
      <c r="C2704" s="67" t="s">
        <v>1366</v>
      </c>
      <c r="D2704" s="67" t="s">
        <v>369</v>
      </c>
      <c r="E2704" s="67" t="s">
        <v>1368</v>
      </c>
      <c r="F2704" s="67" t="s">
        <v>1460</v>
      </c>
      <c r="G2704" s="69">
        <v>15</v>
      </c>
    </row>
    <row r="2705" spans="1:7">
      <c r="A2705" s="67" t="s">
        <v>4188</v>
      </c>
      <c r="B2705" s="70">
        <v>46248</v>
      </c>
      <c r="C2705" s="67" t="s">
        <v>1371</v>
      </c>
      <c r="D2705" s="67" t="s">
        <v>1466</v>
      </c>
      <c r="E2705" s="67" t="s">
        <v>1386</v>
      </c>
      <c r="F2705" s="67" t="s">
        <v>1460</v>
      </c>
      <c r="G2705" s="69">
        <v>19</v>
      </c>
    </row>
    <row r="2706" spans="1:7">
      <c r="A2706" s="67" t="s">
        <v>4189</v>
      </c>
      <c r="B2706" s="70">
        <v>46248</v>
      </c>
      <c r="C2706" s="67" t="s">
        <v>1375</v>
      </c>
      <c r="D2706" s="67" t="s">
        <v>365</v>
      </c>
      <c r="E2706" s="67" t="s">
        <v>1368</v>
      </c>
      <c r="F2706" s="67" t="s">
        <v>1460</v>
      </c>
      <c r="G2706" s="69">
        <v>23</v>
      </c>
    </row>
    <row r="2707" spans="1:7">
      <c r="A2707" s="67" t="s">
        <v>4190</v>
      </c>
      <c r="B2707" s="70">
        <v>46248</v>
      </c>
      <c r="C2707" s="67" t="s">
        <v>1381</v>
      </c>
      <c r="D2707" s="67" t="s">
        <v>360</v>
      </c>
      <c r="E2707" s="67" t="s">
        <v>1368</v>
      </c>
      <c r="F2707" s="67" t="s">
        <v>1462</v>
      </c>
      <c r="G2707" s="69">
        <v>32</v>
      </c>
    </row>
    <row r="2708" spans="1:7">
      <c r="A2708" s="67" t="s">
        <v>4191</v>
      </c>
      <c r="B2708" s="70">
        <v>46248</v>
      </c>
      <c r="C2708" s="67" t="s">
        <v>1389</v>
      </c>
      <c r="D2708" s="67" t="s">
        <v>353</v>
      </c>
      <c r="E2708" s="67" t="s">
        <v>1368</v>
      </c>
      <c r="F2708" s="67" t="s">
        <v>1462</v>
      </c>
      <c r="G2708" s="69">
        <v>307</v>
      </c>
    </row>
    <row r="2709" spans="1:7">
      <c r="A2709" s="67" t="s">
        <v>4192</v>
      </c>
      <c r="B2709" s="70">
        <v>46248</v>
      </c>
      <c r="C2709" s="67" t="s">
        <v>1389</v>
      </c>
      <c r="D2709" s="67" t="s">
        <v>1484</v>
      </c>
      <c r="E2709" s="67" t="s">
        <v>1470</v>
      </c>
      <c r="F2709" s="67" t="s">
        <v>1462</v>
      </c>
      <c r="G2709" s="69">
        <v>431</v>
      </c>
    </row>
    <row r="2710" spans="1:7">
      <c r="A2710" s="67" t="s">
        <v>4193</v>
      </c>
      <c r="B2710" s="70">
        <v>46248</v>
      </c>
      <c r="C2710" s="67" t="s">
        <v>1399</v>
      </c>
      <c r="D2710" s="67" t="s">
        <v>1551</v>
      </c>
      <c r="E2710" s="67" t="s">
        <v>1362</v>
      </c>
      <c r="F2710" s="67" t="s">
        <v>1462</v>
      </c>
      <c r="G2710" s="69">
        <v>370</v>
      </c>
    </row>
    <row r="2711" spans="1:7">
      <c r="A2711" s="67" t="s">
        <v>4194</v>
      </c>
      <c r="B2711" s="70">
        <v>46248</v>
      </c>
      <c r="C2711" s="67" t="s">
        <v>1406</v>
      </c>
      <c r="D2711" s="67" t="s">
        <v>369</v>
      </c>
      <c r="E2711" s="67" t="s">
        <v>1368</v>
      </c>
      <c r="F2711" s="67" t="s">
        <v>1460</v>
      </c>
      <c r="G2711" s="69">
        <v>7</v>
      </c>
    </row>
    <row r="2712" spans="1:7">
      <c r="A2712" s="67" t="s">
        <v>4195</v>
      </c>
      <c r="B2712" s="70">
        <v>46248</v>
      </c>
      <c r="C2712" s="67" t="s">
        <v>1406</v>
      </c>
      <c r="D2712" s="67" t="s">
        <v>358</v>
      </c>
      <c r="E2712" s="67" t="s">
        <v>1368</v>
      </c>
      <c r="F2712" s="67" t="s">
        <v>1462</v>
      </c>
      <c r="G2712" s="69">
        <v>118</v>
      </c>
    </row>
    <row r="2713" spans="1:7">
      <c r="A2713" s="67" t="s">
        <v>4196</v>
      </c>
      <c r="B2713" s="70">
        <v>46248</v>
      </c>
      <c r="C2713" s="67" t="s">
        <v>1411</v>
      </c>
      <c r="D2713" s="67" t="s">
        <v>1506</v>
      </c>
      <c r="E2713" s="67" t="s">
        <v>1482</v>
      </c>
      <c r="F2713" s="67" t="s">
        <v>1462</v>
      </c>
      <c r="G2713" s="69">
        <v>104</v>
      </c>
    </row>
    <row r="2714" spans="1:7">
      <c r="A2714" s="67" t="s">
        <v>4197</v>
      </c>
      <c r="B2714" s="70">
        <v>46248</v>
      </c>
      <c r="C2714" s="67" t="s">
        <v>1411</v>
      </c>
      <c r="D2714" s="67" t="s">
        <v>1481</v>
      </c>
      <c r="E2714" s="67" t="s">
        <v>1482</v>
      </c>
      <c r="F2714" s="67" t="s">
        <v>1488</v>
      </c>
      <c r="G2714" s="69">
        <v>7</v>
      </c>
    </row>
    <row r="2715" spans="1:7">
      <c r="A2715" s="67" t="s">
        <v>4198</v>
      </c>
      <c r="B2715" s="70">
        <v>46248</v>
      </c>
      <c r="C2715" s="67" t="s">
        <v>1414</v>
      </c>
      <c r="D2715" s="67" t="s">
        <v>1484</v>
      </c>
      <c r="E2715" s="67" t="s">
        <v>1470</v>
      </c>
      <c r="F2715" s="67" t="s">
        <v>1462</v>
      </c>
      <c r="G2715" s="69">
        <v>490</v>
      </c>
    </row>
    <row r="2716" spans="1:7">
      <c r="A2716" s="67" t="s">
        <v>4199</v>
      </c>
      <c r="B2716" s="70">
        <v>46248</v>
      </c>
      <c r="C2716" s="67" t="s">
        <v>1414</v>
      </c>
      <c r="D2716" s="67" t="s">
        <v>1491</v>
      </c>
      <c r="E2716" s="67" t="s">
        <v>1470</v>
      </c>
      <c r="F2716" s="67" t="s">
        <v>1460</v>
      </c>
      <c r="G2716" s="69">
        <v>28</v>
      </c>
    </row>
    <row r="2717" spans="1:7">
      <c r="A2717" s="67" t="s">
        <v>4200</v>
      </c>
      <c r="B2717" s="70">
        <v>46248</v>
      </c>
      <c r="C2717" s="67" t="s">
        <v>1421</v>
      </c>
      <c r="D2717" s="67" t="s">
        <v>2005</v>
      </c>
      <c r="E2717" s="67" t="s">
        <v>5</v>
      </c>
      <c r="F2717" s="67" t="s">
        <v>1462</v>
      </c>
      <c r="G2717" s="69">
        <v>424</v>
      </c>
    </row>
    <row r="2718" spans="1:7">
      <c r="A2718" s="67" t="s">
        <v>4201</v>
      </c>
      <c r="B2718" s="70">
        <v>46248</v>
      </c>
      <c r="C2718" s="67" t="s">
        <v>1423</v>
      </c>
      <c r="D2718" s="67" t="s">
        <v>1479</v>
      </c>
      <c r="E2718" s="67" t="s">
        <v>1410</v>
      </c>
      <c r="F2718" s="67" t="s">
        <v>1462</v>
      </c>
      <c r="G2718" s="69">
        <v>170</v>
      </c>
    </row>
    <row r="2719" spans="1:7">
      <c r="A2719" s="67" t="s">
        <v>4202</v>
      </c>
      <c r="B2719" s="70">
        <v>46248</v>
      </c>
      <c r="C2719" s="67" t="s">
        <v>1425</v>
      </c>
      <c r="D2719" s="67" t="s">
        <v>1511</v>
      </c>
      <c r="E2719" s="67" t="s">
        <v>1470</v>
      </c>
      <c r="F2719" s="67" t="s">
        <v>1488</v>
      </c>
      <c r="G2719" s="69">
        <v>8</v>
      </c>
    </row>
    <row r="2720" spans="1:7">
      <c r="A2720" s="67" t="s">
        <v>4203</v>
      </c>
      <c r="B2720" s="70">
        <v>46248</v>
      </c>
      <c r="C2720" s="67" t="s">
        <v>1425</v>
      </c>
      <c r="D2720" s="67" t="s">
        <v>1551</v>
      </c>
      <c r="E2720" s="67" t="s">
        <v>1362</v>
      </c>
      <c r="F2720" s="67" t="s">
        <v>1460</v>
      </c>
      <c r="G2720" s="69">
        <v>23</v>
      </c>
    </row>
    <row r="2721" spans="1:7">
      <c r="A2721" s="67" t="s">
        <v>4204</v>
      </c>
      <c r="B2721" s="70">
        <v>46248</v>
      </c>
      <c r="C2721" s="67" t="s">
        <v>1438</v>
      </c>
      <c r="D2721" s="67" t="s">
        <v>369</v>
      </c>
      <c r="E2721" s="67" t="s">
        <v>1368</v>
      </c>
      <c r="F2721" s="67" t="s">
        <v>1462</v>
      </c>
      <c r="G2721" s="69">
        <v>271</v>
      </c>
    </row>
    <row r="2722" spans="1:7">
      <c r="A2722" s="67" t="s">
        <v>4205</v>
      </c>
      <c r="B2722" s="70">
        <v>46249</v>
      </c>
      <c r="C2722" s="67" t="s">
        <v>1359</v>
      </c>
      <c r="D2722" s="67" t="s">
        <v>1476</v>
      </c>
      <c r="E2722" s="67" t="s">
        <v>1362</v>
      </c>
      <c r="F2722" s="67" t="s">
        <v>1462</v>
      </c>
      <c r="G2722" s="69">
        <v>203</v>
      </c>
    </row>
    <row r="2723" spans="1:7">
      <c r="A2723" s="67" t="s">
        <v>4206</v>
      </c>
      <c r="B2723" s="70">
        <v>46249</v>
      </c>
      <c r="C2723" s="67" t="s">
        <v>1366</v>
      </c>
      <c r="D2723" s="67" t="s">
        <v>356</v>
      </c>
      <c r="E2723" s="67" t="s">
        <v>1368</v>
      </c>
      <c r="F2723" s="67" t="s">
        <v>1462</v>
      </c>
      <c r="G2723" s="69">
        <v>183</v>
      </c>
    </row>
    <row r="2724" spans="1:7">
      <c r="A2724" s="67" t="s">
        <v>4207</v>
      </c>
      <c r="B2724" s="70">
        <v>46249</v>
      </c>
      <c r="C2724" s="67" t="s">
        <v>1366</v>
      </c>
      <c r="D2724" s="67" t="s">
        <v>367</v>
      </c>
      <c r="E2724" s="67" t="s">
        <v>1368</v>
      </c>
      <c r="F2724" s="67" t="s">
        <v>1460</v>
      </c>
      <c r="G2724" s="69">
        <v>27</v>
      </c>
    </row>
    <row r="2725" spans="1:7">
      <c r="A2725" s="67" t="s">
        <v>4208</v>
      </c>
      <c r="B2725" s="70">
        <v>46249</v>
      </c>
      <c r="C2725" s="67" t="s">
        <v>1371</v>
      </c>
      <c r="D2725" s="67" t="s">
        <v>1476</v>
      </c>
      <c r="E2725" s="67" t="s">
        <v>1362</v>
      </c>
      <c r="F2725" s="67" t="s">
        <v>1462</v>
      </c>
      <c r="G2725" s="69">
        <v>190</v>
      </c>
    </row>
    <row r="2726" spans="1:7">
      <c r="A2726" s="67" t="s">
        <v>4209</v>
      </c>
      <c r="B2726" s="70">
        <v>46249</v>
      </c>
      <c r="C2726" s="67" t="s">
        <v>1371</v>
      </c>
      <c r="D2726" s="67" t="s">
        <v>1466</v>
      </c>
      <c r="E2726" s="67" t="s">
        <v>1386</v>
      </c>
      <c r="F2726" s="67" t="s">
        <v>1462</v>
      </c>
      <c r="G2726" s="69">
        <v>476</v>
      </c>
    </row>
    <row r="2727" spans="1:7">
      <c r="A2727" s="67" t="s">
        <v>4210</v>
      </c>
      <c r="B2727" s="70">
        <v>46249</v>
      </c>
      <c r="C2727" s="67" t="s">
        <v>1371</v>
      </c>
      <c r="D2727" s="67" t="s">
        <v>1551</v>
      </c>
      <c r="E2727" s="67" t="s">
        <v>1362</v>
      </c>
      <c r="F2727" s="67" t="s">
        <v>1462</v>
      </c>
      <c r="G2727" s="69">
        <v>463</v>
      </c>
    </row>
    <row r="2728" spans="1:7">
      <c r="A2728" s="67" t="s">
        <v>4211</v>
      </c>
      <c r="B2728" s="70">
        <v>46249</v>
      </c>
      <c r="C2728" s="67" t="s">
        <v>1381</v>
      </c>
      <c r="D2728" s="67" t="s">
        <v>369</v>
      </c>
      <c r="E2728" s="67" t="s">
        <v>1368</v>
      </c>
      <c r="F2728" s="67" t="s">
        <v>1462</v>
      </c>
      <c r="G2728" s="69">
        <v>238</v>
      </c>
    </row>
    <row r="2729" spans="1:7">
      <c r="A2729" s="67" t="s">
        <v>4212</v>
      </c>
      <c r="B2729" s="70">
        <v>46249</v>
      </c>
      <c r="C2729" s="67" t="s">
        <v>1381</v>
      </c>
      <c r="D2729" s="67" t="s">
        <v>358</v>
      </c>
      <c r="E2729" s="67" t="s">
        <v>1368</v>
      </c>
      <c r="F2729" s="67" t="s">
        <v>1460</v>
      </c>
      <c r="G2729" s="69">
        <v>23</v>
      </c>
    </row>
    <row r="2730" spans="1:7">
      <c r="A2730" s="67" t="s">
        <v>4213</v>
      </c>
      <c r="B2730" s="70">
        <v>46249</v>
      </c>
      <c r="C2730" s="67" t="s">
        <v>1404</v>
      </c>
      <c r="D2730" s="67" t="s">
        <v>367</v>
      </c>
      <c r="E2730" s="67" t="s">
        <v>1368</v>
      </c>
      <c r="F2730" s="67" t="s">
        <v>1462</v>
      </c>
      <c r="G2730" s="69">
        <v>67</v>
      </c>
    </row>
    <row r="2731" spans="1:7">
      <c r="A2731" s="67" t="s">
        <v>4214</v>
      </c>
      <c r="B2731" s="70">
        <v>46249</v>
      </c>
      <c r="C2731" s="67" t="s">
        <v>1411</v>
      </c>
      <c r="D2731" s="67" t="s">
        <v>1506</v>
      </c>
      <c r="E2731" s="67" t="s">
        <v>1482</v>
      </c>
      <c r="F2731" s="67" t="s">
        <v>1462</v>
      </c>
      <c r="G2731" s="69">
        <v>481</v>
      </c>
    </row>
    <row r="2732" spans="1:7">
      <c r="A2732" s="67" t="s">
        <v>4215</v>
      </c>
      <c r="B2732" s="70">
        <v>46249</v>
      </c>
      <c r="C2732" s="67" t="s">
        <v>1411</v>
      </c>
      <c r="D2732" s="67" t="s">
        <v>1506</v>
      </c>
      <c r="E2732" s="67" t="s">
        <v>1482</v>
      </c>
      <c r="F2732" s="67" t="s">
        <v>1460</v>
      </c>
      <c r="G2732" s="69">
        <v>21</v>
      </c>
    </row>
    <row r="2733" spans="1:7">
      <c r="A2733" s="67" t="s">
        <v>4216</v>
      </c>
      <c r="B2733" s="70">
        <v>46249</v>
      </c>
      <c r="C2733" s="67" t="s">
        <v>1411</v>
      </c>
      <c r="D2733" s="67" t="s">
        <v>1481</v>
      </c>
      <c r="E2733" s="67" t="s">
        <v>1482</v>
      </c>
      <c r="F2733" s="67" t="s">
        <v>1462</v>
      </c>
      <c r="G2733" s="69">
        <v>482</v>
      </c>
    </row>
    <row r="2734" spans="1:7">
      <c r="A2734" s="67" t="s">
        <v>4217</v>
      </c>
      <c r="B2734" s="70">
        <v>46249</v>
      </c>
      <c r="C2734" s="67" t="s">
        <v>1414</v>
      </c>
      <c r="D2734" s="67" t="s">
        <v>1511</v>
      </c>
      <c r="E2734" s="67" t="s">
        <v>1470</v>
      </c>
      <c r="F2734" s="67" t="s">
        <v>1462</v>
      </c>
      <c r="G2734" s="69">
        <v>279</v>
      </c>
    </row>
    <row r="2735" spans="1:7">
      <c r="A2735" s="67" t="s">
        <v>4218</v>
      </c>
      <c r="B2735" s="70">
        <v>46249</v>
      </c>
      <c r="C2735" s="67" t="s">
        <v>1414</v>
      </c>
      <c r="D2735" s="67" t="s">
        <v>1551</v>
      </c>
      <c r="E2735" s="67" t="s">
        <v>1362</v>
      </c>
      <c r="F2735" s="67" t="s">
        <v>1462</v>
      </c>
      <c r="G2735" s="69">
        <v>438</v>
      </c>
    </row>
    <row r="2736" spans="1:7">
      <c r="A2736" s="67" t="s">
        <v>4219</v>
      </c>
      <c r="B2736" s="70">
        <v>46249</v>
      </c>
      <c r="C2736" s="67" t="s">
        <v>1423</v>
      </c>
      <c r="D2736" s="67" t="s">
        <v>1479</v>
      </c>
      <c r="E2736" s="67" t="s">
        <v>1410</v>
      </c>
      <c r="F2736" s="67" t="s">
        <v>1460</v>
      </c>
      <c r="G2736" s="69">
        <v>10</v>
      </c>
    </row>
    <row r="2737" spans="1:7">
      <c r="A2737" s="67" t="s">
        <v>4220</v>
      </c>
      <c r="B2737" s="70">
        <v>46249</v>
      </c>
      <c r="C2737" s="67" t="s">
        <v>1427</v>
      </c>
      <c r="D2737" s="67" t="s">
        <v>1459</v>
      </c>
      <c r="E2737" s="67" t="s">
        <v>1362</v>
      </c>
      <c r="F2737" s="67" t="s">
        <v>1460</v>
      </c>
      <c r="G2737" s="69">
        <v>27</v>
      </c>
    </row>
    <row r="2738" spans="1:7">
      <c r="A2738" s="67" t="s">
        <v>4221</v>
      </c>
      <c r="B2738" s="70">
        <v>46249</v>
      </c>
      <c r="C2738" s="67" t="s">
        <v>1431</v>
      </c>
      <c r="D2738" s="67" t="s">
        <v>1520</v>
      </c>
      <c r="E2738" s="67" t="s">
        <v>1433</v>
      </c>
      <c r="F2738" s="67" t="s">
        <v>1460</v>
      </c>
      <c r="G2738" s="69">
        <v>5</v>
      </c>
    </row>
    <row r="2739" spans="1:7">
      <c r="A2739" s="67" t="s">
        <v>4222</v>
      </c>
      <c r="B2739" s="70">
        <v>46249</v>
      </c>
      <c r="C2739" s="67" t="s">
        <v>1446</v>
      </c>
      <c r="D2739" s="67" t="s">
        <v>367</v>
      </c>
      <c r="E2739" s="67" t="s">
        <v>1368</v>
      </c>
      <c r="F2739" s="67" t="s">
        <v>1462</v>
      </c>
      <c r="G2739" s="69">
        <v>144</v>
      </c>
    </row>
    <row r="2740" spans="1:7">
      <c r="A2740" s="67" t="s">
        <v>4223</v>
      </c>
      <c r="B2740" s="70">
        <v>46250</v>
      </c>
      <c r="C2740" s="67" t="s">
        <v>1359</v>
      </c>
      <c r="D2740" s="67" t="s">
        <v>353</v>
      </c>
      <c r="E2740" s="67" t="s">
        <v>1368</v>
      </c>
      <c r="F2740" s="67" t="s">
        <v>1462</v>
      </c>
      <c r="G2740" s="69">
        <v>195</v>
      </c>
    </row>
    <row r="2741" spans="1:7">
      <c r="A2741" s="67" t="s">
        <v>4224</v>
      </c>
      <c r="B2741" s="70">
        <v>46250</v>
      </c>
      <c r="C2741" s="67" t="s">
        <v>1359</v>
      </c>
      <c r="D2741" s="67" t="s">
        <v>1476</v>
      </c>
      <c r="E2741" s="67" t="s">
        <v>1362</v>
      </c>
      <c r="F2741" s="67" t="s">
        <v>1462</v>
      </c>
      <c r="G2741" s="69">
        <v>239</v>
      </c>
    </row>
    <row r="2742" spans="1:7">
      <c r="A2742" s="67" t="s">
        <v>4225</v>
      </c>
      <c r="B2742" s="70">
        <v>46250</v>
      </c>
      <c r="C2742" s="67" t="s">
        <v>1359</v>
      </c>
      <c r="D2742" s="67" t="s">
        <v>1476</v>
      </c>
      <c r="E2742" s="67" t="s">
        <v>1362</v>
      </c>
      <c r="F2742" s="67" t="s">
        <v>1462</v>
      </c>
      <c r="G2742" s="69">
        <v>272</v>
      </c>
    </row>
    <row r="2743" spans="1:7">
      <c r="A2743" s="67" t="s">
        <v>4226</v>
      </c>
      <c r="B2743" s="70">
        <v>46250</v>
      </c>
      <c r="C2743" s="67" t="s">
        <v>1359</v>
      </c>
      <c r="D2743" s="67" t="s">
        <v>1459</v>
      </c>
      <c r="E2743" s="67" t="s">
        <v>1362</v>
      </c>
      <c r="F2743" s="67" t="s">
        <v>1488</v>
      </c>
      <c r="G2743" s="69">
        <v>7</v>
      </c>
    </row>
    <row r="2744" spans="1:7">
      <c r="A2744" s="67" t="s">
        <v>4227</v>
      </c>
      <c r="B2744" s="70">
        <v>46250</v>
      </c>
      <c r="C2744" s="67" t="s">
        <v>1366</v>
      </c>
      <c r="D2744" s="67" t="s">
        <v>367</v>
      </c>
      <c r="E2744" s="67" t="s">
        <v>1368</v>
      </c>
      <c r="F2744" s="67" t="s">
        <v>1462</v>
      </c>
      <c r="G2744" s="69">
        <v>217</v>
      </c>
    </row>
    <row r="2745" spans="1:7">
      <c r="A2745" s="67" t="s">
        <v>4228</v>
      </c>
      <c r="B2745" s="70">
        <v>46250</v>
      </c>
      <c r="C2745" s="67" t="s">
        <v>1375</v>
      </c>
      <c r="D2745" s="67" t="s">
        <v>365</v>
      </c>
      <c r="E2745" s="67" t="s">
        <v>1368</v>
      </c>
      <c r="F2745" s="67" t="s">
        <v>1462</v>
      </c>
      <c r="G2745" s="69">
        <v>438</v>
      </c>
    </row>
    <row r="2746" spans="1:7">
      <c r="A2746" s="67" t="s">
        <v>4229</v>
      </c>
      <c r="B2746" s="70">
        <v>46250</v>
      </c>
      <c r="C2746" s="67" t="s">
        <v>1378</v>
      </c>
      <c r="D2746" s="67" t="s">
        <v>1511</v>
      </c>
      <c r="E2746" s="67" t="s">
        <v>1470</v>
      </c>
      <c r="F2746" s="67" t="s">
        <v>1462</v>
      </c>
      <c r="G2746" s="69">
        <v>391</v>
      </c>
    </row>
    <row r="2747" spans="1:7">
      <c r="A2747" s="67" t="s">
        <v>4230</v>
      </c>
      <c r="B2747" s="70">
        <v>46250</v>
      </c>
      <c r="C2747" s="67" t="s">
        <v>1378</v>
      </c>
      <c r="D2747" s="67" t="s">
        <v>1551</v>
      </c>
      <c r="E2747" s="67" t="s">
        <v>1362</v>
      </c>
      <c r="F2747" s="67" t="s">
        <v>1462</v>
      </c>
      <c r="G2747" s="69">
        <v>151</v>
      </c>
    </row>
    <row r="2748" spans="1:7">
      <c r="A2748" s="67" t="s">
        <v>4231</v>
      </c>
      <c r="B2748" s="70">
        <v>46250</v>
      </c>
      <c r="C2748" s="67" t="s">
        <v>1381</v>
      </c>
      <c r="D2748" s="67" t="s">
        <v>356</v>
      </c>
      <c r="E2748" s="67" t="s">
        <v>1368</v>
      </c>
      <c r="F2748" s="67" t="s">
        <v>1462</v>
      </c>
      <c r="G2748" s="69">
        <v>137</v>
      </c>
    </row>
    <row r="2749" spans="1:7">
      <c r="A2749" s="67" t="s">
        <v>4232</v>
      </c>
      <c r="B2749" s="70">
        <v>46250</v>
      </c>
      <c r="C2749" s="67" t="s">
        <v>1381</v>
      </c>
      <c r="D2749" s="67" t="s">
        <v>356</v>
      </c>
      <c r="E2749" s="67" t="s">
        <v>1368</v>
      </c>
      <c r="F2749" s="67" t="s">
        <v>1460</v>
      </c>
      <c r="G2749" s="69">
        <v>15</v>
      </c>
    </row>
    <row r="2750" spans="1:7">
      <c r="A2750" s="67" t="s">
        <v>4233</v>
      </c>
      <c r="B2750" s="70">
        <v>46250</v>
      </c>
      <c r="C2750" s="67" t="s">
        <v>1389</v>
      </c>
      <c r="D2750" s="67" t="s">
        <v>1551</v>
      </c>
      <c r="E2750" s="67" t="s">
        <v>1362</v>
      </c>
      <c r="F2750" s="67" t="s">
        <v>1460</v>
      </c>
      <c r="G2750" s="69">
        <v>5</v>
      </c>
    </row>
    <row r="2751" spans="1:7">
      <c r="A2751" s="67" t="s">
        <v>4234</v>
      </c>
      <c r="B2751" s="70">
        <v>46250</v>
      </c>
      <c r="C2751" s="67" t="s">
        <v>1389</v>
      </c>
      <c r="D2751" s="67" t="s">
        <v>358</v>
      </c>
      <c r="E2751" s="67" t="s">
        <v>1368</v>
      </c>
      <c r="F2751" s="67" t="s">
        <v>1462</v>
      </c>
      <c r="G2751" s="69">
        <v>92</v>
      </c>
    </row>
    <row r="2752" spans="1:7">
      <c r="A2752" s="67" t="s">
        <v>4235</v>
      </c>
      <c r="B2752" s="70">
        <v>46250</v>
      </c>
      <c r="C2752" s="67" t="s">
        <v>1393</v>
      </c>
      <c r="D2752" s="67" t="s">
        <v>353</v>
      </c>
      <c r="E2752" s="67" t="s">
        <v>1368</v>
      </c>
      <c r="F2752" s="67" t="s">
        <v>1462</v>
      </c>
      <c r="G2752" s="69">
        <v>21</v>
      </c>
    </row>
    <row r="2753" spans="1:7">
      <c r="A2753" s="67" t="s">
        <v>4236</v>
      </c>
      <c r="B2753" s="70">
        <v>46250</v>
      </c>
      <c r="C2753" s="67" t="s">
        <v>1393</v>
      </c>
      <c r="D2753" s="67" t="s">
        <v>365</v>
      </c>
      <c r="E2753" s="67" t="s">
        <v>1368</v>
      </c>
      <c r="F2753" s="67" t="s">
        <v>1462</v>
      </c>
      <c r="G2753" s="69">
        <v>307</v>
      </c>
    </row>
    <row r="2754" spans="1:7">
      <c r="A2754" s="67" t="s">
        <v>4237</v>
      </c>
      <c r="B2754" s="70">
        <v>46250</v>
      </c>
      <c r="C2754" s="67" t="s">
        <v>1393</v>
      </c>
      <c r="D2754" s="67" t="s">
        <v>358</v>
      </c>
      <c r="E2754" s="67" t="s">
        <v>1368</v>
      </c>
      <c r="F2754" s="67" t="s">
        <v>1462</v>
      </c>
      <c r="G2754" s="69">
        <v>85</v>
      </c>
    </row>
    <row r="2755" spans="1:7">
      <c r="A2755" s="67" t="s">
        <v>4238</v>
      </c>
      <c r="B2755" s="70">
        <v>46250</v>
      </c>
      <c r="C2755" s="67" t="s">
        <v>1404</v>
      </c>
      <c r="D2755" s="67" t="s">
        <v>353</v>
      </c>
      <c r="E2755" s="67" t="s">
        <v>1368</v>
      </c>
      <c r="F2755" s="67" t="s">
        <v>1462</v>
      </c>
      <c r="G2755" s="69">
        <v>175</v>
      </c>
    </row>
    <row r="2756" spans="1:7">
      <c r="A2756" s="67" t="s">
        <v>4239</v>
      </c>
      <c r="B2756" s="70">
        <v>46250</v>
      </c>
      <c r="C2756" s="67" t="s">
        <v>1406</v>
      </c>
      <c r="D2756" s="67" t="s">
        <v>365</v>
      </c>
      <c r="E2756" s="67" t="s">
        <v>1368</v>
      </c>
      <c r="F2756" s="67" t="s">
        <v>1462</v>
      </c>
      <c r="G2756" s="69">
        <v>524</v>
      </c>
    </row>
    <row r="2757" spans="1:7">
      <c r="A2757" s="67" t="s">
        <v>4240</v>
      </c>
      <c r="B2757" s="70">
        <v>46250</v>
      </c>
      <c r="C2757" s="67" t="s">
        <v>1411</v>
      </c>
      <c r="D2757" s="67" t="s">
        <v>1506</v>
      </c>
      <c r="E2757" s="67" t="s">
        <v>1482</v>
      </c>
      <c r="F2757" s="67" t="s">
        <v>1462</v>
      </c>
      <c r="G2757" s="69">
        <v>33</v>
      </c>
    </row>
    <row r="2758" spans="1:7">
      <c r="A2758" s="67" t="s">
        <v>4241</v>
      </c>
      <c r="B2758" s="70">
        <v>46250</v>
      </c>
      <c r="C2758" s="67" t="s">
        <v>1411</v>
      </c>
      <c r="D2758" s="67" t="s">
        <v>1481</v>
      </c>
      <c r="E2758" s="67" t="s">
        <v>1482</v>
      </c>
      <c r="F2758" s="67" t="s">
        <v>1462</v>
      </c>
      <c r="G2758" s="69">
        <v>128</v>
      </c>
    </row>
    <row r="2759" spans="1:7">
      <c r="A2759" s="67" t="s">
        <v>4242</v>
      </c>
      <c r="B2759" s="70">
        <v>46250</v>
      </c>
      <c r="C2759" s="67" t="s">
        <v>1425</v>
      </c>
      <c r="D2759" s="67" t="s">
        <v>1607</v>
      </c>
      <c r="E2759" s="67" t="s">
        <v>1470</v>
      </c>
      <c r="F2759" s="67" t="s">
        <v>1462</v>
      </c>
      <c r="G2759" s="69">
        <v>407</v>
      </c>
    </row>
    <row r="2760" spans="1:7">
      <c r="A2760" s="67" t="s">
        <v>4243</v>
      </c>
      <c r="B2760" s="70">
        <v>46250</v>
      </c>
      <c r="C2760" s="67" t="s">
        <v>1429</v>
      </c>
      <c r="D2760" s="67" t="s">
        <v>365</v>
      </c>
      <c r="E2760" s="67" t="s">
        <v>1368</v>
      </c>
      <c r="F2760" s="67" t="s">
        <v>1462</v>
      </c>
      <c r="G2760" s="69">
        <v>178</v>
      </c>
    </row>
    <row r="2761" spans="1:7">
      <c r="A2761" s="67" t="s">
        <v>4244</v>
      </c>
      <c r="B2761" s="70">
        <v>46250</v>
      </c>
      <c r="C2761" s="67" t="s">
        <v>1429</v>
      </c>
      <c r="D2761" s="67" t="s">
        <v>369</v>
      </c>
      <c r="E2761" s="67" t="s">
        <v>1368</v>
      </c>
      <c r="F2761" s="67" t="s">
        <v>1460</v>
      </c>
      <c r="G2761" s="69">
        <v>9</v>
      </c>
    </row>
    <row r="2762" spans="1:7">
      <c r="A2762" s="67" t="s">
        <v>4245</v>
      </c>
      <c r="B2762" s="70">
        <v>46250</v>
      </c>
      <c r="C2762" s="67" t="s">
        <v>1429</v>
      </c>
      <c r="D2762" s="67" t="s">
        <v>1469</v>
      </c>
      <c r="E2762" s="67" t="s">
        <v>1470</v>
      </c>
      <c r="F2762" s="67" t="s">
        <v>1460</v>
      </c>
      <c r="G2762" s="69">
        <v>10</v>
      </c>
    </row>
    <row r="2763" spans="1:7">
      <c r="A2763" s="67" t="s">
        <v>4246</v>
      </c>
      <c r="B2763" s="70">
        <v>46250</v>
      </c>
      <c r="C2763" s="67" t="s">
        <v>1444</v>
      </c>
      <c r="D2763" s="67" t="s">
        <v>1551</v>
      </c>
      <c r="E2763" s="67" t="s">
        <v>1362</v>
      </c>
      <c r="F2763" s="67" t="s">
        <v>1460</v>
      </c>
      <c r="G2763" s="69">
        <v>20</v>
      </c>
    </row>
    <row r="2764" spans="1:7">
      <c r="A2764" s="67" t="s">
        <v>4247</v>
      </c>
      <c r="B2764" s="70">
        <v>46250</v>
      </c>
      <c r="C2764" s="67" t="s">
        <v>1444</v>
      </c>
      <c r="D2764" s="67" t="s">
        <v>1602</v>
      </c>
      <c r="E2764" s="67" t="s">
        <v>1386</v>
      </c>
      <c r="F2764" s="67" t="s">
        <v>1462</v>
      </c>
      <c r="G2764" s="69">
        <v>381</v>
      </c>
    </row>
    <row r="2765" spans="1:7">
      <c r="A2765" s="67" t="s">
        <v>4248</v>
      </c>
      <c r="B2765" s="70">
        <v>46250</v>
      </c>
      <c r="C2765" s="67" t="s">
        <v>1446</v>
      </c>
      <c r="D2765" s="67" t="s">
        <v>1476</v>
      </c>
      <c r="E2765" s="67" t="s">
        <v>1362</v>
      </c>
      <c r="F2765" s="67" t="s">
        <v>1460</v>
      </c>
      <c r="G2765" s="69">
        <v>27</v>
      </c>
    </row>
    <row r="2766" spans="1:7">
      <c r="A2766" s="67" t="s">
        <v>4249</v>
      </c>
      <c r="B2766" s="70">
        <v>46251</v>
      </c>
      <c r="C2766" s="67" t="s">
        <v>1366</v>
      </c>
      <c r="D2766" s="67" t="s">
        <v>353</v>
      </c>
      <c r="E2766" s="67" t="s">
        <v>1368</v>
      </c>
      <c r="F2766" s="67" t="s">
        <v>1460</v>
      </c>
      <c r="G2766" s="69">
        <v>25</v>
      </c>
    </row>
    <row r="2767" spans="1:7">
      <c r="A2767" s="67" t="s">
        <v>4250</v>
      </c>
      <c r="B2767" s="70">
        <v>46251</v>
      </c>
      <c r="C2767" s="67" t="s">
        <v>1371</v>
      </c>
      <c r="D2767" s="67" t="s">
        <v>353</v>
      </c>
      <c r="E2767" s="67" t="s">
        <v>1368</v>
      </c>
      <c r="F2767" s="67" t="s">
        <v>1488</v>
      </c>
      <c r="G2767" s="69">
        <v>8</v>
      </c>
    </row>
    <row r="2768" spans="1:7">
      <c r="A2768" s="67" t="s">
        <v>4251</v>
      </c>
      <c r="B2768" s="70">
        <v>46251</v>
      </c>
      <c r="C2768" s="67" t="s">
        <v>1371</v>
      </c>
      <c r="D2768" s="67" t="s">
        <v>1551</v>
      </c>
      <c r="E2768" s="67" t="s">
        <v>1362</v>
      </c>
      <c r="F2768" s="67" t="s">
        <v>1462</v>
      </c>
      <c r="G2768" s="69">
        <v>220</v>
      </c>
    </row>
    <row r="2769" spans="1:7">
      <c r="A2769" s="67" t="s">
        <v>4252</v>
      </c>
      <c r="B2769" s="70">
        <v>46251</v>
      </c>
      <c r="C2769" s="67" t="s">
        <v>1375</v>
      </c>
      <c r="D2769" s="67" t="s">
        <v>356</v>
      </c>
      <c r="E2769" s="67" t="s">
        <v>1368</v>
      </c>
      <c r="F2769" s="67" t="s">
        <v>1460</v>
      </c>
      <c r="G2769" s="69">
        <v>6</v>
      </c>
    </row>
    <row r="2770" spans="1:7">
      <c r="A2770" s="67" t="s">
        <v>4253</v>
      </c>
      <c r="B2770" s="70">
        <v>46251</v>
      </c>
      <c r="C2770" s="67" t="s">
        <v>1378</v>
      </c>
      <c r="D2770" s="67" t="s">
        <v>369</v>
      </c>
      <c r="E2770" s="67" t="s">
        <v>1368</v>
      </c>
      <c r="F2770" s="67" t="s">
        <v>1462</v>
      </c>
      <c r="G2770" s="69">
        <v>108</v>
      </c>
    </row>
    <row r="2771" spans="1:7">
      <c r="A2771" s="67" t="s">
        <v>4254</v>
      </c>
      <c r="B2771" s="70">
        <v>46251</v>
      </c>
      <c r="C2771" s="67" t="s">
        <v>1378</v>
      </c>
      <c r="D2771" s="67" t="s">
        <v>358</v>
      </c>
      <c r="E2771" s="67" t="s">
        <v>1368</v>
      </c>
      <c r="F2771" s="67" t="s">
        <v>1462</v>
      </c>
      <c r="G2771" s="69">
        <v>553</v>
      </c>
    </row>
    <row r="2772" spans="1:7">
      <c r="A2772" s="67" t="s">
        <v>4255</v>
      </c>
      <c r="B2772" s="70">
        <v>46251</v>
      </c>
      <c r="C2772" s="67" t="s">
        <v>1393</v>
      </c>
      <c r="D2772" s="67" t="s">
        <v>1520</v>
      </c>
      <c r="E2772" s="67" t="s">
        <v>1433</v>
      </c>
      <c r="F2772" s="67" t="s">
        <v>1462</v>
      </c>
      <c r="G2772" s="69">
        <v>84</v>
      </c>
    </row>
    <row r="2773" spans="1:7">
      <c r="A2773" s="67" t="s">
        <v>4256</v>
      </c>
      <c r="B2773" s="70">
        <v>46251</v>
      </c>
      <c r="C2773" s="67" t="s">
        <v>1393</v>
      </c>
      <c r="D2773" s="67" t="s">
        <v>358</v>
      </c>
      <c r="E2773" s="67" t="s">
        <v>1368</v>
      </c>
      <c r="F2773" s="67" t="s">
        <v>1462</v>
      </c>
      <c r="G2773" s="69">
        <v>547</v>
      </c>
    </row>
    <row r="2774" spans="1:7">
      <c r="A2774" s="67" t="s">
        <v>4257</v>
      </c>
      <c r="B2774" s="70">
        <v>46251</v>
      </c>
      <c r="C2774" s="67" t="s">
        <v>1404</v>
      </c>
      <c r="D2774" s="67" t="s">
        <v>365</v>
      </c>
      <c r="E2774" s="67" t="s">
        <v>1368</v>
      </c>
      <c r="F2774" s="67" t="s">
        <v>1462</v>
      </c>
      <c r="G2774" s="69">
        <v>163</v>
      </c>
    </row>
    <row r="2775" spans="1:7">
      <c r="A2775" s="67" t="s">
        <v>4258</v>
      </c>
      <c r="B2775" s="70">
        <v>46251</v>
      </c>
      <c r="C2775" s="67" t="s">
        <v>1404</v>
      </c>
      <c r="D2775" s="67" t="s">
        <v>365</v>
      </c>
      <c r="E2775" s="67" t="s">
        <v>1368</v>
      </c>
      <c r="F2775" s="67" t="s">
        <v>1462</v>
      </c>
      <c r="G2775" s="69">
        <v>82</v>
      </c>
    </row>
    <row r="2776" spans="1:7">
      <c r="A2776" s="67" t="s">
        <v>4259</v>
      </c>
      <c r="B2776" s="70">
        <v>46251</v>
      </c>
      <c r="C2776" s="67" t="s">
        <v>1404</v>
      </c>
      <c r="D2776" s="67" t="s">
        <v>367</v>
      </c>
      <c r="E2776" s="67" t="s">
        <v>1368</v>
      </c>
      <c r="F2776" s="67" t="s">
        <v>1462</v>
      </c>
      <c r="G2776" s="69">
        <v>358</v>
      </c>
    </row>
    <row r="2777" spans="1:7">
      <c r="A2777" s="67" t="s">
        <v>4260</v>
      </c>
      <c r="B2777" s="70">
        <v>46251</v>
      </c>
      <c r="C2777" s="67" t="s">
        <v>1406</v>
      </c>
      <c r="D2777" s="67" t="s">
        <v>367</v>
      </c>
      <c r="E2777" s="67" t="s">
        <v>1368</v>
      </c>
      <c r="F2777" s="67" t="s">
        <v>1460</v>
      </c>
      <c r="G2777" s="69">
        <v>12</v>
      </c>
    </row>
    <row r="2778" spans="1:7">
      <c r="A2778" s="67" t="s">
        <v>4261</v>
      </c>
      <c r="B2778" s="70">
        <v>46251</v>
      </c>
      <c r="C2778" s="67" t="s">
        <v>1411</v>
      </c>
      <c r="D2778" s="67" t="s">
        <v>1506</v>
      </c>
      <c r="E2778" s="67" t="s">
        <v>1482</v>
      </c>
      <c r="F2778" s="67" t="s">
        <v>1462</v>
      </c>
      <c r="G2778" s="69">
        <v>84</v>
      </c>
    </row>
    <row r="2779" spans="1:7">
      <c r="A2779" s="67" t="s">
        <v>4262</v>
      </c>
      <c r="B2779" s="70">
        <v>46251</v>
      </c>
      <c r="C2779" s="67" t="s">
        <v>1411</v>
      </c>
      <c r="D2779" s="67" t="s">
        <v>1506</v>
      </c>
      <c r="E2779" s="67" t="s">
        <v>1482</v>
      </c>
      <c r="F2779" s="67" t="s">
        <v>1462</v>
      </c>
      <c r="G2779" s="69">
        <v>490</v>
      </c>
    </row>
    <row r="2780" spans="1:7">
      <c r="A2780" s="67" t="s">
        <v>4263</v>
      </c>
      <c r="B2780" s="70">
        <v>46251</v>
      </c>
      <c r="C2780" s="67" t="s">
        <v>1411</v>
      </c>
      <c r="D2780" s="67" t="s">
        <v>1481</v>
      </c>
      <c r="E2780" s="67" t="s">
        <v>1482</v>
      </c>
      <c r="F2780" s="67" t="s">
        <v>1462</v>
      </c>
      <c r="G2780" s="69">
        <v>400</v>
      </c>
    </row>
    <row r="2781" spans="1:7">
      <c r="A2781" s="67" t="s">
        <v>4264</v>
      </c>
      <c r="B2781" s="70">
        <v>46251</v>
      </c>
      <c r="C2781" s="67" t="s">
        <v>1414</v>
      </c>
      <c r="D2781" s="67" t="s">
        <v>1511</v>
      </c>
      <c r="E2781" s="67" t="s">
        <v>1470</v>
      </c>
      <c r="F2781" s="67" t="s">
        <v>1462</v>
      </c>
      <c r="G2781" s="69">
        <v>167</v>
      </c>
    </row>
    <row r="2782" spans="1:7">
      <c r="A2782" s="67" t="s">
        <v>4265</v>
      </c>
      <c r="B2782" s="70">
        <v>46251</v>
      </c>
      <c r="C2782" s="67" t="s">
        <v>1423</v>
      </c>
      <c r="D2782" s="67" t="s">
        <v>369</v>
      </c>
      <c r="E2782" s="67" t="s">
        <v>1368</v>
      </c>
      <c r="F2782" s="67" t="s">
        <v>1460</v>
      </c>
      <c r="G2782" s="69">
        <v>14</v>
      </c>
    </row>
    <row r="2783" spans="1:7">
      <c r="A2783" s="67" t="s">
        <v>4266</v>
      </c>
      <c r="B2783" s="70">
        <v>46251</v>
      </c>
      <c r="C2783" s="67" t="s">
        <v>1423</v>
      </c>
      <c r="D2783" s="67" t="s">
        <v>1743</v>
      </c>
      <c r="E2783" s="67" t="s">
        <v>1410</v>
      </c>
      <c r="F2783" s="67" t="s">
        <v>1460</v>
      </c>
      <c r="G2783" s="69">
        <v>28</v>
      </c>
    </row>
    <row r="2784" spans="1:7">
      <c r="A2784" s="67" t="s">
        <v>4267</v>
      </c>
      <c r="B2784" s="70">
        <v>46251</v>
      </c>
      <c r="C2784" s="67" t="s">
        <v>1425</v>
      </c>
      <c r="D2784" s="67" t="s">
        <v>1469</v>
      </c>
      <c r="E2784" s="67" t="s">
        <v>1470</v>
      </c>
      <c r="F2784" s="67" t="s">
        <v>1462</v>
      </c>
      <c r="G2784" s="69">
        <v>205</v>
      </c>
    </row>
    <row r="2785" spans="1:7">
      <c r="A2785" s="67" t="s">
        <v>4268</v>
      </c>
      <c r="B2785" s="70">
        <v>46251</v>
      </c>
      <c r="C2785" s="67" t="s">
        <v>1431</v>
      </c>
      <c r="D2785" s="67" t="s">
        <v>1520</v>
      </c>
      <c r="E2785" s="67" t="s">
        <v>1433</v>
      </c>
      <c r="F2785" s="67" t="s">
        <v>1488</v>
      </c>
      <c r="G2785" s="69">
        <v>7</v>
      </c>
    </row>
    <row r="2786" spans="1:7">
      <c r="A2786" s="67" t="s">
        <v>4269</v>
      </c>
      <c r="B2786" s="70">
        <v>46251</v>
      </c>
      <c r="C2786" s="67" t="s">
        <v>1438</v>
      </c>
      <c r="D2786" s="67" t="s">
        <v>353</v>
      </c>
      <c r="E2786" s="67" t="s">
        <v>1368</v>
      </c>
      <c r="F2786" s="67" t="s">
        <v>1462</v>
      </c>
      <c r="G2786" s="69">
        <v>210</v>
      </c>
    </row>
    <row r="2787" spans="1:7">
      <c r="A2787" s="67" t="s">
        <v>4270</v>
      </c>
      <c r="B2787" s="70">
        <v>46252</v>
      </c>
      <c r="C2787" s="67" t="s">
        <v>1359</v>
      </c>
      <c r="D2787" s="67" t="s">
        <v>353</v>
      </c>
      <c r="E2787" s="67" t="s">
        <v>1368</v>
      </c>
      <c r="F2787" s="67" t="s">
        <v>1462</v>
      </c>
      <c r="G2787" s="69">
        <v>545</v>
      </c>
    </row>
    <row r="2788" spans="1:7">
      <c r="A2788" s="67" t="s">
        <v>4271</v>
      </c>
      <c r="B2788" s="70">
        <v>46252</v>
      </c>
      <c r="C2788" s="67" t="s">
        <v>1359</v>
      </c>
      <c r="D2788" s="67" t="s">
        <v>1476</v>
      </c>
      <c r="E2788" s="67" t="s">
        <v>1362</v>
      </c>
      <c r="F2788" s="67" t="s">
        <v>1462</v>
      </c>
      <c r="G2788" s="69">
        <v>247</v>
      </c>
    </row>
    <row r="2789" spans="1:7">
      <c r="A2789" s="67" t="s">
        <v>4272</v>
      </c>
      <c r="B2789" s="70">
        <v>46252</v>
      </c>
      <c r="C2789" s="67" t="s">
        <v>1359</v>
      </c>
      <c r="D2789" s="67" t="s">
        <v>1551</v>
      </c>
      <c r="E2789" s="67" t="s">
        <v>1362</v>
      </c>
      <c r="F2789" s="67" t="s">
        <v>1462</v>
      </c>
      <c r="G2789" s="69">
        <v>288</v>
      </c>
    </row>
    <row r="2790" spans="1:7">
      <c r="A2790" s="67" t="s">
        <v>4273</v>
      </c>
      <c r="B2790" s="70">
        <v>46252</v>
      </c>
      <c r="C2790" s="67" t="s">
        <v>1366</v>
      </c>
      <c r="D2790" s="67" t="s">
        <v>1511</v>
      </c>
      <c r="E2790" s="67" t="s">
        <v>1470</v>
      </c>
      <c r="F2790" s="67" t="s">
        <v>1460</v>
      </c>
      <c r="G2790" s="69">
        <v>27</v>
      </c>
    </row>
    <row r="2791" spans="1:7">
      <c r="A2791" s="67" t="s">
        <v>4274</v>
      </c>
      <c r="B2791" s="70">
        <v>46252</v>
      </c>
      <c r="C2791" s="67" t="s">
        <v>1366</v>
      </c>
      <c r="D2791" s="67" t="s">
        <v>365</v>
      </c>
      <c r="E2791" s="67" t="s">
        <v>1368</v>
      </c>
      <c r="F2791" s="67" t="s">
        <v>1462</v>
      </c>
      <c r="G2791" s="69">
        <v>253</v>
      </c>
    </row>
    <row r="2792" spans="1:7">
      <c r="A2792" s="67" t="s">
        <v>4275</v>
      </c>
      <c r="B2792" s="70">
        <v>46252</v>
      </c>
      <c r="C2792" s="67" t="s">
        <v>1366</v>
      </c>
      <c r="D2792" s="67" t="s">
        <v>369</v>
      </c>
      <c r="E2792" s="67" t="s">
        <v>1368</v>
      </c>
      <c r="F2792" s="67" t="s">
        <v>1460</v>
      </c>
      <c r="G2792" s="69">
        <v>17</v>
      </c>
    </row>
    <row r="2793" spans="1:7">
      <c r="A2793" s="67" t="s">
        <v>4276</v>
      </c>
      <c r="B2793" s="70">
        <v>46252</v>
      </c>
      <c r="C2793" s="67" t="s">
        <v>1378</v>
      </c>
      <c r="D2793" s="67" t="s">
        <v>353</v>
      </c>
      <c r="E2793" s="67" t="s">
        <v>1368</v>
      </c>
      <c r="F2793" s="67" t="s">
        <v>1462</v>
      </c>
      <c r="G2793" s="69">
        <v>490</v>
      </c>
    </row>
    <row r="2794" spans="1:7">
      <c r="A2794" s="67" t="s">
        <v>4277</v>
      </c>
      <c r="B2794" s="70">
        <v>46252</v>
      </c>
      <c r="C2794" s="67" t="s">
        <v>1381</v>
      </c>
      <c r="D2794" s="67" t="s">
        <v>1511</v>
      </c>
      <c r="E2794" s="67" t="s">
        <v>1470</v>
      </c>
      <c r="F2794" s="67" t="s">
        <v>1462</v>
      </c>
      <c r="G2794" s="69">
        <v>512</v>
      </c>
    </row>
    <row r="2795" spans="1:7">
      <c r="A2795" s="67" t="s">
        <v>4278</v>
      </c>
      <c r="B2795" s="70">
        <v>46252</v>
      </c>
      <c r="C2795" s="67" t="s">
        <v>1381</v>
      </c>
      <c r="D2795" s="67" t="s">
        <v>365</v>
      </c>
      <c r="E2795" s="67" t="s">
        <v>1368</v>
      </c>
      <c r="F2795" s="67" t="s">
        <v>1460</v>
      </c>
      <c r="G2795" s="69">
        <v>26</v>
      </c>
    </row>
    <row r="2796" spans="1:7">
      <c r="A2796" s="67" t="s">
        <v>4279</v>
      </c>
      <c r="B2796" s="70">
        <v>46252</v>
      </c>
      <c r="C2796" s="67" t="s">
        <v>1381</v>
      </c>
      <c r="D2796" s="67" t="s">
        <v>369</v>
      </c>
      <c r="E2796" s="67" t="s">
        <v>1368</v>
      </c>
      <c r="F2796" s="67" t="s">
        <v>1460</v>
      </c>
      <c r="G2796" s="69">
        <v>15</v>
      </c>
    </row>
    <row r="2797" spans="1:7">
      <c r="A2797" s="67" t="s">
        <v>4280</v>
      </c>
      <c r="B2797" s="70">
        <v>46252</v>
      </c>
      <c r="C2797" s="67" t="s">
        <v>1384</v>
      </c>
      <c r="D2797" s="67" t="s">
        <v>1459</v>
      </c>
      <c r="E2797" s="67" t="s">
        <v>1362</v>
      </c>
      <c r="F2797" s="67" t="s">
        <v>1462</v>
      </c>
      <c r="G2797" s="69">
        <v>212</v>
      </c>
    </row>
    <row r="2798" spans="1:7">
      <c r="A2798" s="67" t="s">
        <v>4281</v>
      </c>
      <c r="B2798" s="70">
        <v>46252</v>
      </c>
      <c r="C2798" s="67" t="s">
        <v>1391</v>
      </c>
      <c r="D2798" s="67" t="s">
        <v>1618</v>
      </c>
      <c r="E2798" s="67" t="s">
        <v>1433</v>
      </c>
      <c r="F2798" s="67" t="s">
        <v>1462</v>
      </c>
      <c r="G2798" s="69">
        <v>88</v>
      </c>
    </row>
    <row r="2799" spans="1:7">
      <c r="A2799" s="67" t="s">
        <v>4282</v>
      </c>
      <c r="B2799" s="70">
        <v>46252</v>
      </c>
      <c r="C2799" s="67" t="s">
        <v>1393</v>
      </c>
      <c r="D2799" s="67" t="s">
        <v>356</v>
      </c>
      <c r="E2799" s="67" t="s">
        <v>1368</v>
      </c>
      <c r="F2799" s="67" t="s">
        <v>1460</v>
      </c>
      <c r="G2799" s="69">
        <v>29</v>
      </c>
    </row>
    <row r="2800" spans="1:7">
      <c r="A2800" s="67" t="s">
        <v>4283</v>
      </c>
      <c r="B2800" s="70">
        <v>46252</v>
      </c>
      <c r="C2800" s="67" t="s">
        <v>1399</v>
      </c>
      <c r="D2800" s="67" t="s">
        <v>1466</v>
      </c>
      <c r="E2800" s="67" t="s">
        <v>1386</v>
      </c>
      <c r="F2800" s="67" t="s">
        <v>1460</v>
      </c>
      <c r="G2800" s="69">
        <v>22</v>
      </c>
    </row>
    <row r="2801" spans="1:7">
      <c r="A2801" s="67" t="s">
        <v>4284</v>
      </c>
      <c r="B2801" s="70">
        <v>46252</v>
      </c>
      <c r="C2801" s="67" t="s">
        <v>1399</v>
      </c>
      <c r="D2801" s="67" t="s">
        <v>1602</v>
      </c>
      <c r="E2801" s="67" t="s">
        <v>1386</v>
      </c>
      <c r="F2801" s="67" t="s">
        <v>1462</v>
      </c>
      <c r="G2801" s="69">
        <v>588</v>
      </c>
    </row>
    <row r="2802" spans="1:7">
      <c r="A2802" s="67" t="s">
        <v>4285</v>
      </c>
      <c r="B2802" s="70">
        <v>46252</v>
      </c>
      <c r="C2802" s="67" t="s">
        <v>1404</v>
      </c>
      <c r="D2802" s="67" t="s">
        <v>353</v>
      </c>
      <c r="E2802" s="67" t="s">
        <v>1368</v>
      </c>
      <c r="F2802" s="67" t="s">
        <v>1462</v>
      </c>
      <c r="G2802" s="69">
        <v>400</v>
      </c>
    </row>
    <row r="2803" spans="1:7">
      <c r="A2803" s="67" t="s">
        <v>4286</v>
      </c>
      <c r="B2803" s="70">
        <v>46252</v>
      </c>
      <c r="C2803" s="67" t="s">
        <v>1404</v>
      </c>
      <c r="D2803" s="67" t="s">
        <v>369</v>
      </c>
      <c r="E2803" s="67" t="s">
        <v>1368</v>
      </c>
      <c r="F2803" s="67" t="s">
        <v>1462</v>
      </c>
      <c r="G2803" s="69">
        <v>57</v>
      </c>
    </row>
    <row r="2804" spans="1:7">
      <c r="A2804" s="67" t="s">
        <v>4287</v>
      </c>
      <c r="B2804" s="70">
        <v>46252</v>
      </c>
      <c r="C2804" s="67" t="s">
        <v>1414</v>
      </c>
      <c r="D2804" s="67" t="s">
        <v>1607</v>
      </c>
      <c r="E2804" s="67" t="s">
        <v>1470</v>
      </c>
      <c r="F2804" s="67" t="s">
        <v>1462</v>
      </c>
      <c r="G2804" s="69">
        <v>46</v>
      </c>
    </row>
    <row r="2805" spans="1:7">
      <c r="A2805" s="67" t="s">
        <v>4288</v>
      </c>
      <c r="B2805" s="70">
        <v>46252</v>
      </c>
      <c r="C2805" s="67" t="s">
        <v>1414</v>
      </c>
      <c r="D2805" s="67" t="s">
        <v>1484</v>
      </c>
      <c r="E2805" s="67" t="s">
        <v>1470</v>
      </c>
      <c r="F2805" s="67" t="s">
        <v>1462</v>
      </c>
      <c r="G2805" s="69">
        <v>449</v>
      </c>
    </row>
    <row r="2806" spans="1:7">
      <c r="A2806" s="67" t="s">
        <v>4289</v>
      </c>
      <c r="B2806" s="70">
        <v>46252</v>
      </c>
      <c r="C2806" s="67" t="s">
        <v>1423</v>
      </c>
      <c r="D2806" s="67" t="s">
        <v>1487</v>
      </c>
      <c r="E2806" s="67" t="s">
        <v>1410</v>
      </c>
      <c r="F2806" s="67" t="s">
        <v>1488</v>
      </c>
      <c r="G2806" s="69">
        <v>10</v>
      </c>
    </row>
    <row r="2807" spans="1:7">
      <c r="A2807" s="67" t="s">
        <v>4290</v>
      </c>
      <c r="B2807" s="70">
        <v>46252</v>
      </c>
      <c r="C2807" s="67" t="s">
        <v>1423</v>
      </c>
      <c r="D2807" s="67" t="s">
        <v>1515</v>
      </c>
      <c r="E2807" s="67" t="s">
        <v>1410</v>
      </c>
      <c r="F2807" s="67" t="s">
        <v>1462</v>
      </c>
      <c r="G2807" s="69">
        <v>520</v>
      </c>
    </row>
    <row r="2808" spans="1:7">
      <c r="A2808" s="67" t="s">
        <v>4291</v>
      </c>
      <c r="B2808" s="70">
        <v>46252</v>
      </c>
      <c r="C2808" s="67" t="s">
        <v>1423</v>
      </c>
      <c r="D2808" s="67" t="s">
        <v>367</v>
      </c>
      <c r="E2808" s="67" t="s">
        <v>1368</v>
      </c>
      <c r="F2808" s="67" t="s">
        <v>1462</v>
      </c>
      <c r="G2808" s="69">
        <v>381</v>
      </c>
    </row>
    <row r="2809" spans="1:7">
      <c r="A2809" s="67" t="s">
        <v>4292</v>
      </c>
      <c r="B2809" s="70">
        <v>46252</v>
      </c>
      <c r="C2809" s="67" t="s">
        <v>1444</v>
      </c>
      <c r="D2809" s="67" t="s">
        <v>1466</v>
      </c>
      <c r="E2809" s="67" t="s">
        <v>1386</v>
      </c>
      <c r="F2809" s="67" t="s">
        <v>1462</v>
      </c>
      <c r="G2809" s="69">
        <v>138</v>
      </c>
    </row>
    <row r="2810" spans="1:7">
      <c r="A2810" s="67" t="s">
        <v>4293</v>
      </c>
      <c r="B2810" s="70">
        <v>46252</v>
      </c>
      <c r="C2810" s="67" t="s">
        <v>1446</v>
      </c>
      <c r="D2810" s="67" t="s">
        <v>1551</v>
      </c>
      <c r="E2810" s="67" t="s">
        <v>1362</v>
      </c>
      <c r="F2810" s="67" t="s">
        <v>1462</v>
      </c>
      <c r="G2810" s="69">
        <v>176</v>
      </c>
    </row>
    <row r="2811" spans="1:7">
      <c r="A2811" s="67" t="s">
        <v>4294</v>
      </c>
      <c r="B2811" s="70">
        <v>46253</v>
      </c>
      <c r="C2811" s="67" t="s">
        <v>1359</v>
      </c>
      <c r="D2811" s="67" t="s">
        <v>360</v>
      </c>
      <c r="E2811" s="67" t="s">
        <v>1368</v>
      </c>
      <c r="F2811" s="67" t="s">
        <v>1462</v>
      </c>
      <c r="G2811" s="69">
        <v>505</v>
      </c>
    </row>
    <row r="2812" spans="1:7">
      <c r="A2812" s="67" t="s">
        <v>4295</v>
      </c>
      <c r="B2812" s="70">
        <v>46253</v>
      </c>
      <c r="C2812" s="67" t="s">
        <v>1359</v>
      </c>
      <c r="D2812" s="67" t="s">
        <v>1476</v>
      </c>
      <c r="E2812" s="67" t="s">
        <v>1362</v>
      </c>
      <c r="F2812" s="67" t="s">
        <v>1462</v>
      </c>
      <c r="G2812" s="69">
        <v>312</v>
      </c>
    </row>
    <row r="2813" spans="1:7">
      <c r="A2813" s="67" t="s">
        <v>4296</v>
      </c>
      <c r="B2813" s="70">
        <v>46253</v>
      </c>
      <c r="C2813" s="67" t="s">
        <v>1366</v>
      </c>
      <c r="D2813" s="67" t="s">
        <v>1511</v>
      </c>
      <c r="E2813" s="67" t="s">
        <v>1470</v>
      </c>
      <c r="F2813" s="67" t="s">
        <v>1460</v>
      </c>
      <c r="G2813" s="69">
        <v>9</v>
      </c>
    </row>
    <row r="2814" spans="1:7">
      <c r="A2814" s="67" t="s">
        <v>4297</v>
      </c>
      <c r="B2814" s="70">
        <v>46253</v>
      </c>
      <c r="C2814" s="67" t="s">
        <v>1366</v>
      </c>
      <c r="D2814" s="67" t="s">
        <v>356</v>
      </c>
      <c r="E2814" s="67" t="s">
        <v>1368</v>
      </c>
      <c r="F2814" s="67" t="s">
        <v>1462</v>
      </c>
      <c r="G2814" s="69">
        <v>135</v>
      </c>
    </row>
    <row r="2815" spans="1:7">
      <c r="A2815" s="67" t="s">
        <v>4298</v>
      </c>
      <c r="B2815" s="70">
        <v>46253</v>
      </c>
      <c r="C2815" s="67" t="s">
        <v>1366</v>
      </c>
      <c r="D2815" s="67" t="s">
        <v>356</v>
      </c>
      <c r="E2815" s="67" t="s">
        <v>1368</v>
      </c>
      <c r="F2815" s="67" t="s">
        <v>1460</v>
      </c>
      <c r="G2815" s="69">
        <v>29</v>
      </c>
    </row>
    <row r="2816" spans="1:7">
      <c r="A2816" s="67" t="s">
        <v>4299</v>
      </c>
      <c r="B2816" s="70">
        <v>46253</v>
      </c>
      <c r="C2816" s="67" t="s">
        <v>1366</v>
      </c>
      <c r="D2816" s="67" t="s">
        <v>1476</v>
      </c>
      <c r="E2816" s="67" t="s">
        <v>1362</v>
      </c>
      <c r="F2816" s="67" t="s">
        <v>1462</v>
      </c>
      <c r="G2816" s="69">
        <v>271</v>
      </c>
    </row>
    <row r="2817" spans="1:7">
      <c r="A2817" s="67" t="s">
        <v>4300</v>
      </c>
      <c r="B2817" s="70">
        <v>46253</v>
      </c>
      <c r="C2817" s="67" t="s">
        <v>1381</v>
      </c>
      <c r="D2817" s="67" t="s">
        <v>356</v>
      </c>
      <c r="E2817" s="67" t="s">
        <v>1368</v>
      </c>
      <c r="F2817" s="67" t="s">
        <v>1460</v>
      </c>
      <c r="G2817" s="69">
        <v>14</v>
      </c>
    </row>
    <row r="2818" spans="1:7">
      <c r="A2818" s="67" t="s">
        <v>4301</v>
      </c>
      <c r="B2818" s="70">
        <v>46253</v>
      </c>
      <c r="C2818" s="67" t="s">
        <v>1381</v>
      </c>
      <c r="D2818" s="67" t="s">
        <v>1484</v>
      </c>
      <c r="E2818" s="67" t="s">
        <v>1470</v>
      </c>
      <c r="F2818" s="67" t="s">
        <v>1460</v>
      </c>
      <c r="G2818" s="69">
        <v>11</v>
      </c>
    </row>
    <row r="2819" spans="1:7">
      <c r="A2819" s="67" t="s">
        <v>4302</v>
      </c>
      <c r="B2819" s="70">
        <v>46253</v>
      </c>
      <c r="C2819" s="67" t="s">
        <v>1389</v>
      </c>
      <c r="D2819" s="67" t="s">
        <v>353</v>
      </c>
      <c r="E2819" s="67" t="s">
        <v>1368</v>
      </c>
      <c r="F2819" s="67" t="s">
        <v>1462</v>
      </c>
      <c r="G2819" s="69">
        <v>77</v>
      </c>
    </row>
    <row r="2820" spans="1:7">
      <c r="A2820" s="67" t="s">
        <v>4303</v>
      </c>
      <c r="B2820" s="70">
        <v>46253</v>
      </c>
      <c r="C2820" s="67" t="s">
        <v>1393</v>
      </c>
      <c r="D2820" s="67" t="s">
        <v>356</v>
      </c>
      <c r="E2820" s="67" t="s">
        <v>1368</v>
      </c>
      <c r="F2820" s="67" t="s">
        <v>1460</v>
      </c>
      <c r="G2820" s="69">
        <v>29</v>
      </c>
    </row>
    <row r="2821" spans="1:7">
      <c r="A2821" s="67" t="s">
        <v>4304</v>
      </c>
      <c r="B2821" s="70">
        <v>46253</v>
      </c>
      <c r="C2821" s="67" t="s">
        <v>1404</v>
      </c>
      <c r="D2821" s="67" t="s">
        <v>365</v>
      </c>
      <c r="E2821" s="67" t="s">
        <v>1368</v>
      </c>
      <c r="F2821" s="67" t="s">
        <v>1462</v>
      </c>
      <c r="G2821" s="69">
        <v>545</v>
      </c>
    </row>
    <row r="2822" spans="1:7">
      <c r="A2822" s="67" t="s">
        <v>4305</v>
      </c>
      <c r="B2822" s="70">
        <v>46253</v>
      </c>
      <c r="C2822" s="67" t="s">
        <v>1414</v>
      </c>
      <c r="D2822" s="67" t="s">
        <v>1607</v>
      </c>
      <c r="E2822" s="67" t="s">
        <v>1470</v>
      </c>
      <c r="F2822" s="67" t="s">
        <v>1460</v>
      </c>
      <c r="G2822" s="69">
        <v>15</v>
      </c>
    </row>
    <row r="2823" spans="1:7">
      <c r="A2823" s="67" t="s">
        <v>4306</v>
      </c>
      <c r="B2823" s="70">
        <v>46253</v>
      </c>
      <c r="C2823" s="67" t="s">
        <v>1414</v>
      </c>
      <c r="D2823" s="67" t="s">
        <v>1484</v>
      </c>
      <c r="E2823" s="67" t="s">
        <v>1470</v>
      </c>
      <c r="F2823" s="67" t="s">
        <v>1460</v>
      </c>
      <c r="G2823" s="69">
        <v>10</v>
      </c>
    </row>
    <row r="2824" spans="1:7">
      <c r="A2824" s="67" t="s">
        <v>4307</v>
      </c>
      <c r="B2824" s="70">
        <v>46253</v>
      </c>
      <c r="C2824" s="67" t="s">
        <v>1425</v>
      </c>
      <c r="D2824" s="67" t="s">
        <v>1491</v>
      </c>
      <c r="E2824" s="67" t="s">
        <v>1470</v>
      </c>
      <c r="F2824" s="67" t="s">
        <v>1460</v>
      </c>
      <c r="G2824" s="69">
        <v>17</v>
      </c>
    </row>
    <row r="2825" spans="1:7">
      <c r="A2825" s="67" t="s">
        <v>4308</v>
      </c>
      <c r="B2825" s="70">
        <v>46253</v>
      </c>
      <c r="C2825" s="67" t="s">
        <v>1446</v>
      </c>
      <c r="D2825" s="67" t="s">
        <v>369</v>
      </c>
      <c r="E2825" s="67" t="s">
        <v>1368</v>
      </c>
      <c r="F2825" s="67" t="s">
        <v>1462</v>
      </c>
      <c r="G2825" s="69">
        <v>319</v>
      </c>
    </row>
    <row r="2826" spans="1:7">
      <c r="A2826" s="67" t="s">
        <v>4309</v>
      </c>
      <c r="B2826" s="70">
        <v>46254</v>
      </c>
      <c r="C2826" s="67" t="s">
        <v>1359</v>
      </c>
      <c r="D2826" s="67" t="s">
        <v>369</v>
      </c>
      <c r="E2826" s="67" t="s">
        <v>1368</v>
      </c>
      <c r="F2826" s="67" t="s">
        <v>1460</v>
      </c>
      <c r="G2826" s="69">
        <v>5</v>
      </c>
    </row>
    <row r="2827" spans="1:7">
      <c r="A2827" s="67" t="s">
        <v>4310</v>
      </c>
      <c r="B2827" s="70">
        <v>46254</v>
      </c>
      <c r="C2827" s="67" t="s">
        <v>1359</v>
      </c>
      <c r="D2827" s="67" t="s">
        <v>1459</v>
      </c>
      <c r="E2827" s="67" t="s">
        <v>1362</v>
      </c>
      <c r="F2827" s="67" t="s">
        <v>1462</v>
      </c>
      <c r="G2827" s="69">
        <v>449</v>
      </c>
    </row>
    <row r="2828" spans="1:7">
      <c r="A2828" s="67" t="s">
        <v>4311</v>
      </c>
      <c r="B2828" s="70">
        <v>46254</v>
      </c>
      <c r="C2828" s="67" t="s">
        <v>1359</v>
      </c>
      <c r="D2828" s="67" t="s">
        <v>1459</v>
      </c>
      <c r="E2828" s="67" t="s">
        <v>1362</v>
      </c>
      <c r="F2828" s="67" t="s">
        <v>1462</v>
      </c>
      <c r="G2828" s="69">
        <v>311</v>
      </c>
    </row>
    <row r="2829" spans="1:7">
      <c r="A2829" s="67" t="s">
        <v>4312</v>
      </c>
      <c r="B2829" s="70">
        <v>46254</v>
      </c>
      <c r="C2829" s="67" t="s">
        <v>1359</v>
      </c>
      <c r="D2829" s="67" t="s">
        <v>1602</v>
      </c>
      <c r="E2829" s="67" t="s">
        <v>1386</v>
      </c>
      <c r="F2829" s="67" t="s">
        <v>1462</v>
      </c>
      <c r="G2829" s="69">
        <v>29</v>
      </c>
    </row>
    <row r="2830" spans="1:7">
      <c r="A2830" s="67" t="s">
        <v>4313</v>
      </c>
      <c r="B2830" s="70">
        <v>46254</v>
      </c>
      <c r="C2830" s="67" t="s">
        <v>1366</v>
      </c>
      <c r="D2830" s="67" t="s">
        <v>353</v>
      </c>
      <c r="E2830" s="67" t="s">
        <v>1368</v>
      </c>
      <c r="F2830" s="67" t="s">
        <v>1462</v>
      </c>
      <c r="G2830" s="69">
        <v>154</v>
      </c>
    </row>
    <row r="2831" spans="1:7">
      <c r="A2831" s="67" t="s">
        <v>4314</v>
      </c>
      <c r="B2831" s="70">
        <v>46254</v>
      </c>
      <c r="C2831" s="67" t="s">
        <v>1366</v>
      </c>
      <c r="D2831" s="67" t="s">
        <v>1511</v>
      </c>
      <c r="E2831" s="67" t="s">
        <v>1470</v>
      </c>
      <c r="F2831" s="67" t="s">
        <v>1462</v>
      </c>
      <c r="G2831" s="69">
        <v>102</v>
      </c>
    </row>
    <row r="2832" spans="1:7">
      <c r="A2832" s="67" t="s">
        <v>4315</v>
      </c>
      <c r="B2832" s="70">
        <v>46254</v>
      </c>
      <c r="C2832" s="67" t="s">
        <v>1366</v>
      </c>
      <c r="D2832" s="67" t="s">
        <v>1484</v>
      </c>
      <c r="E2832" s="67" t="s">
        <v>1470</v>
      </c>
      <c r="F2832" s="67" t="s">
        <v>1462</v>
      </c>
      <c r="G2832" s="69">
        <v>449</v>
      </c>
    </row>
    <row r="2833" spans="1:7">
      <c r="A2833" s="67" t="s">
        <v>4316</v>
      </c>
      <c r="B2833" s="70">
        <v>46254</v>
      </c>
      <c r="C2833" s="67" t="s">
        <v>1366</v>
      </c>
      <c r="D2833" s="67" t="s">
        <v>365</v>
      </c>
      <c r="E2833" s="67" t="s">
        <v>1368</v>
      </c>
      <c r="F2833" s="67" t="s">
        <v>1462</v>
      </c>
      <c r="G2833" s="69">
        <v>445</v>
      </c>
    </row>
    <row r="2834" spans="1:7">
      <c r="A2834" s="67" t="s">
        <v>4317</v>
      </c>
      <c r="B2834" s="70">
        <v>46254</v>
      </c>
      <c r="C2834" s="67" t="s">
        <v>1371</v>
      </c>
      <c r="D2834" s="67" t="s">
        <v>1459</v>
      </c>
      <c r="E2834" s="67" t="s">
        <v>1362</v>
      </c>
      <c r="F2834" s="67" t="s">
        <v>1460</v>
      </c>
      <c r="G2834" s="69">
        <v>21</v>
      </c>
    </row>
    <row r="2835" spans="1:7">
      <c r="A2835" s="67" t="s">
        <v>4318</v>
      </c>
      <c r="B2835" s="70">
        <v>46254</v>
      </c>
      <c r="C2835" s="67" t="s">
        <v>1375</v>
      </c>
      <c r="D2835" s="67" t="s">
        <v>369</v>
      </c>
      <c r="E2835" s="67" t="s">
        <v>1368</v>
      </c>
      <c r="F2835" s="67" t="s">
        <v>1488</v>
      </c>
      <c r="G2835" s="69">
        <v>4</v>
      </c>
    </row>
    <row r="2836" spans="1:7">
      <c r="A2836" s="67" t="s">
        <v>4319</v>
      </c>
      <c r="B2836" s="70">
        <v>46254</v>
      </c>
      <c r="C2836" s="67" t="s">
        <v>1378</v>
      </c>
      <c r="D2836" s="67" t="s">
        <v>353</v>
      </c>
      <c r="E2836" s="67" t="s">
        <v>1368</v>
      </c>
      <c r="F2836" s="67" t="s">
        <v>1462</v>
      </c>
      <c r="G2836" s="69">
        <v>360</v>
      </c>
    </row>
    <row r="2837" spans="1:7">
      <c r="A2837" s="67" t="s">
        <v>4320</v>
      </c>
      <c r="B2837" s="70">
        <v>46254</v>
      </c>
      <c r="C2837" s="67" t="s">
        <v>1381</v>
      </c>
      <c r="D2837" s="67" t="s">
        <v>367</v>
      </c>
      <c r="E2837" s="67" t="s">
        <v>1368</v>
      </c>
      <c r="F2837" s="67" t="s">
        <v>1460</v>
      </c>
      <c r="G2837" s="69">
        <v>15</v>
      </c>
    </row>
    <row r="2838" spans="1:7">
      <c r="A2838" s="67" t="s">
        <v>4321</v>
      </c>
      <c r="B2838" s="70">
        <v>46254</v>
      </c>
      <c r="C2838" s="67" t="s">
        <v>1381</v>
      </c>
      <c r="D2838" s="67" t="s">
        <v>358</v>
      </c>
      <c r="E2838" s="67" t="s">
        <v>1368</v>
      </c>
      <c r="F2838" s="67" t="s">
        <v>1460</v>
      </c>
      <c r="G2838" s="69">
        <v>27</v>
      </c>
    </row>
    <row r="2839" spans="1:7">
      <c r="A2839" s="67" t="s">
        <v>4322</v>
      </c>
      <c r="B2839" s="70">
        <v>46254</v>
      </c>
      <c r="C2839" s="67" t="s">
        <v>1384</v>
      </c>
      <c r="D2839" s="67" t="s">
        <v>1466</v>
      </c>
      <c r="E2839" s="67" t="s">
        <v>1386</v>
      </c>
      <c r="F2839" s="67" t="s">
        <v>1462</v>
      </c>
      <c r="G2839" s="69">
        <v>265</v>
      </c>
    </row>
    <row r="2840" spans="1:7">
      <c r="A2840" s="67" t="s">
        <v>4323</v>
      </c>
      <c r="B2840" s="70">
        <v>46254</v>
      </c>
      <c r="C2840" s="67" t="s">
        <v>1404</v>
      </c>
      <c r="D2840" s="67" t="s">
        <v>353</v>
      </c>
      <c r="E2840" s="67" t="s">
        <v>1368</v>
      </c>
      <c r="F2840" s="67" t="s">
        <v>1462</v>
      </c>
      <c r="G2840" s="69">
        <v>593</v>
      </c>
    </row>
    <row r="2841" spans="1:7">
      <c r="A2841" s="67" t="s">
        <v>4324</v>
      </c>
      <c r="B2841" s="70">
        <v>46254</v>
      </c>
      <c r="C2841" s="67" t="s">
        <v>1404</v>
      </c>
      <c r="D2841" s="67" t="s">
        <v>1476</v>
      </c>
      <c r="E2841" s="67" t="s">
        <v>1362</v>
      </c>
      <c r="F2841" s="67" t="s">
        <v>1462</v>
      </c>
      <c r="G2841" s="69">
        <v>432</v>
      </c>
    </row>
    <row r="2842" spans="1:7">
      <c r="A2842" s="67" t="s">
        <v>4325</v>
      </c>
      <c r="B2842" s="70">
        <v>46254</v>
      </c>
      <c r="C2842" s="67" t="s">
        <v>1411</v>
      </c>
      <c r="D2842" s="67" t="s">
        <v>1481</v>
      </c>
      <c r="E2842" s="67" t="s">
        <v>1482</v>
      </c>
      <c r="F2842" s="67" t="s">
        <v>1462</v>
      </c>
      <c r="G2842" s="69">
        <v>238</v>
      </c>
    </row>
    <row r="2843" spans="1:7">
      <c r="A2843" s="67" t="s">
        <v>4326</v>
      </c>
      <c r="B2843" s="70">
        <v>46254</v>
      </c>
      <c r="C2843" s="67" t="s">
        <v>1414</v>
      </c>
      <c r="D2843" s="67" t="s">
        <v>1607</v>
      </c>
      <c r="E2843" s="67" t="s">
        <v>1470</v>
      </c>
      <c r="F2843" s="67" t="s">
        <v>1460</v>
      </c>
      <c r="G2843" s="69">
        <v>5</v>
      </c>
    </row>
    <row r="2844" spans="1:7">
      <c r="A2844" s="67" t="s">
        <v>4327</v>
      </c>
      <c r="B2844" s="70">
        <v>46254</v>
      </c>
      <c r="C2844" s="67" t="s">
        <v>1423</v>
      </c>
      <c r="D2844" s="67" t="s">
        <v>1479</v>
      </c>
      <c r="E2844" s="67" t="s">
        <v>1410</v>
      </c>
      <c r="F2844" s="67" t="s">
        <v>1462</v>
      </c>
      <c r="G2844" s="69">
        <v>331</v>
      </c>
    </row>
    <row r="2845" spans="1:7">
      <c r="A2845" s="67" t="s">
        <v>4328</v>
      </c>
      <c r="B2845" s="70">
        <v>46254</v>
      </c>
      <c r="C2845" s="67" t="s">
        <v>1425</v>
      </c>
      <c r="D2845" s="67" t="s">
        <v>1484</v>
      </c>
      <c r="E2845" s="67" t="s">
        <v>1470</v>
      </c>
      <c r="F2845" s="67" t="s">
        <v>1462</v>
      </c>
      <c r="G2845" s="69">
        <v>310</v>
      </c>
    </row>
    <row r="2846" spans="1:7">
      <c r="A2846" s="67" t="s">
        <v>4329</v>
      </c>
      <c r="B2846" s="70">
        <v>46254</v>
      </c>
      <c r="C2846" s="67" t="s">
        <v>1425</v>
      </c>
      <c r="D2846" s="67" t="s">
        <v>1484</v>
      </c>
      <c r="E2846" s="67" t="s">
        <v>1470</v>
      </c>
      <c r="F2846" s="67" t="s">
        <v>1488</v>
      </c>
      <c r="G2846" s="69">
        <v>6</v>
      </c>
    </row>
    <row r="2847" spans="1:7">
      <c r="A2847" s="67" t="s">
        <v>4330</v>
      </c>
      <c r="B2847" s="70">
        <v>46254</v>
      </c>
      <c r="C2847" s="67" t="s">
        <v>1425</v>
      </c>
      <c r="D2847" s="67" t="s">
        <v>1469</v>
      </c>
      <c r="E2847" s="67" t="s">
        <v>1470</v>
      </c>
      <c r="F2847" s="67" t="s">
        <v>1462</v>
      </c>
      <c r="G2847" s="69">
        <v>174</v>
      </c>
    </row>
    <row r="2848" spans="1:7">
      <c r="A2848" s="67" t="s">
        <v>4331</v>
      </c>
      <c r="B2848" s="70">
        <v>46255</v>
      </c>
      <c r="C2848" s="67" t="s">
        <v>1359</v>
      </c>
      <c r="D2848" s="67" t="s">
        <v>1551</v>
      </c>
      <c r="E2848" s="67" t="s">
        <v>1362</v>
      </c>
      <c r="F2848" s="67" t="s">
        <v>1462</v>
      </c>
      <c r="G2848" s="69">
        <v>243</v>
      </c>
    </row>
    <row r="2849" spans="1:7">
      <c r="A2849" s="67" t="s">
        <v>4332</v>
      </c>
      <c r="B2849" s="70">
        <v>46255</v>
      </c>
      <c r="C2849" s="67" t="s">
        <v>1359</v>
      </c>
      <c r="D2849" s="67" t="s">
        <v>1551</v>
      </c>
      <c r="E2849" s="67" t="s">
        <v>1362</v>
      </c>
      <c r="F2849" s="67" t="s">
        <v>1460</v>
      </c>
      <c r="G2849" s="69">
        <v>6</v>
      </c>
    </row>
    <row r="2850" spans="1:7">
      <c r="A2850" s="67" t="s">
        <v>4333</v>
      </c>
      <c r="B2850" s="70">
        <v>46255</v>
      </c>
      <c r="C2850" s="67" t="s">
        <v>1366</v>
      </c>
      <c r="D2850" s="67" t="s">
        <v>365</v>
      </c>
      <c r="E2850" s="67" t="s">
        <v>1368</v>
      </c>
      <c r="F2850" s="67" t="s">
        <v>1462</v>
      </c>
      <c r="G2850" s="69">
        <v>506</v>
      </c>
    </row>
    <row r="2851" spans="1:7">
      <c r="A2851" s="67" t="s">
        <v>4334</v>
      </c>
      <c r="B2851" s="70">
        <v>46255</v>
      </c>
      <c r="C2851" s="67" t="s">
        <v>1366</v>
      </c>
      <c r="D2851" s="67" t="s">
        <v>367</v>
      </c>
      <c r="E2851" s="67" t="s">
        <v>1368</v>
      </c>
      <c r="F2851" s="67" t="s">
        <v>1462</v>
      </c>
      <c r="G2851" s="69">
        <v>167</v>
      </c>
    </row>
    <row r="2852" spans="1:7">
      <c r="A2852" s="67" t="s">
        <v>4335</v>
      </c>
      <c r="B2852" s="70">
        <v>46255</v>
      </c>
      <c r="C2852" s="67" t="s">
        <v>1366</v>
      </c>
      <c r="D2852" s="67" t="s">
        <v>369</v>
      </c>
      <c r="E2852" s="67" t="s">
        <v>1368</v>
      </c>
      <c r="F2852" s="67" t="s">
        <v>1462</v>
      </c>
      <c r="G2852" s="69">
        <v>572</v>
      </c>
    </row>
    <row r="2853" spans="1:7">
      <c r="A2853" s="67" t="s">
        <v>4336</v>
      </c>
      <c r="B2853" s="70">
        <v>46255</v>
      </c>
      <c r="C2853" s="67" t="s">
        <v>1371</v>
      </c>
      <c r="D2853" s="67" t="s">
        <v>369</v>
      </c>
      <c r="E2853" s="67" t="s">
        <v>1368</v>
      </c>
      <c r="F2853" s="67" t="s">
        <v>1460</v>
      </c>
      <c r="G2853" s="69">
        <v>10</v>
      </c>
    </row>
    <row r="2854" spans="1:7">
      <c r="A2854" s="67" t="s">
        <v>4337</v>
      </c>
      <c r="B2854" s="70">
        <v>46255</v>
      </c>
      <c r="C2854" s="67" t="s">
        <v>1371</v>
      </c>
      <c r="D2854" s="67" t="s">
        <v>1459</v>
      </c>
      <c r="E2854" s="67" t="s">
        <v>1362</v>
      </c>
      <c r="F2854" s="67" t="s">
        <v>1462</v>
      </c>
      <c r="G2854" s="69">
        <v>99</v>
      </c>
    </row>
    <row r="2855" spans="1:7">
      <c r="A2855" s="67" t="s">
        <v>4338</v>
      </c>
      <c r="B2855" s="70">
        <v>46255</v>
      </c>
      <c r="C2855" s="67" t="s">
        <v>1381</v>
      </c>
      <c r="D2855" s="67" t="s">
        <v>369</v>
      </c>
      <c r="E2855" s="67" t="s">
        <v>1368</v>
      </c>
      <c r="F2855" s="67" t="s">
        <v>1462</v>
      </c>
      <c r="G2855" s="69">
        <v>305</v>
      </c>
    </row>
    <row r="2856" spans="1:7">
      <c r="A2856" s="67" t="s">
        <v>4339</v>
      </c>
      <c r="B2856" s="70">
        <v>46255</v>
      </c>
      <c r="C2856" s="67" t="s">
        <v>1381</v>
      </c>
      <c r="D2856" s="67" t="s">
        <v>358</v>
      </c>
      <c r="E2856" s="67" t="s">
        <v>1368</v>
      </c>
      <c r="F2856" s="67" t="s">
        <v>1462</v>
      </c>
      <c r="G2856" s="69">
        <v>373</v>
      </c>
    </row>
    <row r="2857" spans="1:7">
      <c r="A2857" s="67" t="s">
        <v>4340</v>
      </c>
      <c r="B2857" s="70">
        <v>46255</v>
      </c>
      <c r="C2857" s="67" t="s">
        <v>1399</v>
      </c>
      <c r="D2857" s="67" t="s">
        <v>353</v>
      </c>
      <c r="E2857" s="67" t="s">
        <v>1368</v>
      </c>
      <c r="F2857" s="67" t="s">
        <v>1462</v>
      </c>
      <c r="G2857" s="69">
        <v>514</v>
      </c>
    </row>
    <row r="2858" spans="1:7">
      <c r="A2858" s="67" t="s">
        <v>4341</v>
      </c>
      <c r="B2858" s="70">
        <v>46255</v>
      </c>
      <c r="C2858" s="67" t="s">
        <v>1399</v>
      </c>
      <c r="D2858" s="67" t="s">
        <v>360</v>
      </c>
      <c r="E2858" s="67" t="s">
        <v>1368</v>
      </c>
      <c r="F2858" s="67" t="s">
        <v>1462</v>
      </c>
      <c r="G2858" s="69">
        <v>257</v>
      </c>
    </row>
    <row r="2859" spans="1:7">
      <c r="A2859" s="67" t="s">
        <v>4342</v>
      </c>
      <c r="B2859" s="70">
        <v>46255</v>
      </c>
      <c r="C2859" s="67" t="s">
        <v>1399</v>
      </c>
      <c r="D2859" s="67" t="s">
        <v>1466</v>
      </c>
      <c r="E2859" s="67" t="s">
        <v>1386</v>
      </c>
      <c r="F2859" s="67" t="s">
        <v>1460</v>
      </c>
      <c r="G2859" s="69">
        <v>22</v>
      </c>
    </row>
    <row r="2860" spans="1:7">
      <c r="A2860" s="67" t="s">
        <v>4343</v>
      </c>
      <c r="B2860" s="70">
        <v>46255</v>
      </c>
      <c r="C2860" s="67" t="s">
        <v>1411</v>
      </c>
      <c r="D2860" s="67" t="s">
        <v>1506</v>
      </c>
      <c r="E2860" s="67" t="s">
        <v>1482</v>
      </c>
      <c r="F2860" s="67" t="s">
        <v>1462</v>
      </c>
      <c r="G2860" s="69">
        <v>22</v>
      </c>
    </row>
    <row r="2861" spans="1:7">
      <c r="A2861" s="67" t="s">
        <v>4344</v>
      </c>
      <c r="B2861" s="70">
        <v>46255</v>
      </c>
      <c r="C2861" s="67" t="s">
        <v>1411</v>
      </c>
      <c r="D2861" s="67" t="s">
        <v>1506</v>
      </c>
      <c r="E2861" s="67" t="s">
        <v>1482</v>
      </c>
      <c r="F2861" s="67" t="s">
        <v>1462</v>
      </c>
      <c r="G2861" s="69">
        <v>86</v>
      </c>
    </row>
    <row r="2862" spans="1:7">
      <c r="A2862" s="67" t="s">
        <v>4345</v>
      </c>
      <c r="B2862" s="70">
        <v>46255</v>
      </c>
      <c r="C2862" s="67" t="s">
        <v>1411</v>
      </c>
      <c r="D2862" s="67" t="s">
        <v>1481</v>
      </c>
      <c r="E2862" s="67" t="s">
        <v>1482</v>
      </c>
      <c r="F2862" s="67" t="s">
        <v>1460</v>
      </c>
      <c r="G2862" s="69">
        <v>28</v>
      </c>
    </row>
    <row r="2863" spans="1:7">
      <c r="A2863" s="67" t="s">
        <v>4346</v>
      </c>
      <c r="B2863" s="70">
        <v>46255</v>
      </c>
      <c r="C2863" s="67" t="s">
        <v>1423</v>
      </c>
      <c r="D2863" s="67" t="s">
        <v>1515</v>
      </c>
      <c r="E2863" s="67" t="s">
        <v>1410</v>
      </c>
      <c r="F2863" s="67" t="s">
        <v>1460</v>
      </c>
      <c r="G2863" s="69">
        <v>11</v>
      </c>
    </row>
    <row r="2864" spans="1:7">
      <c r="A2864" s="67" t="s">
        <v>4347</v>
      </c>
      <c r="B2864" s="70">
        <v>46255</v>
      </c>
      <c r="C2864" s="67" t="s">
        <v>1429</v>
      </c>
      <c r="D2864" s="67" t="s">
        <v>1511</v>
      </c>
      <c r="E2864" s="67" t="s">
        <v>1470</v>
      </c>
      <c r="F2864" s="67" t="s">
        <v>1488</v>
      </c>
      <c r="G2864" s="69">
        <v>10</v>
      </c>
    </row>
    <row r="2865" spans="1:7">
      <c r="A2865" s="67" t="s">
        <v>4348</v>
      </c>
      <c r="B2865" s="70">
        <v>46255</v>
      </c>
      <c r="C2865" s="67" t="s">
        <v>1431</v>
      </c>
      <c r="D2865" s="67" t="s">
        <v>1618</v>
      </c>
      <c r="E2865" s="67" t="s">
        <v>1433</v>
      </c>
      <c r="F2865" s="67" t="s">
        <v>1462</v>
      </c>
      <c r="G2865" s="69">
        <v>32</v>
      </c>
    </row>
    <row r="2866" spans="1:7">
      <c r="A2866" s="67" t="s">
        <v>4349</v>
      </c>
      <c r="B2866" s="70">
        <v>46255</v>
      </c>
      <c r="C2866" s="67" t="s">
        <v>1446</v>
      </c>
      <c r="D2866" s="67" t="s">
        <v>1551</v>
      </c>
      <c r="E2866" s="67" t="s">
        <v>1362</v>
      </c>
      <c r="F2866" s="67" t="s">
        <v>1462</v>
      </c>
      <c r="G2866" s="69">
        <v>37</v>
      </c>
    </row>
    <row r="2867" spans="1:7">
      <c r="A2867" s="67" t="s">
        <v>4350</v>
      </c>
      <c r="B2867" s="70">
        <v>46255</v>
      </c>
      <c r="C2867" s="67" t="s">
        <v>1446</v>
      </c>
      <c r="D2867" s="67" t="s">
        <v>1459</v>
      </c>
      <c r="E2867" s="67" t="s">
        <v>1362</v>
      </c>
      <c r="F2867" s="67" t="s">
        <v>1460</v>
      </c>
      <c r="G2867" s="69">
        <v>23</v>
      </c>
    </row>
    <row r="2868" spans="1:7">
      <c r="A2868" s="67" t="s">
        <v>4351</v>
      </c>
      <c r="B2868" s="70">
        <v>46256</v>
      </c>
      <c r="C2868" s="67" t="s">
        <v>1359</v>
      </c>
      <c r="D2868" s="67" t="s">
        <v>1476</v>
      </c>
      <c r="E2868" s="67" t="s">
        <v>1362</v>
      </c>
      <c r="F2868" s="67" t="s">
        <v>1460</v>
      </c>
      <c r="G2868" s="69">
        <v>18</v>
      </c>
    </row>
    <row r="2869" spans="1:7">
      <c r="A2869" s="67" t="s">
        <v>4352</v>
      </c>
      <c r="B2869" s="70">
        <v>46256</v>
      </c>
      <c r="C2869" s="67" t="s">
        <v>1359</v>
      </c>
      <c r="D2869" s="67" t="s">
        <v>1551</v>
      </c>
      <c r="E2869" s="67" t="s">
        <v>1362</v>
      </c>
      <c r="F2869" s="67" t="s">
        <v>1488</v>
      </c>
      <c r="G2869" s="69">
        <v>6</v>
      </c>
    </row>
    <row r="2870" spans="1:7">
      <c r="A2870" s="67" t="s">
        <v>4353</v>
      </c>
      <c r="B2870" s="70">
        <v>46256</v>
      </c>
      <c r="C2870" s="67" t="s">
        <v>1366</v>
      </c>
      <c r="D2870" s="67" t="s">
        <v>367</v>
      </c>
      <c r="E2870" s="67" t="s">
        <v>1368</v>
      </c>
      <c r="F2870" s="67" t="s">
        <v>1460</v>
      </c>
      <c r="G2870" s="69">
        <v>20</v>
      </c>
    </row>
    <row r="2871" spans="1:7">
      <c r="A2871" s="67" t="s">
        <v>4354</v>
      </c>
      <c r="B2871" s="70">
        <v>46256</v>
      </c>
      <c r="C2871" s="67" t="s">
        <v>1371</v>
      </c>
      <c r="D2871" s="67" t="s">
        <v>1476</v>
      </c>
      <c r="E2871" s="67" t="s">
        <v>1362</v>
      </c>
      <c r="F2871" s="67" t="s">
        <v>1460</v>
      </c>
      <c r="G2871" s="69">
        <v>14</v>
      </c>
    </row>
    <row r="2872" spans="1:7">
      <c r="A2872" s="67" t="s">
        <v>4355</v>
      </c>
      <c r="B2872" s="70">
        <v>46256</v>
      </c>
      <c r="C2872" s="67" t="s">
        <v>1371</v>
      </c>
      <c r="D2872" s="67" t="s">
        <v>1476</v>
      </c>
      <c r="E2872" s="67" t="s">
        <v>1362</v>
      </c>
      <c r="F2872" s="67" t="s">
        <v>1460</v>
      </c>
      <c r="G2872" s="69">
        <v>20</v>
      </c>
    </row>
    <row r="2873" spans="1:7">
      <c r="A2873" s="67" t="s">
        <v>4356</v>
      </c>
      <c r="B2873" s="70">
        <v>46256</v>
      </c>
      <c r="C2873" s="67" t="s">
        <v>1371</v>
      </c>
      <c r="D2873" s="67" t="s">
        <v>1459</v>
      </c>
      <c r="E2873" s="67" t="s">
        <v>1362</v>
      </c>
      <c r="F2873" s="67" t="s">
        <v>1460</v>
      </c>
      <c r="G2873" s="69">
        <v>10</v>
      </c>
    </row>
    <row r="2874" spans="1:7">
      <c r="A2874" s="67" t="s">
        <v>4357</v>
      </c>
      <c r="B2874" s="70">
        <v>46256</v>
      </c>
      <c r="C2874" s="67" t="s">
        <v>1371</v>
      </c>
      <c r="D2874" s="67" t="s">
        <v>1459</v>
      </c>
      <c r="E2874" s="67" t="s">
        <v>1362</v>
      </c>
      <c r="F2874" s="67" t="s">
        <v>1462</v>
      </c>
      <c r="G2874" s="69">
        <v>231</v>
      </c>
    </row>
    <row r="2875" spans="1:7">
      <c r="A2875" s="67" t="s">
        <v>4358</v>
      </c>
      <c r="B2875" s="70">
        <v>46256</v>
      </c>
      <c r="C2875" s="67" t="s">
        <v>1378</v>
      </c>
      <c r="D2875" s="67" t="s">
        <v>353</v>
      </c>
      <c r="E2875" s="67" t="s">
        <v>1368</v>
      </c>
      <c r="F2875" s="67" t="s">
        <v>1460</v>
      </c>
      <c r="G2875" s="69">
        <v>28</v>
      </c>
    </row>
    <row r="2876" spans="1:7">
      <c r="A2876" s="67" t="s">
        <v>4359</v>
      </c>
      <c r="B2876" s="70">
        <v>46256</v>
      </c>
      <c r="C2876" s="67" t="s">
        <v>1378</v>
      </c>
      <c r="D2876" s="67" t="s">
        <v>1511</v>
      </c>
      <c r="E2876" s="67" t="s">
        <v>1470</v>
      </c>
      <c r="F2876" s="67" t="s">
        <v>1462</v>
      </c>
      <c r="G2876" s="69">
        <v>153</v>
      </c>
    </row>
    <row r="2877" spans="1:7">
      <c r="A2877" s="67" t="s">
        <v>4360</v>
      </c>
      <c r="B2877" s="70">
        <v>46256</v>
      </c>
      <c r="C2877" s="67" t="s">
        <v>1381</v>
      </c>
      <c r="D2877" s="67" t="s">
        <v>353</v>
      </c>
      <c r="E2877" s="67" t="s">
        <v>1368</v>
      </c>
      <c r="F2877" s="67" t="s">
        <v>1462</v>
      </c>
      <c r="G2877" s="69">
        <v>35</v>
      </c>
    </row>
    <row r="2878" spans="1:7">
      <c r="A2878" s="67" t="s">
        <v>4361</v>
      </c>
      <c r="B2878" s="70">
        <v>46256</v>
      </c>
      <c r="C2878" s="67" t="s">
        <v>1381</v>
      </c>
      <c r="D2878" s="67" t="s">
        <v>353</v>
      </c>
      <c r="E2878" s="67" t="s">
        <v>1368</v>
      </c>
      <c r="F2878" s="67" t="s">
        <v>1462</v>
      </c>
      <c r="G2878" s="69">
        <v>294</v>
      </c>
    </row>
    <row r="2879" spans="1:7">
      <c r="A2879" s="67" t="s">
        <v>4362</v>
      </c>
      <c r="B2879" s="70">
        <v>46256</v>
      </c>
      <c r="C2879" s="67" t="s">
        <v>1381</v>
      </c>
      <c r="D2879" s="67" t="s">
        <v>363</v>
      </c>
      <c r="E2879" s="67" t="s">
        <v>1368</v>
      </c>
      <c r="F2879" s="67" t="s">
        <v>1462</v>
      </c>
      <c r="G2879" s="69">
        <v>419</v>
      </c>
    </row>
    <row r="2880" spans="1:7">
      <c r="A2880" s="67" t="s">
        <v>4363</v>
      </c>
      <c r="B2880" s="70">
        <v>46256</v>
      </c>
      <c r="C2880" s="67" t="s">
        <v>1381</v>
      </c>
      <c r="D2880" s="67" t="s">
        <v>358</v>
      </c>
      <c r="E2880" s="67" t="s">
        <v>1368</v>
      </c>
      <c r="F2880" s="67" t="s">
        <v>1462</v>
      </c>
      <c r="G2880" s="69">
        <v>485</v>
      </c>
    </row>
    <row r="2881" spans="1:7">
      <c r="A2881" s="67" t="s">
        <v>4364</v>
      </c>
      <c r="B2881" s="70">
        <v>46256</v>
      </c>
      <c r="C2881" s="67" t="s">
        <v>1384</v>
      </c>
      <c r="D2881" s="67" t="s">
        <v>1466</v>
      </c>
      <c r="E2881" s="67" t="s">
        <v>1386</v>
      </c>
      <c r="F2881" s="67" t="s">
        <v>1462</v>
      </c>
      <c r="G2881" s="69">
        <v>261</v>
      </c>
    </row>
    <row r="2882" spans="1:7">
      <c r="A2882" s="67" t="s">
        <v>4365</v>
      </c>
      <c r="B2882" s="70">
        <v>46256</v>
      </c>
      <c r="C2882" s="67" t="s">
        <v>1399</v>
      </c>
      <c r="D2882" s="67" t="s">
        <v>356</v>
      </c>
      <c r="E2882" s="67" t="s">
        <v>1368</v>
      </c>
      <c r="F2882" s="67" t="s">
        <v>1462</v>
      </c>
      <c r="G2882" s="69">
        <v>67</v>
      </c>
    </row>
    <row r="2883" spans="1:7">
      <c r="A2883" s="67" t="s">
        <v>4366</v>
      </c>
      <c r="B2883" s="70">
        <v>46256</v>
      </c>
      <c r="C2883" s="67" t="s">
        <v>1406</v>
      </c>
      <c r="D2883" s="67" t="s">
        <v>356</v>
      </c>
      <c r="E2883" s="67" t="s">
        <v>1368</v>
      </c>
      <c r="F2883" s="67" t="s">
        <v>1462</v>
      </c>
      <c r="G2883" s="69">
        <v>108</v>
      </c>
    </row>
    <row r="2884" spans="1:7">
      <c r="A2884" s="67" t="s">
        <v>4367</v>
      </c>
      <c r="B2884" s="70">
        <v>46256</v>
      </c>
      <c r="C2884" s="67" t="s">
        <v>1406</v>
      </c>
      <c r="D2884" s="67" t="s">
        <v>367</v>
      </c>
      <c r="E2884" s="67" t="s">
        <v>1368</v>
      </c>
      <c r="F2884" s="67" t="s">
        <v>1462</v>
      </c>
      <c r="G2884" s="69">
        <v>460</v>
      </c>
    </row>
    <row r="2885" spans="1:7">
      <c r="A2885" s="67" t="s">
        <v>4368</v>
      </c>
      <c r="B2885" s="70">
        <v>46256</v>
      </c>
      <c r="C2885" s="67" t="s">
        <v>1406</v>
      </c>
      <c r="D2885" s="67" t="s">
        <v>1459</v>
      </c>
      <c r="E2885" s="67" t="s">
        <v>1362</v>
      </c>
      <c r="F2885" s="67" t="s">
        <v>1462</v>
      </c>
      <c r="G2885" s="69">
        <v>164</v>
      </c>
    </row>
    <row r="2886" spans="1:7">
      <c r="A2886" s="67" t="s">
        <v>4369</v>
      </c>
      <c r="B2886" s="70">
        <v>46256</v>
      </c>
      <c r="C2886" s="67" t="s">
        <v>1411</v>
      </c>
      <c r="D2886" s="67" t="s">
        <v>1506</v>
      </c>
      <c r="E2886" s="67" t="s">
        <v>1482</v>
      </c>
      <c r="F2886" s="67" t="s">
        <v>1462</v>
      </c>
      <c r="G2886" s="69">
        <v>374</v>
      </c>
    </row>
    <row r="2887" spans="1:7">
      <c r="A2887" s="67" t="s">
        <v>4370</v>
      </c>
      <c r="B2887" s="70">
        <v>46256</v>
      </c>
      <c r="C2887" s="67" t="s">
        <v>1411</v>
      </c>
      <c r="D2887" s="67" t="s">
        <v>1506</v>
      </c>
      <c r="E2887" s="67" t="s">
        <v>1482</v>
      </c>
      <c r="F2887" s="67" t="s">
        <v>1462</v>
      </c>
      <c r="G2887" s="69">
        <v>358</v>
      </c>
    </row>
    <row r="2888" spans="1:7">
      <c r="A2888" s="67" t="s">
        <v>4371</v>
      </c>
      <c r="B2888" s="70">
        <v>46256</v>
      </c>
      <c r="C2888" s="67" t="s">
        <v>1411</v>
      </c>
      <c r="D2888" s="67" t="s">
        <v>1506</v>
      </c>
      <c r="E2888" s="67" t="s">
        <v>1482</v>
      </c>
      <c r="F2888" s="67" t="s">
        <v>1460</v>
      </c>
      <c r="G2888" s="69">
        <v>8</v>
      </c>
    </row>
    <row r="2889" spans="1:7">
      <c r="A2889" s="67" t="s">
        <v>4372</v>
      </c>
      <c r="B2889" s="70">
        <v>46256</v>
      </c>
      <c r="C2889" s="67" t="s">
        <v>1425</v>
      </c>
      <c r="D2889" s="67" t="s">
        <v>1484</v>
      </c>
      <c r="E2889" s="67" t="s">
        <v>1470</v>
      </c>
      <c r="F2889" s="67" t="s">
        <v>1462</v>
      </c>
      <c r="G2889" s="69">
        <v>369</v>
      </c>
    </row>
    <row r="2890" spans="1:7">
      <c r="A2890" s="67" t="s">
        <v>4373</v>
      </c>
      <c r="B2890" s="70">
        <v>46256</v>
      </c>
      <c r="C2890" s="67" t="s">
        <v>1444</v>
      </c>
      <c r="D2890" s="67" t="s">
        <v>1466</v>
      </c>
      <c r="E2890" s="67" t="s">
        <v>1386</v>
      </c>
      <c r="F2890" s="67" t="s">
        <v>1462</v>
      </c>
      <c r="G2890" s="69">
        <v>516</v>
      </c>
    </row>
    <row r="2891" spans="1:7">
      <c r="A2891" s="67" t="s">
        <v>4374</v>
      </c>
      <c r="B2891" s="70">
        <v>46256</v>
      </c>
      <c r="C2891" s="67" t="s">
        <v>1444</v>
      </c>
      <c r="D2891" s="67" t="s">
        <v>1551</v>
      </c>
      <c r="E2891" s="67" t="s">
        <v>1362</v>
      </c>
      <c r="F2891" s="67" t="s">
        <v>1462</v>
      </c>
      <c r="G2891" s="69">
        <v>118</v>
      </c>
    </row>
    <row r="2892" spans="1:7">
      <c r="A2892" s="67" t="s">
        <v>4375</v>
      </c>
      <c r="B2892" s="70">
        <v>46256</v>
      </c>
      <c r="C2892" s="67" t="s">
        <v>1444</v>
      </c>
      <c r="D2892" s="67" t="s">
        <v>1459</v>
      </c>
      <c r="E2892" s="67" t="s">
        <v>1362</v>
      </c>
      <c r="F2892" s="67" t="s">
        <v>1462</v>
      </c>
      <c r="G2892" s="69">
        <v>412</v>
      </c>
    </row>
    <row r="2893" spans="1:7">
      <c r="A2893" s="67" t="s">
        <v>4376</v>
      </c>
      <c r="B2893" s="70">
        <v>46257</v>
      </c>
      <c r="C2893" s="67" t="s">
        <v>1359</v>
      </c>
      <c r="D2893" s="67" t="s">
        <v>360</v>
      </c>
      <c r="E2893" s="67" t="s">
        <v>1368</v>
      </c>
      <c r="F2893" s="67" t="s">
        <v>1462</v>
      </c>
      <c r="G2893" s="69">
        <v>47</v>
      </c>
    </row>
    <row r="2894" spans="1:7">
      <c r="A2894" s="67" t="s">
        <v>4377</v>
      </c>
      <c r="B2894" s="70">
        <v>46257</v>
      </c>
      <c r="C2894" s="67" t="s">
        <v>1359</v>
      </c>
      <c r="D2894" s="67" t="s">
        <v>1551</v>
      </c>
      <c r="E2894" s="67" t="s">
        <v>1362</v>
      </c>
      <c r="F2894" s="67" t="s">
        <v>1462</v>
      </c>
      <c r="G2894" s="69">
        <v>21</v>
      </c>
    </row>
    <row r="2895" spans="1:7">
      <c r="A2895" s="67" t="s">
        <v>4378</v>
      </c>
      <c r="B2895" s="70">
        <v>46257</v>
      </c>
      <c r="C2895" s="67" t="s">
        <v>1366</v>
      </c>
      <c r="D2895" s="67" t="s">
        <v>1607</v>
      </c>
      <c r="E2895" s="67" t="s">
        <v>1470</v>
      </c>
      <c r="F2895" s="67" t="s">
        <v>1460</v>
      </c>
      <c r="G2895" s="69">
        <v>27</v>
      </c>
    </row>
    <row r="2896" spans="1:7">
      <c r="A2896" s="67" t="s">
        <v>4379</v>
      </c>
      <c r="B2896" s="70">
        <v>46257</v>
      </c>
      <c r="C2896" s="67" t="s">
        <v>1371</v>
      </c>
      <c r="D2896" s="67" t="s">
        <v>358</v>
      </c>
      <c r="E2896" s="67" t="s">
        <v>1368</v>
      </c>
      <c r="F2896" s="67" t="s">
        <v>1462</v>
      </c>
      <c r="G2896" s="69">
        <v>195</v>
      </c>
    </row>
    <row r="2897" spans="1:7">
      <c r="A2897" s="67" t="s">
        <v>4380</v>
      </c>
      <c r="B2897" s="70">
        <v>46257</v>
      </c>
      <c r="C2897" s="67" t="s">
        <v>1381</v>
      </c>
      <c r="D2897" s="67" t="s">
        <v>356</v>
      </c>
      <c r="E2897" s="67" t="s">
        <v>1368</v>
      </c>
      <c r="F2897" s="67" t="s">
        <v>1460</v>
      </c>
      <c r="G2897" s="69">
        <v>9</v>
      </c>
    </row>
    <row r="2898" spans="1:7">
      <c r="A2898" s="67" t="s">
        <v>4381</v>
      </c>
      <c r="B2898" s="70">
        <v>46257</v>
      </c>
      <c r="C2898" s="67" t="s">
        <v>1381</v>
      </c>
      <c r="D2898" s="67" t="s">
        <v>369</v>
      </c>
      <c r="E2898" s="67" t="s">
        <v>1368</v>
      </c>
      <c r="F2898" s="67" t="s">
        <v>1462</v>
      </c>
      <c r="G2898" s="69">
        <v>148</v>
      </c>
    </row>
    <row r="2899" spans="1:7">
      <c r="A2899" s="67" t="s">
        <v>4382</v>
      </c>
      <c r="B2899" s="70">
        <v>46257</v>
      </c>
      <c r="C2899" s="67" t="s">
        <v>1391</v>
      </c>
      <c r="D2899" s="67" t="s">
        <v>2005</v>
      </c>
      <c r="E2899" s="67" t="s">
        <v>5</v>
      </c>
      <c r="F2899" s="67" t="s">
        <v>1462</v>
      </c>
      <c r="G2899" s="69">
        <v>481</v>
      </c>
    </row>
    <row r="2900" spans="1:7">
      <c r="A2900" s="67" t="s">
        <v>4383</v>
      </c>
      <c r="B2900" s="70">
        <v>46257</v>
      </c>
      <c r="C2900" s="67" t="s">
        <v>1393</v>
      </c>
      <c r="D2900" s="67" t="s">
        <v>1520</v>
      </c>
      <c r="E2900" s="67" t="s">
        <v>1433</v>
      </c>
      <c r="F2900" s="67" t="s">
        <v>1462</v>
      </c>
      <c r="G2900" s="69">
        <v>409</v>
      </c>
    </row>
    <row r="2901" spans="1:7">
      <c r="A2901" s="67" t="s">
        <v>4384</v>
      </c>
      <c r="B2901" s="70">
        <v>46257</v>
      </c>
      <c r="C2901" s="67" t="s">
        <v>1404</v>
      </c>
      <c r="D2901" s="67" t="s">
        <v>353</v>
      </c>
      <c r="E2901" s="67" t="s">
        <v>1368</v>
      </c>
      <c r="F2901" s="67" t="s">
        <v>1462</v>
      </c>
      <c r="G2901" s="69">
        <v>206</v>
      </c>
    </row>
    <row r="2902" spans="1:7">
      <c r="A2902" s="67" t="s">
        <v>4385</v>
      </c>
      <c r="B2902" s="70">
        <v>46257</v>
      </c>
      <c r="C2902" s="67" t="s">
        <v>1404</v>
      </c>
      <c r="D2902" s="67" t="s">
        <v>356</v>
      </c>
      <c r="E2902" s="67" t="s">
        <v>1368</v>
      </c>
      <c r="F2902" s="67" t="s">
        <v>1462</v>
      </c>
      <c r="G2902" s="69">
        <v>177</v>
      </c>
    </row>
    <row r="2903" spans="1:7">
      <c r="A2903" s="67" t="s">
        <v>4386</v>
      </c>
      <c r="B2903" s="70">
        <v>46257</v>
      </c>
      <c r="C2903" s="67" t="s">
        <v>1406</v>
      </c>
      <c r="D2903" s="67" t="s">
        <v>363</v>
      </c>
      <c r="E2903" s="67" t="s">
        <v>1368</v>
      </c>
      <c r="F2903" s="67" t="s">
        <v>1462</v>
      </c>
      <c r="G2903" s="69">
        <v>140</v>
      </c>
    </row>
    <row r="2904" spans="1:7">
      <c r="A2904" s="67" t="s">
        <v>4387</v>
      </c>
      <c r="B2904" s="70">
        <v>46257</v>
      </c>
      <c r="C2904" s="67" t="s">
        <v>1411</v>
      </c>
      <c r="D2904" s="67" t="s">
        <v>1506</v>
      </c>
      <c r="E2904" s="67" t="s">
        <v>1482</v>
      </c>
      <c r="F2904" s="67" t="s">
        <v>1460</v>
      </c>
      <c r="G2904" s="69">
        <v>13</v>
      </c>
    </row>
    <row r="2905" spans="1:7">
      <c r="A2905" s="67" t="s">
        <v>4388</v>
      </c>
      <c r="B2905" s="70">
        <v>46257</v>
      </c>
      <c r="C2905" s="67" t="s">
        <v>1411</v>
      </c>
      <c r="D2905" s="67" t="s">
        <v>1481</v>
      </c>
      <c r="E2905" s="67" t="s">
        <v>1482</v>
      </c>
      <c r="F2905" s="67" t="s">
        <v>1462</v>
      </c>
      <c r="G2905" s="69">
        <v>528</v>
      </c>
    </row>
    <row r="2906" spans="1:7">
      <c r="A2906" s="67" t="s">
        <v>4389</v>
      </c>
      <c r="B2906" s="70">
        <v>46257</v>
      </c>
      <c r="C2906" s="67" t="s">
        <v>1414</v>
      </c>
      <c r="D2906" s="67" t="s">
        <v>1484</v>
      </c>
      <c r="E2906" s="67" t="s">
        <v>1470</v>
      </c>
      <c r="F2906" s="67" t="s">
        <v>1462</v>
      </c>
      <c r="G2906" s="69">
        <v>592</v>
      </c>
    </row>
    <row r="2907" spans="1:7">
      <c r="A2907" s="67" t="s">
        <v>4390</v>
      </c>
      <c r="B2907" s="70">
        <v>46257</v>
      </c>
      <c r="C2907" s="67" t="s">
        <v>1414</v>
      </c>
      <c r="D2907" s="67" t="s">
        <v>1469</v>
      </c>
      <c r="E2907" s="67" t="s">
        <v>1470</v>
      </c>
      <c r="F2907" s="67" t="s">
        <v>1462</v>
      </c>
      <c r="G2907" s="69">
        <v>387</v>
      </c>
    </row>
    <row r="2908" spans="1:7">
      <c r="A2908" s="67" t="s">
        <v>4391</v>
      </c>
      <c r="B2908" s="70">
        <v>46257</v>
      </c>
      <c r="C2908" s="67" t="s">
        <v>1425</v>
      </c>
      <c r="D2908" s="67" t="s">
        <v>1484</v>
      </c>
      <c r="E2908" s="67" t="s">
        <v>1470</v>
      </c>
      <c r="F2908" s="67" t="s">
        <v>1462</v>
      </c>
      <c r="G2908" s="69">
        <v>156</v>
      </c>
    </row>
    <row r="2909" spans="1:7">
      <c r="A2909" s="67" t="s">
        <v>4392</v>
      </c>
      <c r="B2909" s="70">
        <v>46257</v>
      </c>
      <c r="C2909" s="67" t="s">
        <v>1438</v>
      </c>
      <c r="D2909" s="67" t="s">
        <v>353</v>
      </c>
      <c r="E2909" s="67" t="s">
        <v>1368</v>
      </c>
      <c r="F2909" s="67" t="s">
        <v>1462</v>
      </c>
      <c r="G2909" s="69">
        <v>82</v>
      </c>
    </row>
    <row r="2910" spans="1:7">
      <c r="A2910" s="67" t="s">
        <v>4393</v>
      </c>
      <c r="B2910" s="70">
        <v>46257</v>
      </c>
      <c r="C2910" s="67" t="s">
        <v>1444</v>
      </c>
      <c r="D2910" s="67" t="s">
        <v>1551</v>
      </c>
      <c r="E2910" s="67" t="s">
        <v>1362</v>
      </c>
      <c r="F2910" s="67" t="s">
        <v>1462</v>
      </c>
      <c r="G2910" s="69">
        <v>345</v>
      </c>
    </row>
    <row r="2911" spans="1:7">
      <c r="A2911" s="67" t="s">
        <v>4394</v>
      </c>
      <c r="B2911" s="70">
        <v>46258</v>
      </c>
      <c r="C2911" s="67" t="s">
        <v>1359</v>
      </c>
      <c r="D2911" s="67" t="s">
        <v>1466</v>
      </c>
      <c r="E2911" s="67" t="s">
        <v>1386</v>
      </c>
      <c r="F2911" s="67" t="s">
        <v>1460</v>
      </c>
      <c r="G2911" s="69">
        <v>11</v>
      </c>
    </row>
    <row r="2912" spans="1:7">
      <c r="A2912" s="67" t="s">
        <v>4395</v>
      </c>
      <c r="B2912" s="70">
        <v>46258</v>
      </c>
      <c r="C2912" s="67" t="s">
        <v>1359</v>
      </c>
      <c r="D2912" s="67" t="s">
        <v>1459</v>
      </c>
      <c r="E2912" s="67" t="s">
        <v>1362</v>
      </c>
      <c r="F2912" s="67" t="s">
        <v>1462</v>
      </c>
      <c r="G2912" s="69">
        <v>259</v>
      </c>
    </row>
    <row r="2913" spans="1:7">
      <c r="A2913" s="67" t="s">
        <v>4396</v>
      </c>
      <c r="B2913" s="70">
        <v>46258</v>
      </c>
      <c r="C2913" s="67" t="s">
        <v>1366</v>
      </c>
      <c r="D2913" s="67" t="s">
        <v>363</v>
      </c>
      <c r="E2913" s="67" t="s">
        <v>1368</v>
      </c>
      <c r="F2913" s="67" t="s">
        <v>1462</v>
      </c>
      <c r="G2913" s="69">
        <v>272</v>
      </c>
    </row>
    <row r="2914" spans="1:7">
      <c r="A2914" s="67" t="s">
        <v>4397</v>
      </c>
      <c r="B2914" s="70">
        <v>46258</v>
      </c>
      <c r="C2914" s="67" t="s">
        <v>1366</v>
      </c>
      <c r="D2914" s="67" t="s">
        <v>369</v>
      </c>
      <c r="E2914" s="67" t="s">
        <v>1368</v>
      </c>
      <c r="F2914" s="67" t="s">
        <v>1460</v>
      </c>
      <c r="G2914" s="69">
        <v>12</v>
      </c>
    </row>
    <row r="2915" spans="1:7">
      <c r="A2915" s="67" t="s">
        <v>4398</v>
      </c>
      <c r="B2915" s="70">
        <v>46258</v>
      </c>
      <c r="C2915" s="67" t="s">
        <v>1366</v>
      </c>
      <c r="D2915" s="67" t="s">
        <v>369</v>
      </c>
      <c r="E2915" s="67" t="s">
        <v>1368</v>
      </c>
      <c r="F2915" s="67" t="s">
        <v>1488</v>
      </c>
      <c r="G2915" s="69">
        <v>4</v>
      </c>
    </row>
    <row r="2916" spans="1:7">
      <c r="A2916" s="67" t="s">
        <v>4399</v>
      </c>
      <c r="B2916" s="70">
        <v>46258</v>
      </c>
      <c r="C2916" s="67" t="s">
        <v>1378</v>
      </c>
      <c r="D2916" s="67" t="s">
        <v>356</v>
      </c>
      <c r="E2916" s="67" t="s">
        <v>1368</v>
      </c>
      <c r="F2916" s="67" t="s">
        <v>1462</v>
      </c>
      <c r="G2916" s="69">
        <v>473</v>
      </c>
    </row>
    <row r="2917" spans="1:7">
      <c r="A2917" s="67" t="s">
        <v>4400</v>
      </c>
      <c r="B2917" s="70">
        <v>46258</v>
      </c>
      <c r="C2917" s="67" t="s">
        <v>1384</v>
      </c>
      <c r="D2917" s="67" t="s">
        <v>1551</v>
      </c>
      <c r="E2917" s="67" t="s">
        <v>1362</v>
      </c>
      <c r="F2917" s="67" t="s">
        <v>1462</v>
      </c>
      <c r="G2917" s="69">
        <v>317</v>
      </c>
    </row>
    <row r="2918" spans="1:7">
      <c r="A2918" s="67" t="s">
        <v>4401</v>
      </c>
      <c r="B2918" s="70">
        <v>46258</v>
      </c>
      <c r="C2918" s="67" t="s">
        <v>1393</v>
      </c>
      <c r="D2918" s="67" t="s">
        <v>353</v>
      </c>
      <c r="E2918" s="67" t="s">
        <v>1368</v>
      </c>
      <c r="F2918" s="67" t="s">
        <v>1460</v>
      </c>
      <c r="G2918" s="69">
        <v>15</v>
      </c>
    </row>
    <row r="2919" spans="1:7">
      <c r="A2919" s="67" t="s">
        <v>4402</v>
      </c>
      <c r="B2919" s="70">
        <v>46258</v>
      </c>
      <c r="C2919" s="67" t="s">
        <v>1404</v>
      </c>
      <c r="D2919" s="67" t="s">
        <v>365</v>
      </c>
      <c r="E2919" s="67" t="s">
        <v>1368</v>
      </c>
      <c r="F2919" s="67" t="s">
        <v>1488</v>
      </c>
      <c r="G2919" s="69">
        <v>7</v>
      </c>
    </row>
    <row r="2920" spans="1:7">
      <c r="A2920" s="67" t="s">
        <v>4403</v>
      </c>
      <c r="B2920" s="70">
        <v>46258</v>
      </c>
      <c r="C2920" s="67" t="s">
        <v>1411</v>
      </c>
      <c r="D2920" s="67" t="s">
        <v>353</v>
      </c>
      <c r="E2920" s="67" t="s">
        <v>1368</v>
      </c>
      <c r="F2920" s="67" t="s">
        <v>1462</v>
      </c>
      <c r="G2920" s="69">
        <v>385</v>
      </c>
    </row>
    <row r="2921" spans="1:7">
      <c r="A2921" s="67" t="s">
        <v>4404</v>
      </c>
      <c r="B2921" s="70">
        <v>46258</v>
      </c>
      <c r="C2921" s="67" t="s">
        <v>1411</v>
      </c>
      <c r="D2921" s="67" t="s">
        <v>1506</v>
      </c>
      <c r="E2921" s="67" t="s">
        <v>1482</v>
      </c>
      <c r="F2921" s="67" t="s">
        <v>1462</v>
      </c>
      <c r="G2921" s="69">
        <v>228</v>
      </c>
    </row>
    <row r="2922" spans="1:7">
      <c r="A2922" s="67" t="s">
        <v>4405</v>
      </c>
      <c r="B2922" s="70">
        <v>46258</v>
      </c>
      <c r="C2922" s="67" t="s">
        <v>1411</v>
      </c>
      <c r="D2922" s="67" t="s">
        <v>1506</v>
      </c>
      <c r="E2922" s="67" t="s">
        <v>1482</v>
      </c>
      <c r="F2922" s="67" t="s">
        <v>1460</v>
      </c>
      <c r="G2922" s="69">
        <v>24</v>
      </c>
    </row>
    <row r="2923" spans="1:7">
      <c r="A2923" s="67" t="s">
        <v>4406</v>
      </c>
      <c r="B2923" s="70">
        <v>46258</v>
      </c>
      <c r="C2923" s="67" t="s">
        <v>1411</v>
      </c>
      <c r="D2923" s="67" t="s">
        <v>1506</v>
      </c>
      <c r="E2923" s="67" t="s">
        <v>1482</v>
      </c>
      <c r="F2923" s="67" t="s">
        <v>1462</v>
      </c>
      <c r="G2923" s="69">
        <v>305</v>
      </c>
    </row>
    <row r="2924" spans="1:7">
      <c r="A2924" s="67" t="s">
        <v>4407</v>
      </c>
      <c r="B2924" s="70">
        <v>46258</v>
      </c>
      <c r="C2924" s="67" t="s">
        <v>1411</v>
      </c>
      <c r="D2924" s="67" t="s">
        <v>1481</v>
      </c>
      <c r="E2924" s="67" t="s">
        <v>1482</v>
      </c>
      <c r="F2924" s="67" t="s">
        <v>1462</v>
      </c>
      <c r="G2924" s="69">
        <v>240</v>
      </c>
    </row>
    <row r="2925" spans="1:7">
      <c r="A2925" s="67" t="s">
        <v>4408</v>
      </c>
      <c r="B2925" s="70">
        <v>46258</v>
      </c>
      <c r="C2925" s="67" t="s">
        <v>1414</v>
      </c>
      <c r="D2925" s="67" t="s">
        <v>1551</v>
      </c>
      <c r="E2925" s="67" t="s">
        <v>1362</v>
      </c>
      <c r="F2925" s="67" t="s">
        <v>1462</v>
      </c>
      <c r="G2925" s="69">
        <v>510</v>
      </c>
    </row>
    <row r="2926" spans="1:7">
      <c r="A2926" s="67" t="s">
        <v>4409</v>
      </c>
      <c r="B2926" s="70">
        <v>46258</v>
      </c>
      <c r="C2926" s="67" t="s">
        <v>1414</v>
      </c>
      <c r="D2926" s="67" t="s">
        <v>1459</v>
      </c>
      <c r="E2926" s="67" t="s">
        <v>1362</v>
      </c>
      <c r="F2926" s="67" t="s">
        <v>1462</v>
      </c>
      <c r="G2926" s="69">
        <v>592</v>
      </c>
    </row>
    <row r="2927" spans="1:7">
      <c r="A2927" s="67" t="s">
        <v>4410</v>
      </c>
      <c r="B2927" s="70">
        <v>46258</v>
      </c>
      <c r="C2927" s="67" t="s">
        <v>1446</v>
      </c>
      <c r="D2927" s="67" t="s">
        <v>363</v>
      </c>
      <c r="E2927" s="67" t="s">
        <v>1368</v>
      </c>
      <c r="F2927" s="67" t="s">
        <v>1460</v>
      </c>
      <c r="G2927" s="69">
        <v>28</v>
      </c>
    </row>
    <row r="2928" spans="1:7">
      <c r="A2928" s="67" t="s">
        <v>4411</v>
      </c>
      <c r="B2928" s="70">
        <v>46258</v>
      </c>
      <c r="C2928" s="67" t="s">
        <v>1446</v>
      </c>
      <c r="D2928" s="67" t="s">
        <v>1459</v>
      </c>
      <c r="E2928" s="67" t="s">
        <v>1362</v>
      </c>
      <c r="F2928" s="67" t="s">
        <v>1462</v>
      </c>
      <c r="G2928" s="69">
        <v>369</v>
      </c>
    </row>
    <row r="2929" spans="1:7">
      <c r="A2929" s="67" t="s">
        <v>4412</v>
      </c>
      <c r="B2929" s="70">
        <v>46259</v>
      </c>
      <c r="C2929" s="67" t="s">
        <v>1359</v>
      </c>
      <c r="D2929" s="67" t="s">
        <v>353</v>
      </c>
      <c r="E2929" s="67" t="s">
        <v>1368</v>
      </c>
      <c r="F2929" s="67" t="s">
        <v>1462</v>
      </c>
      <c r="G2929" s="69">
        <v>561</v>
      </c>
    </row>
    <row r="2930" spans="1:7">
      <c r="A2930" s="67" t="s">
        <v>4413</v>
      </c>
      <c r="B2930" s="70">
        <v>46259</v>
      </c>
      <c r="C2930" s="67" t="s">
        <v>1359</v>
      </c>
      <c r="D2930" s="67" t="s">
        <v>1466</v>
      </c>
      <c r="E2930" s="67" t="s">
        <v>1386</v>
      </c>
      <c r="F2930" s="67" t="s">
        <v>1462</v>
      </c>
      <c r="G2930" s="69">
        <v>536</v>
      </c>
    </row>
    <row r="2931" spans="1:7">
      <c r="A2931" s="67" t="s">
        <v>4414</v>
      </c>
      <c r="B2931" s="70">
        <v>46259</v>
      </c>
      <c r="C2931" s="67" t="s">
        <v>1366</v>
      </c>
      <c r="D2931" s="67" t="s">
        <v>353</v>
      </c>
      <c r="E2931" s="67" t="s">
        <v>1368</v>
      </c>
      <c r="F2931" s="67" t="s">
        <v>1462</v>
      </c>
      <c r="G2931" s="69">
        <v>279</v>
      </c>
    </row>
    <row r="2932" spans="1:7">
      <c r="A2932" s="67" t="s">
        <v>4415</v>
      </c>
      <c r="B2932" s="70">
        <v>46259</v>
      </c>
      <c r="C2932" s="67" t="s">
        <v>1381</v>
      </c>
      <c r="D2932" s="67" t="s">
        <v>1511</v>
      </c>
      <c r="E2932" s="67" t="s">
        <v>1470</v>
      </c>
      <c r="F2932" s="67" t="s">
        <v>1462</v>
      </c>
      <c r="G2932" s="69">
        <v>258</v>
      </c>
    </row>
    <row r="2933" spans="1:7">
      <c r="A2933" s="67" t="s">
        <v>4416</v>
      </c>
      <c r="B2933" s="70">
        <v>46259</v>
      </c>
      <c r="C2933" s="67" t="s">
        <v>1381</v>
      </c>
      <c r="D2933" s="67" t="s">
        <v>1551</v>
      </c>
      <c r="E2933" s="67" t="s">
        <v>1362</v>
      </c>
      <c r="F2933" s="67" t="s">
        <v>1462</v>
      </c>
      <c r="G2933" s="69">
        <v>79</v>
      </c>
    </row>
    <row r="2934" spans="1:7">
      <c r="A2934" s="67" t="s">
        <v>4417</v>
      </c>
      <c r="B2934" s="70">
        <v>46259</v>
      </c>
      <c r="C2934" s="67" t="s">
        <v>1384</v>
      </c>
      <c r="D2934" s="67" t="s">
        <v>1551</v>
      </c>
      <c r="E2934" s="67" t="s">
        <v>1362</v>
      </c>
      <c r="F2934" s="67" t="s">
        <v>1462</v>
      </c>
      <c r="G2934" s="69">
        <v>464</v>
      </c>
    </row>
    <row r="2935" spans="1:7">
      <c r="A2935" s="67" t="s">
        <v>4418</v>
      </c>
      <c r="B2935" s="70">
        <v>46259</v>
      </c>
      <c r="C2935" s="67" t="s">
        <v>1384</v>
      </c>
      <c r="D2935" s="67" t="s">
        <v>1602</v>
      </c>
      <c r="E2935" s="67" t="s">
        <v>1386</v>
      </c>
      <c r="F2935" s="67" t="s">
        <v>1488</v>
      </c>
      <c r="G2935" s="69">
        <v>5</v>
      </c>
    </row>
    <row r="2936" spans="1:7">
      <c r="A2936" s="67" t="s">
        <v>4419</v>
      </c>
      <c r="B2936" s="70">
        <v>46259</v>
      </c>
      <c r="C2936" s="67" t="s">
        <v>1393</v>
      </c>
      <c r="D2936" s="67" t="s">
        <v>360</v>
      </c>
      <c r="E2936" s="67" t="s">
        <v>1368</v>
      </c>
      <c r="F2936" s="67" t="s">
        <v>1462</v>
      </c>
      <c r="G2936" s="69">
        <v>424</v>
      </c>
    </row>
    <row r="2937" spans="1:7">
      <c r="A2937" s="67" t="s">
        <v>4420</v>
      </c>
      <c r="B2937" s="70">
        <v>46259</v>
      </c>
      <c r="C2937" s="67" t="s">
        <v>1399</v>
      </c>
      <c r="D2937" s="67" t="s">
        <v>1466</v>
      </c>
      <c r="E2937" s="67" t="s">
        <v>1386</v>
      </c>
      <c r="F2937" s="67" t="s">
        <v>1462</v>
      </c>
      <c r="G2937" s="69">
        <v>115</v>
      </c>
    </row>
    <row r="2938" spans="1:7">
      <c r="A2938" s="67" t="s">
        <v>4421</v>
      </c>
      <c r="B2938" s="70">
        <v>46259</v>
      </c>
      <c r="C2938" s="67" t="s">
        <v>1404</v>
      </c>
      <c r="D2938" s="67" t="s">
        <v>358</v>
      </c>
      <c r="E2938" s="67" t="s">
        <v>1368</v>
      </c>
      <c r="F2938" s="67" t="s">
        <v>1462</v>
      </c>
      <c r="G2938" s="69">
        <v>447</v>
      </c>
    </row>
    <row r="2939" spans="1:7">
      <c r="A2939" s="67" t="s">
        <v>4422</v>
      </c>
      <c r="B2939" s="70">
        <v>46259</v>
      </c>
      <c r="C2939" s="67" t="s">
        <v>1406</v>
      </c>
      <c r="D2939" s="67" t="s">
        <v>353</v>
      </c>
      <c r="E2939" s="67" t="s">
        <v>1368</v>
      </c>
      <c r="F2939" s="67" t="s">
        <v>1462</v>
      </c>
      <c r="G2939" s="69">
        <v>61</v>
      </c>
    </row>
    <row r="2940" spans="1:7">
      <c r="A2940" s="67" t="s">
        <v>4423</v>
      </c>
      <c r="B2940" s="70">
        <v>46259</v>
      </c>
      <c r="C2940" s="67" t="s">
        <v>1411</v>
      </c>
      <c r="D2940" s="67" t="s">
        <v>1506</v>
      </c>
      <c r="E2940" s="67" t="s">
        <v>1482</v>
      </c>
      <c r="F2940" s="67" t="s">
        <v>1460</v>
      </c>
      <c r="G2940" s="69">
        <v>21</v>
      </c>
    </row>
    <row r="2941" spans="1:7">
      <c r="A2941" s="67" t="s">
        <v>4424</v>
      </c>
      <c r="B2941" s="70">
        <v>46259</v>
      </c>
      <c r="C2941" s="67" t="s">
        <v>1411</v>
      </c>
      <c r="D2941" s="67" t="s">
        <v>1506</v>
      </c>
      <c r="E2941" s="67" t="s">
        <v>1482</v>
      </c>
      <c r="F2941" s="67" t="s">
        <v>1462</v>
      </c>
      <c r="G2941" s="69">
        <v>159</v>
      </c>
    </row>
    <row r="2942" spans="1:7">
      <c r="A2942" s="67" t="s">
        <v>4425</v>
      </c>
      <c r="B2942" s="70">
        <v>46259</v>
      </c>
      <c r="C2942" s="67" t="s">
        <v>1411</v>
      </c>
      <c r="D2942" s="67" t="s">
        <v>1506</v>
      </c>
      <c r="E2942" s="67" t="s">
        <v>1482</v>
      </c>
      <c r="F2942" s="67" t="s">
        <v>1488</v>
      </c>
      <c r="G2942" s="69">
        <v>9</v>
      </c>
    </row>
    <row r="2943" spans="1:7">
      <c r="A2943" s="67" t="s">
        <v>4426</v>
      </c>
      <c r="B2943" s="70">
        <v>46259</v>
      </c>
      <c r="C2943" s="67" t="s">
        <v>1411</v>
      </c>
      <c r="D2943" s="67" t="s">
        <v>1481</v>
      </c>
      <c r="E2943" s="67" t="s">
        <v>1482</v>
      </c>
      <c r="F2943" s="67" t="s">
        <v>1462</v>
      </c>
      <c r="G2943" s="69">
        <v>193</v>
      </c>
    </row>
    <row r="2944" spans="1:7">
      <c r="A2944" s="67" t="s">
        <v>4427</v>
      </c>
      <c r="B2944" s="70">
        <v>46259</v>
      </c>
      <c r="C2944" s="67" t="s">
        <v>1414</v>
      </c>
      <c r="D2944" s="67" t="s">
        <v>1484</v>
      </c>
      <c r="E2944" s="67" t="s">
        <v>1470</v>
      </c>
      <c r="F2944" s="67" t="s">
        <v>1462</v>
      </c>
      <c r="G2944" s="69">
        <v>383</v>
      </c>
    </row>
    <row r="2945" spans="1:7">
      <c r="A2945" s="67" t="s">
        <v>4428</v>
      </c>
      <c r="B2945" s="70">
        <v>46259</v>
      </c>
      <c r="C2945" s="67" t="s">
        <v>1423</v>
      </c>
      <c r="D2945" s="67" t="s">
        <v>1743</v>
      </c>
      <c r="E2945" s="67" t="s">
        <v>1410</v>
      </c>
      <c r="F2945" s="67" t="s">
        <v>1462</v>
      </c>
      <c r="G2945" s="69">
        <v>523</v>
      </c>
    </row>
    <row r="2946" spans="1:7">
      <c r="A2946" s="67" t="s">
        <v>4429</v>
      </c>
      <c r="B2946" s="70">
        <v>46259</v>
      </c>
      <c r="C2946" s="67" t="s">
        <v>1438</v>
      </c>
      <c r="D2946" s="67" t="s">
        <v>1469</v>
      </c>
      <c r="E2946" s="67" t="s">
        <v>1470</v>
      </c>
      <c r="F2946" s="67" t="s">
        <v>1462</v>
      </c>
      <c r="G2946" s="69">
        <v>372</v>
      </c>
    </row>
    <row r="2947" spans="1:7">
      <c r="A2947" s="67" t="s">
        <v>4430</v>
      </c>
      <c r="B2947" s="70">
        <v>46259</v>
      </c>
      <c r="C2947" s="67" t="s">
        <v>1444</v>
      </c>
      <c r="D2947" s="67" t="s">
        <v>1551</v>
      </c>
      <c r="E2947" s="67" t="s">
        <v>1362</v>
      </c>
      <c r="F2947" s="67" t="s">
        <v>1462</v>
      </c>
      <c r="G2947" s="69">
        <v>433</v>
      </c>
    </row>
    <row r="2948" spans="1:7">
      <c r="A2948" s="67" t="s">
        <v>4431</v>
      </c>
      <c r="B2948" s="70">
        <v>46260</v>
      </c>
      <c r="C2948" s="67" t="s">
        <v>1359</v>
      </c>
      <c r="D2948" s="67" t="s">
        <v>353</v>
      </c>
      <c r="E2948" s="67" t="s">
        <v>1368</v>
      </c>
      <c r="F2948" s="67" t="s">
        <v>1460</v>
      </c>
      <c r="G2948" s="69">
        <v>19</v>
      </c>
    </row>
    <row r="2949" spans="1:7">
      <c r="A2949" s="67" t="s">
        <v>4432</v>
      </c>
      <c r="B2949" s="70">
        <v>46260</v>
      </c>
      <c r="C2949" s="67" t="s">
        <v>1359</v>
      </c>
      <c r="D2949" s="67" t="s">
        <v>363</v>
      </c>
      <c r="E2949" s="67" t="s">
        <v>1368</v>
      </c>
      <c r="F2949" s="67" t="s">
        <v>1460</v>
      </c>
      <c r="G2949" s="69">
        <v>26</v>
      </c>
    </row>
    <row r="2950" spans="1:7">
      <c r="A2950" s="67" t="s">
        <v>4433</v>
      </c>
      <c r="B2950" s="70">
        <v>46260</v>
      </c>
      <c r="C2950" s="67" t="s">
        <v>1359</v>
      </c>
      <c r="D2950" s="67" t="s">
        <v>1551</v>
      </c>
      <c r="E2950" s="67" t="s">
        <v>1362</v>
      </c>
      <c r="F2950" s="67" t="s">
        <v>1462</v>
      </c>
      <c r="G2950" s="69">
        <v>221</v>
      </c>
    </row>
    <row r="2951" spans="1:7">
      <c r="A2951" s="67" t="s">
        <v>4434</v>
      </c>
      <c r="B2951" s="70">
        <v>46260</v>
      </c>
      <c r="C2951" s="67" t="s">
        <v>1359</v>
      </c>
      <c r="D2951" s="67" t="s">
        <v>1551</v>
      </c>
      <c r="E2951" s="67" t="s">
        <v>1362</v>
      </c>
      <c r="F2951" s="67" t="s">
        <v>1462</v>
      </c>
      <c r="G2951" s="69">
        <v>576</v>
      </c>
    </row>
    <row r="2952" spans="1:7">
      <c r="A2952" s="67" t="s">
        <v>4435</v>
      </c>
      <c r="B2952" s="70">
        <v>46260</v>
      </c>
      <c r="C2952" s="67" t="s">
        <v>1366</v>
      </c>
      <c r="D2952" s="67" t="s">
        <v>353</v>
      </c>
      <c r="E2952" s="67" t="s">
        <v>1368</v>
      </c>
      <c r="F2952" s="67" t="s">
        <v>1462</v>
      </c>
      <c r="G2952" s="69">
        <v>468</v>
      </c>
    </row>
    <row r="2953" spans="1:7">
      <c r="A2953" s="67" t="s">
        <v>4436</v>
      </c>
      <c r="B2953" s="70">
        <v>46260</v>
      </c>
      <c r="C2953" s="67" t="s">
        <v>1371</v>
      </c>
      <c r="D2953" s="67" t="s">
        <v>1466</v>
      </c>
      <c r="E2953" s="67" t="s">
        <v>1386</v>
      </c>
      <c r="F2953" s="67" t="s">
        <v>1462</v>
      </c>
      <c r="G2953" s="69">
        <v>259</v>
      </c>
    </row>
    <row r="2954" spans="1:7">
      <c r="A2954" s="67" t="s">
        <v>4437</v>
      </c>
      <c r="B2954" s="70">
        <v>46260</v>
      </c>
      <c r="C2954" s="67" t="s">
        <v>1371</v>
      </c>
      <c r="D2954" s="67" t="s">
        <v>1466</v>
      </c>
      <c r="E2954" s="67" t="s">
        <v>1386</v>
      </c>
      <c r="F2954" s="67" t="s">
        <v>1462</v>
      </c>
      <c r="G2954" s="69">
        <v>570</v>
      </c>
    </row>
    <row r="2955" spans="1:7">
      <c r="A2955" s="67" t="s">
        <v>4438</v>
      </c>
      <c r="B2955" s="70">
        <v>46260</v>
      </c>
      <c r="C2955" s="67" t="s">
        <v>1371</v>
      </c>
      <c r="D2955" s="67" t="s">
        <v>1551</v>
      </c>
      <c r="E2955" s="67" t="s">
        <v>1362</v>
      </c>
      <c r="F2955" s="67" t="s">
        <v>1462</v>
      </c>
      <c r="G2955" s="69">
        <v>294</v>
      </c>
    </row>
    <row r="2956" spans="1:7">
      <c r="A2956" s="67" t="s">
        <v>4439</v>
      </c>
      <c r="B2956" s="70">
        <v>46260</v>
      </c>
      <c r="C2956" s="67" t="s">
        <v>1399</v>
      </c>
      <c r="D2956" s="67" t="s">
        <v>1459</v>
      </c>
      <c r="E2956" s="67" t="s">
        <v>1362</v>
      </c>
      <c r="F2956" s="67" t="s">
        <v>1462</v>
      </c>
      <c r="G2956" s="69">
        <v>154</v>
      </c>
    </row>
    <row r="2957" spans="1:7">
      <c r="A2957" s="67" t="s">
        <v>4440</v>
      </c>
      <c r="B2957" s="70">
        <v>46260</v>
      </c>
      <c r="C2957" s="67" t="s">
        <v>1404</v>
      </c>
      <c r="D2957" s="67" t="s">
        <v>365</v>
      </c>
      <c r="E2957" s="67" t="s">
        <v>1368</v>
      </c>
      <c r="F2957" s="67" t="s">
        <v>1462</v>
      </c>
      <c r="G2957" s="69">
        <v>353</v>
      </c>
    </row>
    <row r="2958" spans="1:7">
      <c r="A2958" s="67" t="s">
        <v>4441</v>
      </c>
      <c r="B2958" s="70">
        <v>46260</v>
      </c>
      <c r="C2958" s="67" t="s">
        <v>1414</v>
      </c>
      <c r="D2958" s="67" t="s">
        <v>1511</v>
      </c>
      <c r="E2958" s="67" t="s">
        <v>1470</v>
      </c>
      <c r="F2958" s="67" t="s">
        <v>1462</v>
      </c>
      <c r="G2958" s="69">
        <v>279</v>
      </c>
    </row>
    <row r="2959" spans="1:7">
      <c r="A2959" s="67" t="s">
        <v>4442</v>
      </c>
      <c r="B2959" s="70">
        <v>46260</v>
      </c>
      <c r="C2959" s="67" t="s">
        <v>1425</v>
      </c>
      <c r="D2959" s="67" t="s">
        <v>1484</v>
      </c>
      <c r="E2959" s="67" t="s">
        <v>1470</v>
      </c>
      <c r="F2959" s="67" t="s">
        <v>1462</v>
      </c>
      <c r="G2959" s="69">
        <v>207</v>
      </c>
    </row>
    <row r="2960" spans="1:7">
      <c r="A2960" s="67" t="s">
        <v>4443</v>
      </c>
      <c r="B2960" s="70">
        <v>46260</v>
      </c>
      <c r="C2960" s="67" t="s">
        <v>1425</v>
      </c>
      <c r="D2960" s="67" t="s">
        <v>1551</v>
      </c>
      <c r="E2960" s="67" t="s">
        <v>1362</v>
      </c>
      <c r="F2960" s="67" t="s">
        <v>1462</v>
      </c>
      <c r="G2960" s="69">
        <v>199</v>
      </c>
    </row>
    <row r="2961" spans="1:7">
      <c r="A2961" s="67" t="s">
        <v>4444</v>
      </c>
      <c r="B2961" s="70">
        <v>46260</v>
      </c>
      <c r="C2961" s="67" t="s">
        <v>1425</v>
      </c>
      <c r="D2961" s="67" t="s">
        <v>1551</v>
      </c>
      <c r="E2961" s="67" t="s">
        <v>1362</v>
      </c>
      <c r="F2961" s="67" t="s">
        <v>1460</v>
      </c>
      <c r="G2961" s="69">
        <v>25</v>
      </c>
    </row>
    <row r="2962" spans="1:7">
      <c r="A2962" s="67" t="s">
        <v>4445</v>
      </c>
      <c r="B2962" s="70">
        <v>46260</v>
      </c>
      <c r="C2962" s="67" t="s">
        <v>1429</v>
      </c>
      <c r="D2962" s="67" t="s">
        <v>365</v>
      </c>
      <c r="E2962" s="67" t="s">
        <v>1368</v>
      </c>
      <c r="F2962" s="67" t="s">
        <v>1462</v>
      </c>
      <c r="G2962" s="69">
        <v>136</v>
      </c>
    </row>
    <row r="2963" spans="1:7">
      <c r="A2963" s="67" t="s">
        <v>4446</v>
      </c>
      <c r="B2963" s="70">
        <v>46260</v>
      </c>
      <c r="C2963" s="67" t="s">
        <v>1438</v>
      </c>
      <c r="D2963" s="67" t="s">
        <v>1459</v>
      </c>
      <c r="E2963" s="67" t="s">
        <v>1362</v>
      </c>
      <c r="F2963" s="67" t="s">
        <v>1462</v>
      </c>
      <c r="G2963" s="69">
        <v>47</v>
      </c>
    </row>
    <row r="2964" spans="1:7">
      <c r="A2964" s="67" t="s">
        <v>4447</v>
      </c>
      <c r="B2964" s="70">
        <v>46261</v>
      </c>
      <c r="C2964" s="67" t="s">
        <v>1359</v>
      </c>
      <c r="D2964" s="67" t="s">
        <v>1466</v>
      </c>
      <c r="E2964" s="67" t="s">
        <v>1386</v>
      </c>
      <c r="F2964" s="67" t="s">
        <v>1462</v>
      </c>
      <c r="G2964" s="69">
        <v>470</v>
      </c>
    </row>
    <row r="2965" spans="1:7">
      <c r="A2965" s="67" t="s">
        <v>4448</v>
      </c>
      <c r="B2965" s="70">
        <v>46261</v>
      </c>
      <c r="C2965" s="67" t="s">
        <v>1359</v>
      </c>
      <c r="D2965" s="67" t="s">
        <v>1466</v>
      </c>
      <c r="E2965" s="67" t="s">
        <v>1386</v>
      </c>
      <c r="F2965" s="67" t="s">
        <v>1462</v>
      </c>
      <c r="G2965" s="69">
        <v>213</v>
      </c>
    </row>
    <row r="2966" spans="1:7">
      <c r="A2966" s="67" t="s">
        <v>4449</v>
      </c>
      <c r="B2966" s="70">
        <v>46261</v>
      </c>
      <c r="C2966" s="67" t="s">
        <v>1366</v>
      </c>
      <c r="D2966" s="67" t="s">
        <v>1476</v>
      </c>
      <c r="E2966" s="67" t="s">
        <v>1362</v>
      </c>
      <c r="F2966" s="67" t="s">
        <v>1460</v>
      </c>
      <c r="G2966" s="69">
        <v>27</v>
      </c>
    </row>
    <row r="2967" spans="1:7">
      <c r="A2967" s="67" t="s">
        <v>4450</v>
      </c>
      <c r="B2967" s="70">
        <v>46261</v>
      </c>
      <c r="C2967" s="67" t="s">
        <v>1371</v>
      </c>
      <c r="D2967" s="67" t="s">
        <v>1602</v>
      </c>
      <c r="E2967" s="67" t="s">
        <v>1386</v>
      </c>
      <c r="F2967" s="67" t="s">
        <v>1462</v>
      </c>
      <c r="G2967" s="69">
        <v>300</v>
      </c>
    </row>
    <row r="2968" spans="1:7">
      <c r="A2968" s="67" t="s">
        <v>4451</v>
      </c>
      <c r="B2968" s="70">
        <v>46261</v>
      </c>
      <c r="C2968" s="67" t="s">
        <v>1378</v>
      </c>
      <c r="D2968" s="67" t="s">
        <v>356</v>
      </c>
      <c r="E2968" s="67" t="s">
        <v>1368</v>
      </c>
      <c r="F2968" s="67" t="s">
        <v>1462</v>
      </c>
      <c r="G2968" s="69">
        <v>474</v>
      </c>
    </row>
    <row r="2969" spans="1:7">
      <c r="A2969" s="67" t="s">
        <v>4452</v>
      </c>
      <c r="B2969" s="70">
        <v>46261</v>
      </c>
      <c r="C2969" s="67" t="s">
        <v>1381</v>
      </c>
      <c r="D2969" s="67" t="s">
        <v>353</v>
      </c>
      <c r="E2969" s="67" t="s">
        <v>1368</v>
      </c>
      <c r="F2969" s="67" t="s">
        <v>1462</v>
      </c>
      <c r="G2969" s="69">
        <v>484</v>
      </c>
    </row>
    <row r="2970" spans="1:7">
      <c r="A2970" s="67" t="s">
        <v>4453</v>
      </c>
      <c r="B2970" s="70">
        <v>46261</v>
      </c>
      <c r="C2970" s="67" t="s">
        <v>1381</v>
      </c>
      <c r="D2970" s="67" t="s">
        <v>363</v>
      </c>
      <c r="E2970" s="67" t="s">
        <v>1368</v>
      </c>
      <c r="F2970" s="67" t="s">
        <v>1460</v>
      </c>
      <c r="G2970" s="69">
        <v>18</v>
      </c>
    </row>
    <row r="2971" spans="1:7">
      <c r="A2971" s="67" t="s">
        <v>4454</v>
      </c>
      <c r="B2971" s="70">
        <v>46261</v>
      </c>
      <c r="C2971" s="67" t="s">
        <v>1381</v>
      </c>
      <c r="D2971" s="67" t="s">
        <v>358</v>
      </c>
      <c r="E2971" s="67" t="s">
        <v>1368</v>
      </c>
      <c r="F2971" s="67" t="s">
        <v>1462</v>
      </c>
      <c r="G2971" s="69">
        <v>25</v>
      </c>
    </row>
    <row r="2972" spans="1:7">
      <c r="A2972" s="67" t="s">
        <v>4455</v>
      </c>
      <c r="B2972" s="70">
        <v>46261</v>
      </c>
      <c r="C2972" s="67" t="s">
        <v>1384</v>
      </c>
      <c r="D2972" s="67" t="s">
        <v>1466</v>
      </c>
      <c r="E2972" s="67" t="s">
        <v>1386</v>
      </c>
      <c r="F2972" s="67" t="s">
        <v>1462</v>
      </c>
      <c r="G2972" s="69">
        <v>547</v>
      </c>
    </row>
    <row r="2973" spans="1:7">
      <c r="A2973" s="67" t="s">
        <v>4456</v>
      </c>
      <c r="B2973" s="70">
        <v>46261</v>
      </c>
      <c r="C2973" s="67" t="s">
        <v>1399</v>
      </c>
      <c r="D2973" s="67" t="s">
        <v>1459</v>
      </c>
      <c r="E2973" s="67" t="s">
        <v>1362</v>
      </c>
      <c r="F2973" s="67" t="s">
        <v>1462</v>
      </c>
      <c r="G2973" s="69">
        <v>250</v>
      </c>
    </row>
    <row r="2974" spans="1:7">
      <c r="A2974" s="67" t="s">
        <v>4457</v>
      </c>
      <c r="B2974" s="70">
        <v>46261</v>
      </c>
      <c r="C2974" s="67" t="s">
        <v>1404</v>
      </c>
      <c r="D2974" s="67" t="s">
        <v>1484</v>
      </c>
      <c r="E2974" s="67" t="s">
        <v>1470</v>
      </c>
      <c r="F2974" s="67" t="s">
        <v>1462</v>
      </c>
      <c r="G2974" s="69">
        <v>304</v>
      </c>
    </row>
    <row r="2975" spans="1:7">
      <c r="A2975" s="67" t="s">
        <v>4458</v>
      </c>
      <c r="B2975" s="70">
        <v>46261</v>
      </c>
      <c r="C2975" s="67" t="s">
        <v>1411</v>
      </c>
      <c r="D2975" s="67" t="s">
        <v>1506</v>
      </c>
      <c r="E2975" s="67" t="s">
        <v>1482</v>
      </c>
      <c r="F2975" s="67" t="s">
        <v>1460</v>
      </c>
      <c r="G2975" s="69">
        <v>25</v>
      </c>
    </row>
    <row r="2976" spans="1:7">
      <c r="A2976" s="67" t="s">
        <v>4459</v>
      </c>
      <c r="B2976" s="70">
        <v>46261</v>
      </c>
      <c r="C2976" s="67" t="s">
        <v>1411</v>
      </c>
      <c r="D2976" s="67" t="s">
        <v>1506</v>
      </c>
      <c r="E2976" s="67" t="s">
        <v>1482</v>
      </c>
      <c r="F2976" s="67" t="s">
        <v>1462</v>
      </c>
      <c r="G2976" s="69">
        <v>507</v>
      </c>
    </row>
    <row r="2977" spans="1:7">
      <c r="A2977" s="67" t="s">
        <v>4460</v>
      </c>
      <c r="B2977" s="70">
        <v>46261</v>
      </c>
      <c r="C2977" s="67" t="s">
        <v>1411</v>
      </c>
      <c r="D2977" s="67" t="s">
        <v>1506</v>
      </c>
      <c r="E2977" s="67" t="s">
        <v>1482</v>
      </c>
      <c r="F2977" s="67" t="s">
        <v>1462</v>
      </c>
      <c r="G2977" s="69">
        <v>283</v>
      </c>
    </row>
    <row r="2978" spans="1:7">
      <c r="A2978" s="67" t="s">
        <v>4461</v>
      </c>
      <c r="B2978" s="70">
        <v>46261</v>
      </c>
      <c r="C2978" s="67" t="s">
        <v>1411</v>
      </c>
      <c r="D2978" s="67" t="s">
        <v>1506</v>
      </c>
      <c r="E2978" s="67" t="s">
        <v>1482</v>
      </c>
      <c r="F2978" s="67" t="s">
        <v>1462</v>
      </c>
      <c r="G2978" s="69">
        <v>522</v>
      </c>
    </row>
    <row r="2979" spans="1:7">
      <c r="A2979" s="67" t="s">
        <v>4462</v>
      </c>
      <c r="B2979" s="70">
        <v>46261</v>
      </c>
      <c r="C2979" s="67" t="s">
        <v>1411</v>
      </c>
      <c r="D2979" s="67" t="s">
        <v>1506</v>
      </c>
      <c r="E2979" s="67" t="s">
        <v>1482</v>
      </c>
      <c r="F2979" s="67" t="s">
        <v>1462</v>
      </c>
      <c r="G2979" s="69">
        <v>28</v>
      </c>
    </row>
    <row r="2980" spans="1:7">
      <c r="A2980" s="67" t="s">
        <v>4463</v>
      </c>
      <c r="B2980" s="70">
        <v>46261</v>
      </c>
      <c r="C2980" s="67" t="s">
        <v>1414</v>
      </c>
      <c r="D2980" s="67" t="s">
        <v>1491</v>
      </c>
      <c r="E2980" s="67" t="s">
        <v>1470</v>
      </c>
      <c r="F2980" s="67" t="s">
        <v>1462</v>
      </c>
      <c r="G2980" s="69">
        <v>193</v>
      </c>
    </row>
    <row r="2981" spans="1:7">
      <c r="A2981" s="67" t="s">
        <v>4464</v>
      </c>
      <c r="B2981" s="70">
        <v>46262</v>
      </c>
      <c r="C2981" s="67" t="s">
        <v>1359</v>
      </c>
      <c r="D2981" s="67" t="s">
        <v>1476</v>
      </c>
      <c r="E2981" s="67" t="s">
        <v>1362</v>
      </c>
      <c r="F2981" s="67" t="s">
        <v>1462</v>
      </c>
      <c r="G2981" s="69">
        <v>384</v>
      </c>
    </row>
    <row r="2982" spans="1:7">
      <c r="A2982" s="67" t="s">
        <v>4465</v>
      </c>
      <c r="B2982" s="70">
        <v>46262</v>
      </c>
      <c r="C2982" s="67" t="s">
        <v>1359</v>
      </c>
      <c r="D2982" s="67" t="s">
        <v>1466</v>
      </c>
      <c r="E2982" s="67" t="s">
        <v>1386</v>
      </c>
      <c r="F2982" s="67" t="s">
        <v>1460</v>
      </c>
      <c r="G2982" s="69">
        <v>5</v>
      </c>
    </row>
    <row r="2983" spans="1:7">
      <c r="A2983" s="67" t="s">
        <v>4466</v>
      </c>
      <c r="B2983" s="70">
        <v>46262</v>
      </c>
      <c r="C2983" s="67" t="s">
        <v>1359</v>
      </c>
      <c r="D2983" s="67" t="s">
        <v>1551</v>
      </c>
      <c r="E2983" s="67" t="s">
        <v>1362</v>
      </c>
      <c r="F2983" s="67" t="s">
        <v>1462</v>
      </c>
      <c r="G2983" s="69">
        <v>473</v>
      </c>
    </row>
    <row r="2984" spans="1:7">
      <c r="A2984" s="67" t="s">
        <v>4467</v>
      </c>
      <c r="B2984" s="70">
        <v>46262</v>
      </c>
      <c r="C2984" s="67" t="s">
        <v>1366</v>
      </c>
      <c r="D2984" s="67" t="s">
        <v>358</v>
      </c>
      <c r="E2984" s="67" t="s">
        <v>1368</v>
      </c>
      <c r="F2984" s="67" t="s">
        <v>1462</v>
      </c>
      <c r="G2984" s="69">
        <v>331</v>
      </c>
    </row>
    <row r="2985" spans="1:7">
      <c r="A2985" s="67" t="s">
        <v>4468</v>
      </c>
      <c r="B2985" s="70">
        <v>46262</v>
      </c>
      <c r="C2985" s="67" t="s">
        <v>1371</v>
      </c>
      <c r="D2985" s="67" t="s">
        <v>1551</v>
      </c>
      <c r="E2985" s="67" t="s">
        <v>1362</v>
      </c>
      <c r="F2985" s="67" t="s">
        <v>1462</v>
      </c>
      <c r="G2985" s="69">
        <v>254</v>
      </c>
    </row>
    <row r="2986" spans="1:7">
      <c r="A2986" s="67" t="s">
        <v>4469</v>
      </c>
      <c r="B2986" s="70">
        <v>46262</v>
      </c>
      <c r="C2986" s="67" t="s">
        <v>1371</v>
      </c>
      <c r="D2986" s="67" t="s">
        <v>1551</v>
      </c>
      <c r="E2986" s="67" t="s">
        <v>1362</v>
      </c>
      <c r="F2986" s="67" t="s">
        <v>1460</v>
      </c>
      <c r="G2986" s="69">
        <v>5</v>
      </c>
    </row>
    <row r="2987" spans="1:7">
      <c r="A2987" s="67" t="s">
        <v>4470</v>
      </c>
      <c r="B2987" s="70">
        <v>46262</v>
      </c>
      <c r="C2987" s="67" t="s">
        <v>1375</v>
      </c>
      <c r="D2987" s="67" t="s">
        <v>353</v>
      </c>
      <c r="E2987" s="67" t="s">
        <v>1368</v>
      </c>
      <c r="F2987" s="67" t="s">
        <v>1462</v>
      </c>
      <c r="G2987" s="69">
        <v>375</v>
      </c>
    </row>
    <row r="2988" spans="1:7">
      <c r="A2988" s="67" t="s">
        <v>4471</v>
      </c>
      <c r="B2988" s="70">
        <v>46262</v>
      </c>
      <c r="C2988" s="67" t="s">
        <v>1378</v>
      </c>
      <c r="D2988" s="67" t="s">
        <v>1459</v>
      </c>
      <c r="E2988" s="67" t="s">
        <v>1362</v>
      </c>
      <c r="F2988" s="67" t="s">
        <v>1462</v>
      </c>
      <c r="G2988" s="69">
        <v>142</v>
      </c>
    </row>
    <row r="2989" spans="1:7">
      <c r="A2989" s="67" t="s">
        <v>4472</v>
      </c>
      <c r="B2989" s="70">
        <v>46262</v>
      </c>
      <c r="C2989" s="67" t="s">
        <v>1381</v>
      </c>
      <c r="D2989" s="67" t="s">
        <v>1484</v>
      </c>
      <c r="E2989" s="67" t="s">
        <v>1470</v>
      </c>
      <c r="F2989" s="67" t="s">
        <v>1462</v>
      </c>
      <c r="G2989" s="69">
        <v>163</v>
      </c>
    </row>
    <row r="2990" spans="1:7">
      <c r="A2990" s="67" t="s">
        <v>4473</v>
      </c>
      <c r="B2990" s="70">
        <v>46262</v>
      </c>
      <c r="C2990" s="67" t="s">
        <v>1381</v>
      </c>
      <c r="D2990" s="67" t="s">
        <v>1551</v>
      </c>
      <c r="E2990" s="67" t="s">
        <v>1362</v>
      </c>
      <c r="F2990" s="67" t="s">
        <v>1460</v>
      </c>
      <c r="G2990" s="69">
        <v>11</v>
      </c>
    </row>
    <row r="2991" spans="1:7">
      <c r="A2991" s="67" t="s">
        <v>4474</v>
      </c>
      <c r="B2991" s="70">
        <v>46262</v>
      </c>
      <c r="C2991" s="67" t="s">
        <v>1384</v>
      </c>
      <c r="D2991" s="67" t="s">
        <v>1466</v>
      </c>
      <c r="E2991" s="67" t="s">
        <v>1386</v>
      </c>
      <c r="F2991" s="67" t="s">
        <v>1462</v>
      </c>
      <c r="G2991" s="69">
        <v>525</v>
      </c>
    </row>
    <row r="2992" spans="1:7">
      <c r="A2992" s="67" t="s">
        <v>4475</v>
      </c>
      <c r="B2992" s="70">
        <v>46262</v>
      </c>
      <c r="C2992" s="67" t="s">
        <v>1384</v>
      </c>
      <c r="D2992" s="67" t="s">
        <v>1551</v>
      </c>
      <c r="E2992" s="67" t="s">
        <v>1362</v>
      </c>
      <c r="F2992" s="67" t="s">
        <v>1462</v>
      </c>
      <c r="G2992" s="69">
        <v>584</v>
      </c>
    </row>
    <row r="2993" spans="1:7">
      <c r="A2993" s="67" t="s">
        <v>4476</v>
      </c>
      <c r="B2993" s="70">
        <v>46262</v>
      </c>
      <c r="C2993" s="67" t="s">
        <v>1389</v>
      </c>
      <c r="D2993" s="67" t="s">
        <v>367</v>
      </c>
      <c r="E2993" s="67" t="s">
        <v>1368</v>
      </c>
      <c r="F2993" s="67" t="s">
        <v>1462</v>
      </c>
      <c r="G2993" s="69">
        <v>275</v>
      </c>
    </row>
    <row r="2994" spans="1:7">
      <c r="A2994" s="67" t="s">
        <v>4477</v>
      </c>
      <c r="B2994" s="70">
        <v>46262</v>
      </c>
      <c r="C2994" s="67" t="s">
        <v>1406</v>
      </c>
      <c r="D2994" s="67" t="s">
        <v>363</v>
      </c>
      <c r="E2994" s="67" t="s">
        <v>1368</v>
      </c>
      <c r="F2994" s="67" t="s">
        <v>1462</v>
      </c>
      <c r="G2994" s="69">
        <v>387</v>
      </c>
    </row>
    <row r="2995" spans="1:7">
      <c r="A2995" s="67" t="s">
        <v>4478</v>
      </c>
      <c r="B2995" s="70">
        <v>46262</v>
      </c>
      <c r="C2995" s="67" t="s">
        <v>1406</v>
      </c>
      <c r="D2995" s="67" t="s">
        <v>369</v>
      </c>
      <c r="E2995" s="67" t="s">
        <v>1368</v>
      </c>
      <c r="F2995" s="67" t="s">
        <v>1462</v>
      </c>
      <c r="G2995" s="69">
        <v>57</v>
      </c>
    </row>
    <row r="2996" spans="1:7">
      <c r="A2996" s="67" t="s">
        <v>4479</v>
      </c>
      <c r="B2996" s="70">
        <v>46262</v>
      </c>
      <c r="C2996" s="67" t="s">
        <v>1406</v>
      </c>
      <c r="D2996" s="67" t="s">
        <v>358</v>
      </c>
      <c r="E2996" s="67" t="s">
        <v>1368</v>
      </c>
      <c r="F2996" s="67" t="s">
        <v>1460</v>
      </c>
      <c r="G2996" s="69">
        <v>11</v>
      </c>
    </row>
    <row r="2997" spans="1:7">
      <c r="A2997" s="67" t="s">
        <v>4480</v>
      </c>
      <c r="B2997" s="70">
        <v>46262</v>
      </c>
      <c r="C2997" s="67" t="s">
        <v>1411</v>
      </c>
      <c r="D2997" s="67" t="s">
        <v>1506</v>
      </c>
      <c r="E2997" s="67" t="s">
        <v>1482</v>
      </c>
      <c r="F2997" s="67" t="s">
        <v>1462</v>
      </c>
      <c r="G2997" s="69">
        <v>358</v>
      </c>
    </row>
    <row r="2998" spans="1:7">
      <c r="A2998" s="67" t="s">
        <v>4481</v>
      </c>
      <c r="B2998" s="70">
        <v>46262</v>
      </c>
      <c r="C2998" s="67" t="s">
        <v>1411</v>
      </c>
      <c r="D2998" s="67" t="s">
        <v>1506</v>
      </c>
      <c r="E2998" s="67" t="s">
        <v>1482</v>
      </c>
      <c r="F2998" s="67" t="s">
        <v>1462</v>
      </c>
      <c r="G2998" s="69">
        <v>383</v>
      </c>
    </row>
    <row r="2999" spans="1:7">
      <c r="A2999" s="67" t="s">
        <v>4482</v>
      </c>
      <c r="B2999" s="70">
        <v>46262</v>
      </c>
      <c r="C2999" s="67" t="s">
        <v>1411</v>
      </c>
      <c r="D2999" s="67" t="s">
        <v>1481</v>
      </c>
      <c r="E2999" s="67" t="s">
        <v>1482</v>
      </c>
      <c r="F2999" s="67" t="s">
        <v>1462</v>
      </c>
      <c r="G2999" s="69">
        <v>153</v>
      </c>
    </row>
    <row r="3000" spans="1:7">
      <c r="A3000" s="67" t="s">
        <v>4483</v>
      </c>
      <c r="B3000" s="70">
        <v>46262</v>
      </c>
      <c r="C3000" s="67" t="s">
        <v>1411</v>
      </c>
      <c r="D3000" s="67" t="s">
        <v>1481</v>
      </c>
      <c r="E3000" s="67" t="s">
        <v>1482</v>
      </c>
      <c r="F3000" s="67" t="s">
        <v>1488</v>
      </c>
      <c r="G3000" s="69">
        <v>8</v>
      </c>
    </row>
    <row r="3001" spans="1:7">
      <c r="A3001" s="67" t="s">
        <v>4484</v>
      </c>
      <c r="B3001" s="70">
        <v>46262</v>
      </c>
      <c r="C3001" s="67" t="s">
        <v>1411</v>
      </c>
      <c r="D3001" s="67" t="s">
        <v>1481</v>
      </c>
      <c r="E3001" s="67" t="s">
        <v>1482</v>
      </c>
      <c r="F3001" s="67" t="s">
        <v>1462</v>
      </c>
      <c r="G3001" s="69">
        <v>263</v>
      </c>
    </row>
    <row r="3002" spans="1:7">
      <c r="A3002" s="67" t="s">
        <v>4485</v>
      </c>
      <c r="B3002" s="70">
        <v>46262</v>
      </c>
      <c r="C3002" s="67" t="s">
        <v>1414</v>
      </c>
      <c r="D3002" s="67" t="s">
        <v>1511</v>
      </c>
      <c r="E3002" s="67" t="s">
        <v>1470</v>
      </c>
      <c r="F3002" s="67" t="s">
        <v>1462</v>
      </c>
      <c r="G3002" s="69">
        <v>322</v>
      </c>
    </row>
    <row r="3003" spans="1:7">
      <c r="A3003" s="67" t="s">
        <v>4486</v>
      </c>
      <c r="B3003" s="70">
        <v>46262</v>
      </c>
      <c r="C3003" s="67" t="s">
        <v>1429</v>
      </c>
      <c r="D3003" s="67" t="s">
        <v>358</v>
      </c>
      <c r="E3003" s="67" t="s">
        <v>1368</v>
      </c>
      <c r="F3003" s="67" t="s">
        <v>1460</v>
      </c>
      <c r="G3003" s="69">
        <v>18</v>
      </c>
    </row>
    <row r="3004" spans="1:7">
      <c r="A3004" s="67" t="s">
        <v>4487</v>
      </c>
      <c r="B3004" s="70">
        <v>46262</v>
      </c>
      <c r="C3004" s="67" t="s">
        <v>1444</v>
      </c>
      <c r="D3004" s="67" t="s">
        <v>1551</v>
      </c>
      <c r="E3004" s="67" t="s">
        <v>1362</v>
      </c>
      <c r="F3004" s="67" t="s">
        <v>1462</v>
      </c>
      <c r="G3004" s="69">
        <v>70</v>
      </c>
    </row>
    <row r="3005" spans="1:7">
      <c r="A3005" s="67" t="s">
        <v>4488</v>
      </c>
      <c r="B3005" s="70">
        <v>46262</v>
      </c>
      <c r="C3005" s="67" t="s">
        <v>1444</v>
      </c>
      <c r="D3005" s="67" t="s">
        <v>1551</v>
      </c>
      <c r="E3005" s="67" t="s">
        <v>1362</v>
      </c>
      <c r="F3005" s="67" t="s">
        <v>1462</v>
      </c>
      <c r="G3005" s="69">
        <v>179</v>
      </c>
    </row>
    <row r="3006" spans="1:7">
      <c r="A3006" s="67" t="s">
        <v>4489</v>
      </c>
      <c r="B3006" s="70">
        <v>46263</v>
      </c>
      <c r="C3006" s="67" t="s">
        <v>1359</v>
      </c>
      <c r="D3006" s="67" t="s">
        <v>365</v>
      </c>
      <c r="E3006" s="67" t="s">
        <v>1368</v>
      </c>
      <c r="F3006" s="67" t="s">
        <v>1462</v>
      </c>
      <c r="G3006" s="69">
        <v>163</v>
      </c>
    </row>
    <row r="3007" spans="1:7">
      <c r="A3007" s="67" t="s">
        <v>4490</v>
      </c>
      <c r="B3007" s="70">
        <v>46263</v>
      </c>
      <c r="C3007" s="67" t="s">
        <v>1359</v>
      </c>
      <c r="D3007" s="67" t="s">
        <v>1466</v>
      </c>
      <c r="E3007" s="67" t="s">
        <v>1386</v>
      </c>
      <c r="F3007" s="67" t="s">
        <v>1460</v>
      </c>
      <c r="G3007" s="69">
        <v>7</v>
      </c>
    </row>
    <row r="3008" spans="1:7">
      <c r="A3008" s="67" t="s">
        <v>4491</v>
      </c>
      <c r="B3008" s="70">
        <v>46263</v>
      </c>
      <c r="C3008" s="67" t="s">
        <v>1359</v>
      </c>
      <c r="D3008" s="67" t="s">
        <v>1466</v>
      </c>
      <c r="E3008" s="67" t="s">
        <v>1386</v>
      </c>
      <c r="F3008" s="67" t="s">
        <v>1462</v>
      </c>
      <c r="G3008" s="69">
        <v>87</v>
      </c>
    </row>
    <row r="3009" spans="1:7">
      <c r="A3009" s="67" t="s">
        <v>4492</v>
      </c>
      <c r="B3009" s="70">
        <v>46263</v>
      </c>
      <c r="C3009" s="67" t="s">
        <v>1359</v>
      </c>
      <c r="D3009" s="67" t="s">
        <v>1602</v>
      </c>
      <c r="E3009" s="67" t="s">
        <v>1386</v>
      </c>
      <c r="F3009" s="67" t="s">
        <v>1460</v>
      </c>
      <c r="G3009" s="69">
        <v>20</v>
      </c>
    </row>
    <row r="3010" spans="1:7">
      <c r="A3010" s="67" t="s">
        <v>4493</v>
      </c>
      <c r="B3010" s="70">
        <v>46263</v>
      </c>
      <c r="C3010" s="67" t="s">
        <v>1366</v>
      </c>
      <c r="D3010" s="67" t="s">
        <v>356</v>
      </c>
      <c r="E3010" s="67" t="s">
        <v>1368</v>
      </c>
      <c r="F3010" s="67" t="s">
        <v>1462</v>
      </c>
      <c r="G3010" s="69">
        <v>508</v>
      </c>
    </row>
    <row r="3011" spans="1:7">
      <c r="A3011" s="67" t="s">
        <v>4494</v>
      </c>
      <c r="B3011" s="70">
        <v>46263</v>
      </c>
      <c r="C3011" s="67" t="s">
        <v>1371</v>
      </c>
      <c r="D3011" s="67" t="s">
        <v>356</v>
      </c>
      <c r="E3011" s="67" t="s">
        <v>1368</v>
      </c>
      <c r="F3011" s="67" t="s">
        <v>1462</v>
      </c>
      <c r="G3011" s="69">
        <v>477</v>
      </c>
    </row>
    <row r="3012" spans="1:7">
      <c r="A3012" s="67" t="s">
        <v>4495</v>
      </c>
      <c r="B3012" s="70">
        <v>46263</v>
      </c>
      <c r="C3012" s="67" t="s">
        <v>1371</v>
      </c>
      <c r="D3012" s="67" t="s">
        <v>1476</v>
      </c>
      <c r="E3012" s="67" t="s">
        <v>1362</v>
      </c>
      <c r="F3012" s="67" t="s">
        <v>1462</v>
      </c>
      <c r="G3012" s="69">
        <v>135</v>
      </c>
    </row>
    <row r="3013" spans="1:7">
      <c r="A3013" s="67" t="s">
        <v>4496</v>
      </c>
      <c r="B3013" s="70">
        <v>46263</v>
      </c>
      <c r="C3013" s="67" t="s">
        <v>1371</v>
      </c>
      <c r="D3013" s="67" t="s">
        <v>1551</v>
      </c>
      <c r="E3013" s="67" t="s">
        <v>1362</v>
      </c>
      <c r="F3013" s="67" t="s">
        <v>1462</v>
      </c>
      <c r="G3013" s="69">
        <v>168</v>
      </c>
    </row>
    <row r="3014" spans="1:7">
      <c r="A3014" s="67" t="s">
        <v>4497</v>
      </c>
      <c r="B3014" s="70">
        <v>46263</v>
      </c>
      <c r="C3014" s="67" t="s">
        <v>1371</v>
      </c>
      <c r="D3014" s="67" t="s">
        <v>1551</v>
      </c>
      <c r="E3014" s="67" t="s">
        <v>1362</v>
      </c>
      <c r="F3014" s="67" t="s">
        <v>1460</v>
      </c>
      <c r="G3014" s="69">
        <v>29</v>
      </c>
    </row>
    <row r="3015" spans="1:7">
      <c r="A3015" s="67" t="s">
        <v>4498</v>
      </c>
      <c r="B3015" s="70">
        <v>46263</v>
      </c>
      <c r="C3015" s="67" t="s">
        <v>1378</v>
      </c>
      <c r="D3015" s="67" t="s">
        <v>358</v>
      </c>
      <c r="E3015" s="67" t="s">
        <v>1368</v>
      </c>
      <c r="F3015" s="67" t="s">
        <v>1462</v>
      </c>
      <c r="G3015" s="69">
        <v>224</v>
      </c>
    </row>
    <row r="3016" spans="1:7">
      <c r="A3016" s="67" t="s">
        <v>4499</v>
      </c>
      <c r="B3016" s="70">
        <v>46263</v>
      </c>
      <c r="C3016" s="67" t="s">
        <v>1381</v>
      </c>
      <c r="D3016" s="67" t="s">
        <v>353</v>
      </c>
      <c r="E3016" s="67" t="s">
        <v>1368</v>
      </c>
      <c r="F3016" s="67" t="s">
        <v>1462</v>
      </c>
      <c r="G3016" s="69">
        <v>376</v>
      </c>
    </row>
    <row r="3017" spans="1:7">
      <c r="A3017" s="67" t="s">
        <v>4500</v>
      </c>
      <c r="B3017" s="70">
        <v>46263</v>
      </c>
      <c r="C3017" s="67" t="s">
        <v>1389</v>
      </c>
      <c r="D3017" s="67" t="s">
        <v>358</v>
      </c>
      <c r="E3017" s="67" t="s">
        <v>1368</v>
      </c>
      <c r="F3017" s="67" t="s">
        <v>1462</v>
      </c>
      <c r="G3017" s="69">
        <v>553</v>
      </c>
    </row>
    <row r="3018" spans="1:7">
      <c r="A3018" s="67" t="s">
        <v>4501</v>
      </c>
      <c r="B3018" s="70">
        <v>46263</v>
      </c>
      <c r="C3018" s="67" t="s">
        <v>1393</v>
      </c>
      <c r="D3018" s="67" t="s">
        <v>353</v>
      </c>
      <c r="E3018" s="67" t="s">
        <v>1368</v>
      </c>
      <c r="F3018" s="67" t="s">
        <v>1462</v>
      </c>
      <c r="G3018" s="69">
        <v>355</v>
      </c>
    </row>
    <row r="3019" spans="1:7">
      <c r="A3019" s="67" t="s">
        <v>4502</v>
      </c>
      <c r="B3019" s="70">
        <v>46263</v>
      </c>
      <c r="C3019" s="67" t="s">
        <v>1393</v>
      </c>
      <c r="D3019" s="67" t="s">
        <v>369</v>
      </c>
      <c r="E3019" s="67" t="s">
        <v>1368</v>
      </c>
      <c r="F3019" s="67" t="s">
        <v>1462</v>
      </c>
      <c r="G3019" s="69">
        <v>180</v>
      </c>
    </row>
    <row r="3020" spans="1:7">
      <c r="A3020" s="67" t="s">
        <v>4503</v>
      </c>
      <c r="B3020" s="70">
        <v>46263</v>
      </c>
      <c r="C3020" s="67" t="s">
        <v>1399</v>
      </c>
      <c r="D3020" s="67" t="s">
        <v>1551</v>
      </c>
      <c r="E3020" s="67" t="s">
        <v>1362</v>
      </c>
      <c r="F3020" s="67" t="s">
        <v>1462</v>
      </c>
      <c r="G3020" s="69">
        <v>333</v>
      </c>
    </row>
    <row r="3021" spans="1:7">
      <c r="A3021" s="67" t="s">
        <v>4504</v>
      </c>
      <c r="B3021" s="70">
        <v>46263</v>
      </c>
      <c r="C3021" s="67" t="s">
        <v>1404</v>
      </c>
      <c r="D3021" s="67" t="s">
        <v>1551</v>
      </c>
      <c r="E3021" s="67" t="s">
        <v>1362</v>
      </c>
      <c r="F3021" s="67" t="s">
        <v>1462</v>
      </c>
      <c r="G3021" s="69">
        <v>73</v>
      </c>
    </row>
    <row r="3022" spans="1:7">
      <c r="A3022" s="67" t="s">
        <v>4505</v>
      </c>
      <c r="B3022" s="70">
        <v>46263</v>
      </c>
      <c r="C3022" s="67" t="s">
        <v>1406</v>
      </c>
      <c r="D3022" s="67" t="s">
        <v>1484</v>
      </c>
      <c r="E3022" s="67" t="s">
        <v>1470</v>
      </c>
      <c r="F3022" s="67" t="s">
        <v>1462</v>
      </c>
      <c r="G3022" s="69">
        <v>135</v>
      </c>
    </row>
    <row r="3023" spans="1:7">
      <c r="A3023" s="67" t="s">
        <v>4506</v>
      </c>
      <c r="B3023" s="70">
        <v>46263</v>
      </c>
      <c r="C3023" s="67" t="s">
        <v>1411</v>
      </c>
      <c r="D3023" s="67" t="s">
        <v>1506</v>
      </c>
      <c r="E3023" s="67" t="s">
        <v>1482</v>
      </c>
      <c r="F3023" s="67" t="s">
        <v>1460</v>
      </c>
      <c r="G3023" s="69">
        <v>18</v>
      </c>
    </row>
    <row r="3024" spans="1:7">
      <c r="A3024" s="67" t="s">
        <v>4507</v>
      </c>
      <c r="B3024" s="70">
        <v>46263</v>
      </c>
      <c r="C3024" s="67" t="s">
        <v>1411</v>
      </c>
      <c r="D3024" s="67" t="s">
        <v>1506</v>
      </c>
      <c r="E3024" s="67" t="s">
        <v>1482</v>
      </c>
      <c r="F3024" s="67" t="s">
        <v>1462</v>
      </c>
      <c r="G3024" s="69">
        <v>524</v>
      </c>
    </row>
    <row r="3025" spans="1:7">
      <c r="A3025" s="67" t="s">
        <v>4508</v>
      </c>
      <c r="B3025" s="70">
        <v>46263</v>
      </c>
      <c r="C3025" s="67" t="s">
        <v>1411</v>
      </c>
      <c r="D3025" s="67" t="s">
        <v>1506</v>
      </c>
      <c r="E3025" s="67" t="s">
        <v>1482</v>
      </c>
      <c r="F3025" s="67" t="s">
        <v>1462</v>
      </c>
      <c r="G3025" s="69">
        <v>282</v>
      </c>
    </row>
    <row r="3026" spans="1:7">
      <c r="A3026" s="67" t="s">
        <v>4509</v>
      </c>
      <c r="B3026" s="70">
        <v>46263</v>
      </c>
      <c r="C3026" s="67" t="s">
        <v>1411</v>
      </c>
      <c r="D3026" s="67" t="s">
        <v>1481</v>
      </c>
      <c r="E3026" s="67" t="s">
        <v>1482</v>
      </c>
      <c r="F3026" s="67" t="s">
        <v>1460</v>
      </c>
      <c r="G3026" s="69">
        <v>29</v>
      </c>
    </row>
    <row r="3027" spans="1:7">
      <c r="A3027" s="67" t="s">
        <v>4510</v>
      </c>
      <c r="B3027" s="70">
        <v>46263</v>
      </c>
      <c r="C3027" s="67" t="s">
        <v>1414</v>
      </c>
      <c r="D3027" s="67" t="s">
        <v>1511</v>
      </c>
      <c r="E3027" s="67" t="s">
        <v>1470</v>
      </c>
      <c r="F3027" s="67" t="s">
        <v>1462</v>
      </c>
      <c r="G3027" s="69">
        <v>447</v>
      </c>
    </row>
    <row r="3028" spans="1:7">
      <c r="A3028" s="67" t="s">
        <v>4511</v>
      </c>
      <c r="B3028" s="70">
        <v>46263</v>
      </c>
      <c r="C3028" s="67" t="s">
        <v>1414</v>
      </c>
      <c r="D3028" s="67" t="s">
        <v>1469</v>
      </c>
      <c r="E3028" s="67" t="s">
        <v>1470</v>
      </c>
      <c r="F3028" s="67" t="s">
        <v>1462</v>
      </c>
      <c r="G3028" s="69">
        <v>545</v>
      </c>
    </row>
    <row r="3029" spans="1:7">
      <c r="A3029" s="67" t="s">
        <v>4512</v>
      </c>
      <c r="B3029" s="70">
        <v>46263</v>
      </c>
      <c r="C3029" s="67" t="s">
        <v>1423</v>
      </c>
      <c r="D3029" s="67" t="s">
        <v>1743</v>
      </c>
      <c r="E3029" s="67" t="s">
        <v>1410</v>
      </c>
      <c r="F3029" s="67" t="s">
        <v>1462</v>
      </c>
      <c r="G3029" s="69">
        <v>281</v>
      </c>
    </row>
    <row r="3030" spans="1:7">
      <c r="A3030" s="67" t="s">
        <v>4513</v>
      </c>
      <c r="B3030" s="70">
        <v>46263</v>
      </c>
      <c r="C3030" s="67" t="s">
        <v>1446</v>
      </c>
      <c r="D3030" s="67" t="s">
        <v>1476</v>
      </c>
      <c r="E3030" s="67" t="s">
        <v>1362</v>
      </c>
      <c r="F3030" s="67" t="s">
        <v>1462</v>
      </c>
      <c r="G3030" s="69">
        <v>372</v>
      </c>
    </row>
    <row r="3031" spans="1:7">
      <c r="A3031" s="67" t="s">
        <v>4514</v>
      </c>
      <c r="B3031" s="70">
        <v>46263</v>
      </c>
      <c r="C3031" s="67" t="s">
        <v>1446</v>
      </c>
      <c r="D3031" s="67" t="s">
        <v>1466</v>
      </c>
      <c r="E3031" s="67" t="s">
        <v>1386</v>
      </c>
      <c r="F3031" s="67" t="s">
        <v>1462</v>
      </c>
      <c r="G3031" s="69">
        <v>321</v>
      </c>
    </row>
    <row r="3032" spans="1:7">
      <c r="A3032" s="67" t="s">
        <v>4515</v>
      </c>
      <c r="B3032" s="70">
        <v>46264</v>
      </c>
      <c r="C3032" s="67" t="s">
        <v>1359</v>
      </c>
      <c r="D3032" s="67" t="s">
        <v>1459</v>
      </c>
      <c r="E3032" s="67" t="s">
        <v>1362</v>
      </c>
      <c r="F3032" s="67" t="s">
        <v>1462</v>
      </c>
      <c r="G3032" s="69">
        <v>284</v>
      </c>
    </row>
    <row r="3033" spans="1:7">
      <c r="A3033" s="67" t="s">
        <v>4516</v>
      </c>
      <c r="B3033" s="70">
        <v>46264</v>
      </c>
      <c r="C3033" s="67" t="s">
        <v>1359</v>
      </c>
      <c r="D3033" s="67" t="s">
        <v>1459</v>
      </c>
      <c r="E3033" s="67" t="s">
        <v>1362</v>
      </c>
      <c r="F3033" s="67" t="s">
        <v>1462</v>
      </c>
      <c r="G3033" s="69">
        <v>390</v>
      </c>
    </row>
    <row r="3034" spans="1:7">
      <c r="A3034" s="67" t="s">
        <v>4517</v>
      </c>
      <c r="B3034" s="70">
        <v>46264</v>
      </c>
      <c r="C3034" s="67" t="s">
        <v>1366</v>
      </c>
      <c r="D3034" s="67" t="s">
        <v>1511</v>
      </c>
      <c r="E3034" s="67" t="s">
        <v>1470</v>
      </c>
      <c r="F3034" s="67" t="s">
        <v>1462</v>
      </c>
      <c r="G3034" s="69">
        <v>64</v>
      </c>
    </row>
    <row r="3035" spans="1:7">
      <c r="A3035" s="67" t="s">
        <v>4518</v>
      </c>
      <c r="B3035" s="70">
        <v>46264</v>
      </c>
      <c r="C3035" s="67" t="s">
        <v>1366</v>
      </c>
      <c r="D3035" s="67" t="s">
        <v>356</v>
      </c>
      <c r="E3035" s="67" t="s">
        <v>1368</v>
      </c>
      <c r="F3035" s="67" t="s">
        <v>1462</v>
      </c>
      <c r="G3035" s="69">
        <v>371</v>
      </c>
    </row>
    <row r="3036" spans="1:7">
      <c r="A3036" s="67" t="s">
        <v>4519</v>
      </c>
      <c r="B3036" s="70">
        <v>46264</v>
      </c>
      <c r="C3036" s="67" t="s">
        <v>1371</v>
      </c>
      <c r="D3036" s="67" t="s">
        <v>1476</v>
      </c>
      <c r="E3036" s="67" t="s">
        <v>1362</v>
      </c>
      <c r="F3036" s="67" t="s">
        <v>1462</v>
      </c>
      <c r="G3036" s="69">
        <v>288</v>
      </c>
    </row>
    <row r="3037" spans="1:7">
      <c r="A3037" s="67" t="s">
        <v>4520</v>
      </c>
      <c r="B3037" s="70">
        <v>46264</v>
      </c>
      <c r="C3037" s="67" t="s">
        <v>1371</v>
      </c>
      <c r="D3037" s="67" t="s">
        <v>369</v>
      </c>
      <c r="E3037" s="67" t="s">
        <v>1368</v>
      </c>
      <c r="F3037" s="67" t="s">
        <v>1488</v>
      </c>
      <c r="G3037" s="69">
        <v>4</v>
      </c>
    </row>
    <row r="3038" spans="1:7">
      <c r="A3038" s="67" t="s">
        <v>4521</v>
      </c>
      <c r="B3038" s="70">
        <v>46264</v>
      </c>
      <c r="C3038" s="67" t="s">
        <v>1371</v>
      </c>
      <c r="D3038" s="67" t="s">
        <v>1551</v>
      </c>
      <c r="E3038" s="67" t="s">
        <v>1362</v>
      </c>
      <c r="F3038" s="67" t="s">
        <v>1462</v>
      </c>
      <c r="G3038" s="69">
        <v>36</v>
      </c>
    </row>
    <row r="3039" spans="1:7">
      <c r="A3039" s="67" t="s">
        <v>4522</v>
      </c>
      <c r="B3039" s="70">
        <v>46264</v>
      </c>
      <c r="C3039" s="67" t="s">
        <v>1381</v>
      </c>
      <c r="D3039" s="67" t="s">
        <v>356</v>
      </c>
      <c r="E3039" s="67" t="s">
        <v>1368</v>
      </c>
      <c r="F3039" s="67" t="s">
        <v>1488</v>
      </c>
      <c r="G3039" s="69">
        <v>10</v>
      </c>
    </row>
    <row r="3040" spans="1:7">
      <c r="A3040" s="67" t="s">
        <v>4523</v>
      </c>
      <c r="B3040" s="70">
        <v>46264</v>
      </c>
      <c r="C3040" s="67" t="s">
        <v>1381</v>
      </c>
      <c r="D3040" s="67" t="s">
        <v>363</v>
      </c>
      <c r="E3040" s="67" t="s">
        <v>1368</v>
      </c>
      <c r="F3040" s="67" t="s">
        <v>1460</v>
      </c>
      <c r="G3040" s="69">
        <v>19</v>
      </c>
    </row>
    <row r="3041" spans="1:7">
      <c r="A3041" s="67" t="s">
        <v>4524</v>
      </c>
      <c r="B3041" s="70">
        <v>46264</v>
      </c>
      <c r="C3041" s="67" t="s">
        <v>1399</v>
      </c>
      <c r="D3041" s="67" t="s">
        <v>1459</v>
      </c>
      <c r="E3041" s="67" t="s">
        <v>1362</v>
      </c>
      <c r="F3041" s="67" t="s">
        <v>1488</v>
      </c>
      <c r="G3041" s="69">
        <v>6</v>
      </c>
    </row>
    <row r="3042" spans="1:7">
      <c r="A3042" s="67" t="s">
        <v>4525</v>
      </c>
      <c r="B3042" s="70">
        <v>46264</v>
      </c>
      <c r="C3042" s="67" t="s">
        <v>1399</v>
      </c>
      <c r="D3042" s="67" t="s">
        <v>358</v>
      </c>
      <c r="E3042" s="67" t="s">
        <v>1368</v>
      </c>
      <c r="F3042" s="67" t="s">
        <v>1462</v>
      </c>
      <c r="G3042" s="69">
        <v>132</v>
      </c>
    </row>
    <row r="3043" spans="1:7">
      <c r="A3043" s="67" t="s">
        <v>4526</v>
      </c>
      <c r="B3043" s="70">
        <v>46264</v>
      </c>
      <c r="C3043" s="67" t="s">
        <v>1404</v>
      </c>
      <c r="D3043" s="67" t="s">
        <v>369</v>
      </c>
      <c r="E3043" s="67" t="s">
        <v>1368</v>
      </c>
      <c r="F3043" s="67" t="s">
        <v>1462</v>
      </c>
      <c r="G3043" s="69">
        <v>351</v>
      </c>
    </row>
    <row r="3044" spans="1:7">
      <c r="A3044" s="67" t="s">
        <v>4527</v>
      </c>
      <c r="B3044" s="70">
        <v>46264</v>
      </c>
      <c r="C3044" s="67" t="s">
        <v>1404</v>
      </c>
      <c r="D3044" s="67" t="s">
        <v>1469</v>
      </c>
      <c r="E3044" s="67" t="s">
        <v>1470</v>
      </c>
      <c r="F3044" s="67" t="s">
        <v>1462</v>
      </c>
      <c r="G3044" s="69">
        <v>285</v>
      </c>
    </row>
    <row r="3045" spans="1:7">
      <c r="A3045" s="67" t="s">
        <v>4528</v>
      </c>
      <c r="B3045" s="70">
        <v>46264</v>
      </c>
      <c r="C3045" s="67" t="s">
        <v>1406</v>
      </c>
      <c r="D3045" s="67" t="s">
        <v>369</v>
      </c>
      <c r="E3045" s="67" t="s">
        <v>1368</v>
      </c>
      <c r="F3045" s="67" t="s">
        <v>1462</v>
      </c>
      <c r="G3045" s="69">
        <v>578</v>
      </c>
    </row>
    <row r="3046" spans="1:7">
      <c r="A3046" s="67" t="s">
        <v>4529</v>
      </c>
      <c r="B3046" s="70">
        <v>46264</v>
      </c>
      <c r="C3046" s="67" t="s">
        <v>1411</v>
      </c>
      <c r="D3046" s="67" t="s">
        <v>1506</v>
      </c>
      <c r="E3046" s="67" t="s">
        <v>1482</v>
      </c>
      <c r="F3046" s="67" t="s">
        <v>1462</v>
      </c>
      <c r="G3046" s="69">
        <v>188</v>
      </c>
    </row>
    <row r="3047" spans="1:7">
      <c r="A3047" s="67" t="s">
        <v>4530</v>
      </c>
      <c r="B3047" s="70">
        <v>46264</v>
      </c>
      <c r="C3047" s="67" t="s">
        <v>1411</v>
      </c>
      <c r="D3047" s="67" t="s">
        <v>1506</v>
      </c>
      <c r="E3047" s="67" t="s">
        <v>1482</v>
      </c>
      <c r="F3047" s="67" t="s">
        <v>1462</v>
      </c>
      <c r="G3047" s="69">
        <v>440</v>
      </c>
    </row>
    <row r="3048" spans="1:7">
      <c r="A3048" s="67" t="s">
        <v>4531</v>
      </c>
      <c r="B3048" s="70">
        <v>46264</v>
      </c>
      <c r="C3048" s="67" t="s">
        <v>1411</v>
      </c>
      <c r="D3048" s="67" t="s">
        <v>1481</v>
      </c>
      <c r="E3048" s="67" t="s">
        <v>1482</v>
      </c>
      <c r="F3048" s="67" t="s">
        <v>1462</v>
      </c>
      <c r="G3048" s="69">
        <v>571</v>
      </c>
    </row>
    <row r="3049" spans="1:7">
      <c r="A3049" s="67" t="s">
        <v>4532</v>
      </c>
      <c r="B3049" s="70">
        <v>46264</v>
      </c>
      <c r="C3049" s="67" t="s">
        <v>1411</v>
      </c>
      <c r="D3049" s="67" t="s">
        <v>1481</v>
      </c>
      <c r="E3049" s="67" t="s">
        <v>1482</v>
      </c>
      <c r="F3049" s="67" t="s">
        <v>1488</v>
      </c>
      <c r="G3049" s="69">
        <v>7</v>
      </c>
    </row>
    <row r="3050" spans="1:7">
      <c r="A3050" s="67" t="s">
        <v>4533</v>
      </c>
      <c r="B3050" s="70">
        <v>46264</v>
      </c>
      <c r="C3050" s="67" t="s">
        <v>1414</v>
      </c>
      <c r="D3050" s="67" t="s">
        <v>1459</v>
      </c>
      <c r="E3050" s="67" t="s">
        <v>1362</v>
      </c>
      <c r="F3050" s="67" t="s">
        <v>1460</v>
      </c>
      <c r="G3050" s="69">
        <v>7</v>
      </c>
    </row>
    <row r="3051" spans="1:7">
      <c r="A3051" s="67" t="s">
        <v>4534</v>
      </c>
      <c r="B3051" s="70">
        <v>46264</v>
      </c>
      <c r="C3051" s="67" t="s">
        <v>1425</v>
      </c>
      <c r="D3051" s="67" t="s">
        <v>1511</v>
      </c>
      <c r="E3051" s="67" t="s">
        <v>1470</v>
      </c>
      <c r="F3051" s="67" t="s">
        <v>1462</v>
      </c>
      <c r="G3051" s="69">
        <v>61</v>
      </c>
    </row>
    <row r="3052" spans="1:7">
      <c r="A3052" s="67" t="s">
        <v>4535</v>
      </c>
      <c r="B3052" s="70">
        <v>46264</v>
      </c>
      <c r="C3052" s="67" t="s">
        <v>1425</v>
      </c>
      <c r="D3052" s="67" t="s">
        <v>1484</v>
      </c>
      <c r="E3052" s="67" t="s">
        <v>1470</v>
      </c>
      <c r="F3052" s="67" t="s">
        <v>1462</v>
      </c>
      <c r="G3052" s="69">
        <v>339</v>
      </c>
    </row>
    <row r="3053" spans="1:7">
      <c r="A3053" s="67" t="s">
        <v>4536</v>
      </c>
      <c r="B3053" s="70">
        <v>46264</v>
      </c>
      <c r="C3053" s="67" t="s">
        <v>1429</v>
      </c>
      <c r="D3053" s="67" t="s">
        <v>363</v>
      </c>
      <c r="E3053" s="67" t="s">
        <v>1368</v>
      </c>
      <c r="F3053" s="67" t="s">
        <v>1462</v>
      </c>
      <c r="G3053" s="69">
        <v>184</v>
      </c>
    </row>
    <row r="3054" spans="1:7">
      <c r="A3054" s="67" t="s">
        <v>4537</v>
      </c>
      <c r="B3054" s="70">
        <v>46264</v>
      </c>
      <c r="C3054" s="67" t="s">
        <v>1444</v>
      </c>
      <c r="D3054" s="67" t="s">
        <v>1466</v>
      </c>
      <c r="E3054" s="67" t="s">
        <v>1386</v>
      </c>
      <c r="F3054" s="67" t="s">
        <v>1462</v>
      </c>
      <c r="G3054" s="69">
        <v>187</v>
      </c>
    </row>
    <row r="3055" spans="1:7">
      <c r="A3055" s="67" t="s">
        <v>4538</v>
      </c>
      <c r="B3055" s="70">
        <v>46264</v>
      </c>
      <c r="C3055" s="67" t="s">
        <v>1446</v>
      </c>
      <c r="D3055" s="67" t="s">
        <v>1476</v>
      </c>
      <c r="E3055" s="67" t="s">
        <v>1362</v>
      </c>
      <c r="F3055" s="67" t="s">
        <v>1460</v>
      </c>
      <c r="G3055" s="69">
        <v>26</v>
      </c>
    </row>
    <row r="3056" spans="1:7">
      <c r="A3056" s="67" t="s">
        <v>4539</v>
      </c>
      <c r="B3056" s="70">
        <v>46264</v>
      </c>
      <c r="C3056" s="67" t="s">
        <v>1446</v>
      </c>
      <c r="D3056" s="67" t="s">
        <v>1551</v>
      </c>
      <c r="E3056" s="67" t="s">
        <v>1362</v>
      </c>
      <c r="F3056" s="67" t="s">
        <v>1462</v>
      </c>
      <c r="G3056" s="69">
        <v>463</v>
      </c>
    </row>
    <row r="3057" spans="1:7">
      <c r="A3057" s="67" t="s">
        <v>4540</v>
      </c>
      <c r="B3057" s="70">
        <v>46265</v>
      </c>
      <c r="C3057" s="67" t="s">
        <v>1359</v>
      </c>
      <c r="D3057" s="67" t="s">
        <v>1476</v>
      </c>
      <c r="E3057" s="67" t="s">
        <v>1362</v>
      </c>
      <c r="F3057" s="67" t="s">
        <v>1462</v>
      </c>
      <c r="G3057" s="69">
        <v>207</v>
      </c>
    </row>
    <row r="3058" spans="1:7">
      <c r="A3058" s="67" t="s">
        <v>4541</v>
      </c>
      <c r="B3058" s="70">
        <v>46265</v>
      </c>
      <c r="C3058" s="67" t="s">
        <v>1359</v>
      </c>
      <c r="D3058" s="67" t="s">
        <v>1466</v>
      </c>
      <c r="E3058" s="67" t="s">
        <v>1386</v>
      </c>
      <c r="F3058" s="67" t="s">
        <v>1462</v>
      </c>
      <c r="G3058" s="69">
        <v>172</v>
      </c>
    </row>
    <row r="3059" spans="1:7">
      <c r="A3059" s="67" t="s">
        <v>4542</v>
      </c>
      <c r="B3059" s="70">
        <v>46265</v>
      </c>
      <c r="C3059" s="67" t="s">
        <v>1366</v>
      </c>
      <c r="D3059" s="67" t="s">
        <v>369</v>
      </c>
      <c r="E3059" s="67" t="s">
        <v>1368</v>
      </c>
      <c r="F3059" s="67" t="s">
        <v>1460</v>
      </c>
      <c r="G3059" s="69">
        <v>24</v>
      </c>
    </row>
    <row r="3060" spans="1:7">
      <c r="A3060" s="67" t="s">
        <v>4543</v>
      </c>
      <c r="B3060" s="70">
        <v>46265</v>
      </c>
      <c r="C3060" s="67" t="s">
        <v>1366</v>
      </c>
      <c r="D3060" s="67" t="s">
        <v>358</v>
      </c>
      <c r="E3060" s="67" t="s">
        <v>1368</v>
      </c>
      <c r="F3060" s="67" t="s">
        <v>1462</v>
      </c>
      <c r="G3060" s="69">
        <v>144</v>
      </c>
    </row>
    <row r="3061" spans="1:7">
      <c r="A3061" s="67" t="s">
        <v>4544</v>
      </c>
      <c r="B3061" s="70">
        <v>46265</v>
      </c>
      <c r="C3061" s="67" t="s">
        <v>1371</v>
      </c>
      <c r="D3061" s="67" t="s">
        <v>1459</v>
      </c>
      <c r="E3061" s="67" t="s">
        <v>1362</v>
      </c>
      <c r="F3061" s="67" t="s">
        <v>1462</v>
      </c>
      <c r="G3061" s="69">
        <v>561</v>
      </c>
    </row>
    <row r="3062" spans="1:7">
      <c r="A3062" s="67" t="s">
        <v>4545</v>
      </c>
      <c r="B3062" s="70">
        <v>46265</v>
      </c>
      <c r="C3062" s="67" t="s">
        <v>1381</v>
      </c>
      <c r="D3062" s="67" t="s">
        <v>356</v>
      </c>
      <c r="E3062" s="67" t="s">
        <v>1368</v>
      </c>
      <c r="F3062" s="67" t="s">
        <v>1460</v>
      </c>
      <c r="G3062" s="69">
        <v>19</v>
      </c>
    </row>
    <row r="3063" spans="1:7">
      <c r="A3063" s="67" t="s">
        <v>4546</v>
      </c>
      <c r="B3063" s="70">
        <v>46265</v>
      </c>
      <c r="C3063" s="67" t="s">
        <v>1381</v>
      </c>
      <c r="D3063" s="67" t="s">
        <v>363</v>
      </c>
      <c r="E3063" s="67" t="s">
        <v>1368</v>
      </c>
      <c r="F3063" s="67" t="s">
        <v>1462</v>
      </c>
      <c r="G3063" s="69">
        <v>272</v>
      </c>
    </row>
    <row r="3064" spans="1:7">
      <c r="A3064" s="67" t="s">
        <v>4547</v>
      </c>
      <c r="B3064" s="70">
        <v>46265</v>
      </c>
      <c r="C3064" s="67" t="s">
        <v>1384</v>
      </c>
      <c r="D3064" s="67" t="s">
        <v>1466</v>
      </c>
      <c r="E3064" s="67" t="s">
        <v>1386</v>
      </c>
      <c r="F3064" s="67" t="s">
        <v>1462</v>
      </c>
      <c r="G3064" s="69">
        <v>102</v>
      </c>
    </row>
    <row r="3065" spans="1:7">
      <c r="A3065" s="67" t="s">
        <v>4548</v>
      </c>
      <c r="B3065" s="70">
        <v>46265</v>
      </c>
      <c r="C3065" s="67" t="s">
        <v>1393</v>
      </c>
      <c r="D3065" s="67" t="s">
        <v>356</v>
      </c>
      <c r="E3065" s="67" t="s">
        <v>1368</v>
      </c>
      <c r="F3065" s="67" t="s">
        <v>1462</v>
      </c>
      <c r="G3065" s="69">
        <v>378</v>
      </c>
    </row>
    <row r="3066" spans="1:7">
      <c r="A3066" s="67" t="s">
        <v>4549</v>
      </c>
      <c r="B3066" s="70">
        <v>46265</v>
      </c>
      <c r="C3066" s="67" t="s">
        <v>1399</v>
      </c>
      <c r="D3066" s="67" t="s">
        <v>356</v>
      </c>
      <c r="E3066" s="67" t="s">
        <v>1368</v>
      </c>
      <c r="F3066" s="67" t="s">
        <v>1462</v>
      </c>
      <c r="G3066" s="69">
        <v>406</v>
      </c>
    </row>
    <row r="3067" spans="1:7">
      <c r="A3067" s="67" t="s">
        <v>4550</v>
      </c>
      <c r="B3067" s="70">
        <v>46265</v>
      </c>
      <c r="C3067" s="67" t="s">
        <v>1404</v>
      </c>
      <c r="D3067" s="67" t="s">
        <v>356</v>
      </c>
      <c r="E3067" s="67" t="s">
        <v>1368</v>
      </c>
      <c r="F3067" s="67" t="s">
        <v>1462</v>
      </c>
      <c r="G3067" s="69">
        <v>25</v>
      </c>
    </row>
    <row r="3068" spans="1:7">
      <c r="A3068" s="67" t="s">
        <v>4551</v>
      </c>
      <c r="B3068" s="70">
        <v>46265</v>
      </c>
      <c r="C3068" s="67" t="s">
        <v>1406</v>
      </c>
      <c r="D3068" s="67" t="s">
        <v>356</v>
      </c>
      <c r="E3068" s="67" t="s">
        <v>1368</v>
      </c>
      <c r="F3068" s="67" t="s">
        <v>1488</v>
      </c>
      <c r="G3068" s="69">
        <v>5</v>
      </c>
    </row>
    <row r="3069" spans="1:7">
      <c r="A3069" s="67" t="s">
        <v>4552</v>
      </c>
      <c r="B3069" s="70">
        <v>46265</v>
      </c>
      <c r="C3069" s="67" t="s">
        <v>1411</v>
      </c>
      <c r="D3069" s="67" t="s">
        <v>1506</v>
      </c>
      <c r="E3069" s="67" t="s">
        <v>1482</v>
      </c>
      <c r="F3069" s="67" t="s">
        <v>1462</v>
      </c>
      <c r="G3069" s="69">
        <v>416</v>
      </c>
    </row>
    <row r="3070" spans="1:7">
      <c r="A3070" s="67" t="s">
        <v>4553</v>
      </c>
      <c r="B3070" s="70">
        <v>46265</v>
      </c>
      <c r="C3070" s="67" t="s">
        <v>1411</v>
      </c>
      <c r="D3070" s="67" t="s">
        <v>1481</v>
      </c>
      <c r="E3070" s="67" t="s">
        <v>1482</v>
      </c>
      <c r="F3070" s="67" t="s">
        <v>1462</v>
      </c>
      <c r="G3070" s="69">
        <v>321</v>
      </c>
    </row>
    <row r="3071" spans="1:7">
      <c r="A3071" s="67" t="s">
        <v>4554</v>
      </c>
      <c r="B3071" s="70">
        <v>46265</v>
      </c>
      <c r="C3071" s="67" t="s">
        <v>1411</v>
      </c>
      <c r="D3071" s="67" t="s">
        <v>1481</v>
      </c>
      <c r="E3071" s="67" t="s">
        <v>1482</v>
      </c>
      <c r="F3071" s="67" t="s">
        <v>1462</v>
      </c>
      <c r="G3071" s="69">
        <v>30</v>
      </c>
    </row>
    <row r="3072" spans="1:7">
      <c r="A3072" s="67" t="s">
        <v>4555</v>
      </c>
      <c r="B3072" s="70">
        <v>46265</v>
      </c>
      <c r="C3072" s="67" t="s">
        <v>1425</v>
      </c>
      <c r="D3072" s="67" t="s">
        <v>1511</v>
      </c>
      <c r="E3072" s="67" t="s">
        <v>1470</v>
      </c>
      <c r="F3072" s="67" t="s">
        <v>1462</v>
      </c>
      <c r="G3072" s="69">
        <v>36</v>
      </c>
    </row>
    <row r="3073" spans="1:7">
      <c r="A3073" s="67" t="s">
        <v>4556</v>
      </c>
      <c r="B3073" s="70">
        <v>46266</v>
      </c>
      <c r="C3073" s="67" t="s">
        <v>1359</v>
      </c>
      <c r="D3073" s="67" t="s">
        <v>1466</v>
      </c>
      <c r="E3073" s="67" t="s">
        <v>1386</v>
      </c>
      <c r="F3073" s="67" t="s">
        <v>1462</v>
      </c>
      <c r="G3073" s="69">
        <v>459</v>
      </c>
    </row>
    <row r="3074" spans="1:7">
      <c r="A3074" s="67" t="s">
        <v>4557</v>
      </c>
      <c r="B3074" s="70">
        <v>46266</v>
      </c>
      <c r="C3074" s="67" t="s">
        <v>1359</v>
      </c>
      <c r="D3074" s="67" t="s">
        <v>1551</v>
      </c>
      <c r="E3074" s="67" t="s">
        <v>1362</v>
      </c>
      <c r="F3074" s="67" t="s">
        <v>1462</v>
      </c>
      <c r="G3074" s="69">
        <v>95</v>
      </c>
    </row>
    <row r="3075" spans="1:7">
      <c r="A3075" s="67" t="s">
        <v>4558</v>
      </c>
      <c r="B3075" s="70">
        <v>46266</v>
      </c>
      <c r="C3075" s="67" t="s">
        <v>1375</v>
      </c>
      <c r="D3075" s="67" t="s">
        <v>358</v>
      </c>
      <c r="E3075" s="67" t="s">
        <v>1368</v>
      </c>
      <c r="F3075" s="67" t="s">
        <v>1462</v>
      </c>
      <c r="G3075" s="69">
        <v>71</v>
      </c>
    </row>
    <row r="3076" spans="1:7">
      <c r="A3076" s="67" t="s">
        <v>4559</v>
      </c>
      <c r="B3076" s="70">
        <v>46266</v>
      </c>
      <c r="C3076" s="67" t="s">
        <v>1378</v>
      </c>
      <c r="D3076" s="67" t="s">
        <v>356</v>
      </c>
      <c r="E3076" s="67" t="s">
        <v>1368</v>
      </c>
      <c r="F3076" s="67" t="s">
        <v>1462</v>
      </c>
      <c r="G3076" s="69">
        <v>233</v>
      </c>
    </row>
    <row r="3077" spans="1:7">
      <c r="A3077" s="67" t="s">
        <v>4560</v>
      </c>
      <c r="B3077" s="70">
        <v>46266</v>
      </c>
      <c r="C3077" s="67" t="s">
        <v>1378</v>
      </c>
      <c r="D3077" s="67" t="s">
        <v>356</v>
      </c>
      <c r="E3077" s="67" t="s">
        <v>1368</v>
      </c>
      <c r="F3077" s="67" t="s">
        <v>1460</v>
      </c>
      <c r="G3077" s="69">
        <v>18</v>
      </c>
    </row>
    <row r="3078" spans="1:7">
      <c r="A3078" s="67" t="s">
        <v>4561</v>
      </c>
      <c r="B3078" s="70">
        <v>46266</v>
      </c>
      <c r="C3078" s="67" t="s">
        <v>1381</v>
      </c>
      <c r="D3078" s="67" t="s">
        <v>353</v>
      </c>
      <c r="E3078" s="67" t="s">
        <v>1368</v>
      </c>
      <c r="F3078" s="67" t="s">
        <v>1462</v>
      </c>
      <c r="G3078" s="69">
        <v>593</v>
      </c>
    </row>
    <row r="3079" spans="1:7">
      <c r="A3079" s="67" t="s">
        <v>4562</v>
      </c>
      <c r="B3079" s="70">
        <v>46266</v>
      </c>
      <c r="C3079" s="67" t="s">
        <v>1381</v>
      </c>
      <c r="D3079" s="67" t="s">
        <v>356</v>
      </c>
      <c r="E3079" s="67" t="s">
        <v>1368</v>
      </c>
      <c r="F3079" s="67" t="s">
        <v>1462</v>
      </c>
      <c r="G3079" s="69">
        <v>37</v>
      </c>
    </row>
    <row r="3080" spans="1:7">
      <c r="A3080" s="67" t="s">
        <v>4563</v>
      </c>
      <c r="B3080" s="70">
        <v>46266</v>
      </c>
      <c r="C3080" s="67" t="s">
        <v>1381</v>
      </c>
      <c r="D3080" s="67" t="s">
        <v>1484</v>
      </c>
      <c r="E3080" s="67" t="s">
        <v>1470</v>
      </c>
      <c r="F3080" s="67" t="s">
        <v>1460</v>
      </c>
      <c r="G3080" s="69">
        <v>8</v>
      </c>
    </row>
    <row r="3081" spans="1:7">
      <c r="A3081" s="67" t="s">
        <v>4564</v>
      </c>
      <c r="B3081" s="70">
        <v>46266</v>
      </c>
      <c r="C3081" s="67" t="s">
        <v>1384</v>
      </c>
      <c r="D3081" s="67" t="s">
        <v>1466</v>
      </c>
      <c r="E3081" s="67" t="s">
        <v>1386</v>
      </c>
      <c r="F3081" s="67" t="s">
        <v>1462</v>
      </c>
      <c r="G3081" s="69">
        <v>37</v>
      </c>
    </row>
    <row r="3082" spans="1:7">
      <c r="A3082" s="67" t="s">
        <v>4565</v>
      </c>
      <c r="B3082" s="70">
        <v>46266</v>
      </c>
      <c r="C3082" s="67" t="s">
        <v>1404</v>
      </c>
      <c r="D3082" s="67" t="s">
        <v>353</v>
      </c>
      <c r="E3082" s="67" t="s">
        <v>1368</v>
      </c>
      <c r="F3082" s="67" t="s">
        <v>1460</v>
      </c>
      <c r="G3082" s="69">
        <v>21</v>
      </c>
    </row>
    <row r="3083" spans="1:7">
      <c r="A3083" s="67" t="s">
        <v>4566</v>
      </c>
      <c r="B3083" s="70">
        <v>46266</v>
      </c>
      <c r="C3083" s="67" t="s">
        <v>1404</v>
      </c>
      <c r="D3083" s="67" t="s">
        <v>367</v>
      </c>
      <c r="E3083" s="67" t="s">
        <v>1368</v>
      </c>
      <c r="F3083" s="67" t="s">
        <v>1462</v>
      </c>
      <c r="G3083" s="69">
        <v>517</v>
      </c>
    </row>
    <row r="3084" spans="1:7">
      <c r="A3084" s="67" t="s">
        <v>4567</v>
      </c>
      <c r="B3084" s="70">
        <v>46266</v>
      </c>
      <c r="C3084" s="67" t="s">
        <v>1404</v>
      </c>
      <c r="D3084" s="67" t="s">
        <v>367</v>
      </c>
      <c r="E3084" s="67" t="s">
        <v>1368</v>
      </c>
      <c r="F3084" s="67" t="s">
        <v>1462</v>
      </c>
      <c r="G3084" s="69">
        <v>100</v>
      </c>
    </row>
    <row r="3085" spans="1:7">
      <c r="A3085" s="67" t="s">
        <v>4568</v>
      </c>
      <c r="B3085" s="70">
        <v>46266</v>
      </c>
      <c r="C3085" s="67" t="s">
        <v>1406</v>
      </c>
      <c r="D3085" s="67" t="s">
        <v>1491</v>
      </c>
      <c r="E3085" s="67" t="s">
        <v>1470</v>
      </c>
      <c r="F3085" s="67" t="s">
        <v>1460</v>
      </c>
      <c r="G3085" s="69">
        <v>21</v>
      </c>
    </row>
    <row r="3086" spans="1:7">
      <c r="A3086" s="67" t="s">
        <v>4569</v>
      </c>
      <c r="B3086" s="70">
        <v>46266</v>
      </c>
      <c r="C3086" s="67" t="s">
        <v>1414</v>
      </c>
      <c r="D3086" s="67" t="s">
        <v>1511</v>
      </c>
      <c r="E3086" s="67" t="s">
        <v>1470</v>
      </c>
      <c r="F3086" s="67" t="s">
        <v>1462</v>
      </c>
      <c r="G3086" s="69">
        <v>538</v>
      </c>
    </row>
    <row r="3087" spans="1:7">
      <c r="A3087" s="67" t="s">
        <v>4570</v>
      </c>
      <c r="B3087" s="70">
        <v>46266</v>
      </c>
      <c r="C3087" s="67" t="s">
        <v>1414</v>
      </c>
      <c r="D3087" s="67" t="s">
        <v>1469</v>
      </c>
      <c r="E3087" s="67" t="s">
        <v>1470</v>
      </c>
      <c r="F3087" s="67" t="s">
        <v>1462</v>
      </c>
      <c r="G3087" s="69">
        <v>370</v>
      </c>
    </row>
    <row r="3088" spans="1:7">
      <c r="A3088" s="67" t="s">
        <v>4571</v>
      </c>
      <c r="B3088" s="70">
        <v>46266</v>
      </c>
      <c r="C3088" s="67" t="s">
        <v>1423</v>
      </c>
      <c r="D3088" s="67" t="s">
        <v>1487</v>
      </c>
      <c r="E3088" s="67" t="s">
        <v>1410</v>
      </c>
      <c r="F3088" s="67" t="s">
        <v>1462</v>
      </c>
      <c r="G3088" s="69">
        <v>122</v>
      </c>
    </row>
    <row r="3089" spans="1:7">
      <c r="A3089" s="67" t="s">
        <v>4572</v>
      </c>
      <c r="B3089" s="70">
        <v>46266</v>
      </c>
      <c r="C3089" s="67" t="s">
        <v>1425</v>
      </c>
      <c r="D3089" s="67" t="s">
        <v>1511</v>
      </c>
      <c r="E3089" s="67" t="s">
        <v>1470</v>
      </c>
      <c r="F3089" s="67" t="s">
        <v>1460</v>
      </c>
      <c r="G3089" s="69">
        <v>12</v>
      </c>
    </row>
    <row r="3090" spans="1:7">
      <c r="A3090" s="67" t="s">
        <v>4573</v>
      </c>
      <c r="B3090" s="70">
        <v>46266</v>
      </c>
      <c r="C3090" s="67" t="s">
        <v>1429</v>
      </c>
      <c r="D3090" s="67" t="s">
        <v>367</v>
      </c>
      <c r="E3090" s="67" t="s">
        <v>1368</v>
      </c>
      <c r="F3090" s="67" t="s">
        <v>1462</v>
      </c>
      <c r="G3090" s="69">
        <v>582</v>
      </c>
    </row>
    <row r="3091" spans="1:7">
      <c r="A3091" s="67" t="s">
        <v>4574</v>
      </c>
      <c r="B3091" s="70">
        <v>46266</v>
      </c>
      <c r="C3091" s="67" t="s">
        <v>1444</v>
      </c>
      <c r="D3091" s="67" t="s">
        <v>367</v>
      </c>
      <c r="E3091" s="67" t="s">
        <v>1368</v>
      </c>
      <c r="F3091" s="67" t="s">
        <v>1462</v>
      </c>
      <c r="G3091" s="69">
        <v>49</v>
      </c>
    </row>
    <row r="3092" spans="1:7">
      <c r="A3092" s="67" t="s">
        <v>4575</v>
      </c>
      <c r="B3092" s="70">
        <v>46266</v>
      </c>
      <c r="C3092" s="67" t="s">
        <v>1444</v>
      </c>
      <c r="D3092" s="67" t="s">
        <v>369</v>
      </c>
      <c r="E3092" s="67" t="s">
        <v>1368</v>
      </c>
      <c r="F3092" s="67" t="s">
        <v>1462</v>
      </c>
      <c r="G3092" s="69">
        <v>455</v>
      </c>
    </row>
    <row r="3093" spans="1:7">
      <c r="A3093" s="67" t="s">
        <v>4576</v>
      </c>
      <c r="B3093" s="70">
        <v>46266</v>
      </c>
      <c r="C3093" s="67" t="s">
        <v>1444</v>
      </c>
      <c r="D3093" s="67" t="s">
        <v>1551</v>
      </c>
      <c r="E3093" s="67" t="s">
        <v>1362</v>
      </c>
      <c r="F3093" s="67" t="s">
        <v>1462</v>
      </c>
      <c r="G3093" s="69">
        <v>531</v>
      </c>
    </row>
    <row r="3094" spans="1:7">
      <c r="A3094" s="67" t="s">
        <v>4577</v>
      </c>
      <c r="B3094" s="70">
        <v>46267</v>
      </c>
      <c r="C3094" s="67" t="s">
        <v>1359</v>
      </c>
      <c r="D3094" s="67" t="s">
        <v>1476</v>
      </c>
      <c r="E3094" s="67" t="s">
        <v>1362</v>
      </c>
      <c r="F3094" s="67" t="s">
        <v>1462</v>
      </c>
      <c r="G3094" s="69">
        <v>590</v>
      </c>
    </row>
    <row r="3095" spans="1:7">
      <c r="A3095" s="67" t="s">
        <v>4578</v>
      </c>
      <c r="B3095" s="70">
        <v>46267</v>
      </c>
      <c r="C3095" s="67" t="s">
        <v>1366</v>
      </c>
      <c r="D3095" s="67" t="s">
        <v>363</v>
      </c>
      <c r="E3095" s="67" t="s">
        <v>1368</v>
      </c>
      <c r="F3095" s="67" t="s">
        <v>1460</v>
      </c>
      <c r="G3095" s="69">
        <v>21</v>
      </c>
    </row>
    <row r="3096" spans="1:7">
      <c r="A3096" s="67" t="s">
        <v>4579</v>
      </c>
      <c r="B3096" s="70">
        <v>46267</v>
      </c>
      <c r="C3096" s="67" t="s">
        <v>1366</v>
      </c>
      <c r="D3096" s="67" t="s">
        <v>365</v>
      </c>
      <c r="E3096" s="67" t="s">
        <v>1368</v>
      </c>
      <c r="F3096" s="67" t="s">
        <v>1462</v>
      </c>
      <c r="G3096" s="69">
        <v>430</v>
      </c>
    </row>
    <row r="3097" spans="1:7">
      <c r="A3097" s="67" t="s">
        <v>4580</v>
      </c>
      <c r="B3097" s="70">
        <v>46267</v>
      </c>
      <c r="C3097" s="67" t="s">
        <v>1366</v>
      </c>
      <c r="D3097" s="67" t="s">
        <v>369</v>
      </c>
      <c r="E3097" s="67" t="s">
        <v>1368</v>
      </c>
      <c r="F3097" s="67" t="s">
        <v>1462</v>
      </c>
      <c r="G3097" s="69">
        <v>404</v>
      </c>
    </row>
    <row r="3098" spans="1:7">
      <c r="A3098" s="67" t="s">
        <v>4581</v>
      </c>
      <c r="B3098" s="70">
        <v>46267</v>
      </c>
      <c r="C3098" s="67" t="s">
        <v>1371</v>
      </c>
      <c r="D3098" s="67" t="s">
        <v>1466</v>
      </c>
      <c r="E3098" s="67" t="s">
        <v>1386</v>
      </c>
      <c r="F3098" s="67" t="s">
        <v>1460</v>
      </c>
      <c r="G3098" s="69">
        <v>21</v>
      </c>
    </row>
    <row r="3099" spans="1:7">
      <c r="A3099" s="67" t="s">
        <v>4582</v>
      </c>
      <c r="B3099" s="70">
        <v>46267</v>
      </c>
      <c r="C3099" s="67" t="s">
        <v>1371</v>
      </c>
      <c r="D3099" s="67" t="s">
        <v>1459</v>
      </c>
      <c r="E3099" s="67" t="s">
        <v>1362</v>
      </c>
      <c r="F3099" s="67" t="s">
        <v>1460</v>
      </c>
      <c r="G3099" s="69">
        <v>19</v>
      </c>
    </row>
    <row r="3100" spans="1:7">
      <c r="A3100" s="67" t="s">
        <v>4583</v>
      </c>
      <c r="B3100" s="70">
        <v>46267</v>
      </c>
      <c r="C3100" s="67" t="s">
        <v>1375</v>
      </c>
      <c r="D3100" s="67" t="s">
        <v>353</v>
      </c>
      <c r="E3100" s="67" t="s">
        <v>1368</v>
      </c>
      <c r="F3100" s="67" t="s">
        <v>1462</v>
      </c>
      <c r="G3100" s="69">
        <v>96</v>
      </c>
    </row>
    <row r="3101" spans="1:7">
      <c r="A3101" s="67" t="s">
        <v>4584</v>
      </c>
      <c r="B3101" s="70">
        <v>46267</v>
      </c>
      <c r="C3101" s="67" t="s">
        <v>1378</v>
      </c>
      <c r="D3101" s="67" t="s">
        <v>365</v>
      </c>
      <c r="E3101" s="67" t="s">
        <v>1368</v>
      </c>
      <c r="F3101" s="67" t="s">
        <v>1462</v>
      </c>
      <c r="G3101" s="69">
        <v>187</v>
      </c>
    </row>
    <row r="3102" spans="1:7">
      <c r="A3102" s="67" t="s">
        <v>4585</v>
      </c>
      <c r="B3102" s="70">
        <v>46267</v>
      </c>
      <c r="C3102" s="67" t="s">
        <v>1381</v>
      </c>
      <c r="D3102" s="67" t="s">
        <v>353</v>
      </c>
      <c r="E3102" s="67" t="s">
        <v>1368</v>
      </c>
      <c r="F3102" s="67" t="s">
        <v>1462</v>
      </c>
      <c r="G3102" s="69">
        <v>312</v>
      </c>
    </row>
    <row r="3103" spans="1:7">
      <c r="A3103" s="67" t="s">
        <v>4586</v>
      </c>
      <c r="B3103" s="70">
        <v>46267</v>
      </c>
      <c r="C3103" s="67" t="s">
        <v>1381</v>
      </c>
      <c r="D3103" s="67" t="s">
        <v>363</v>
      </c>
      <c r="E3103" s="67" t="s">
        <v>1368</v>
      </c>
      <c r="F3103" s="67" t="s">
        <v>1460</v>
      </c>
      <c r="G3103" s="69">
        <v>16</v>
      </c>
    </row>
    <row r="3104" spans="1:7">
      <c r="A3104" s="67" t="s">
        <v>4587</v>
      </c>
      <c r="B3104" s="70">
        <v>46267</v>
      </c>
      <c r="C3104" s="67" t="s">
        <v>1381</v>
      </c>
      <c r="D3104" s="67" t="s">
        <v>358</v>
      </c>
      <c r="E3104" s="67" t="s">
        <v>1368</v>
      </c>
      <c r="F3104" s="67" t="s">
        <v>1462</v>
      </c>
      <c r="G3104" s="69">
        <v>46</v>
      </c>
    </row>
    <row r="3105" spans="1:7">
      <c r="A3105" s="67" t="s">
        <v>4588</v>
      </c>
      <c r="B3105" s="70">
        <v>46267</v>
      </c>
      <c r="C3105" s="67" t="s">
        <v>1384</v>
      </c>
      <c r="D3105" s="67" t="s">
        <v>1466</v>
      </c>
      <c r="E3105" s="67" t="s">
        <v>1386</v>
      </c>
      <c r="F3105" s="67" t="s">
        <v>1462</v>
      </c>
      <c r="G3105" s="69">
        <v>490</v>
      </c>
    </row>
    <row r="3106" spans="1:7">
      <c r="A3106" s="67" t="s">
        <v>4589</v>
      </c>
      <c r="B3106" s="70">
        <v>46267</v>
      </c>
      <c r="C3106" s="67" t="s">
        <v>1406</v>
      </c>
      <c r="D3106" s="67" t="s">
        <v>353</v>
      </c>
      <c r="E3106" s="67" t="s">
        <v>1368</v>
      </c>
      <c r="F3106" s="67" t="s">
        <v>1460</v>
      </c>
      <c r="G3106" s="69">
        <v>13</v>
      </c>
    </row>
    <row r="3107" spans="1:7">
      <c r="A3107" s="67" t="s">
        <v>4590</v>
      </c>
      <c r="B3107" s="70">
        <v>46267</v>
      </c>
      <c r="C3107" s="67" t="s">
        <v>1414</v>
      </c>
      <c r="D3107" s="67" t="s">
        <v>1511</v>
      </c>
      <c r="E3107" s="67" t="s">
        <v>1470</v>
      </c>
      <c r="F3107" s="67" t="s">
        <v>1462</v>
      </c>
      <c r="G3107" s="69">
        <v>201</v>
      </c>
    </row>
    <row r="3108" spans="1:7">
      <c r="A3108" s="67" t="s">
        <v>4591</v>
      </c>
      <c r="B3108" s="70">
        <v>46267</v>
      </c>
      <c r="C3108" s="67" t="s">
        <v>1414</v>
      </c>
      <c r="D3108" s="67" t="s">
        <v>1511</v>
      </c>
      <c r="E3108" s="67" t="s">
        <v>1470</v>
      </c>
      <c r="F3108" s="67" t="s">
        <v>1462</v>
      </c>
      <c r="G3108" s="69">
        <v>526</v>
      </c>
    </row>
    <row r="3109" spans="1:7">
      <c r="A3109" s="67" t="s">
        <v>4592</v>
      </c>
      <c r="B3109" s="70">
        <v>46267</v>
      </c>
      <c r="C3109" s="67" t="s">
        <v>1414</v>
      </c>
      <c r="D3109" s="67" t="s">
        <v>1511</v>
      </c>
      <c r="E3109" s="67" t="s">
        <v>1470</v>
      </c>
      <c r="F3109" s="67" t="s">
        <v>1462</v>
      </c>
      <c r="G3109" s="69">
        <v>501</v>
      </c>
    </row>
    <row r="3110" spans="1:7">
      <c r="A3110" s="67" t="s">
        <v>4593</v>
      </c>
      <c r="B3110" s="70">
        <v>46267</v>
      </c>
      <c r="C3110" s="67" t="s">
        <v>1444</v>
      </c>
      <c r="D3110" s="67" t="s">
        <v>367</v>
      </c>
      <c r="E3110" s="67" t="s">
        <v>1368</v>
      </c>
      <c r="F3110" s="67" t="s">
        <v>1462</v>
      </c>
      <c r="G3110" s="69">
        <v>286</v>
      </c>
    </row>
    <row r="3111" spans="1:7">
      <c r="A3111" s="67" t="s">
        <v>4594</v>
      </c>
      <c r="B3111" s="70">
        <v>46268</v>
      </c>
      <c r="C3111" s="67" t="s">
        <v>1359</v>
      </c>
      <c r="D3111" s="67" t="s">
        <v>1551</v>
      </c>
      <c r="E3111" s="67" t="s">
        <v>1362</v>
      </c>
      <c r="F3111" s="67" t="s">
        <v>1460</v>
      </c>
      <c r="G3111" s="69">
        <v>16</v>
      </c>
    </row>
    <row r="3112" spans="1:7">
      <c r="A3112" s="67" t="s">
        <v>4595</v>
      </c>
      <c r="B3112" s="70">
        <v>46268</v>
      </c>
      <c r="C3112" s="67" t="s">
        <v>1371</v>
      </c>
      <c r="D3112" s="67" t="s">
        <v>1551</v>
      </c>
      <c r="E3112" s="67" t="s">
        <v>1362</v>
      </c>
      <c r="F3112" s="67" t="s">
        <v>1462</v>
      </c>
      <c r="G3112" s="69">
        <v>61</v>
      </c>
    </row>
    <row r="3113" spans="1:7">
      <c r="A3113" s="67" t="s">
        <v>4596</v>
      </c>
      <c r="B3113" s="70">
        <v>46268</v>
      </c>
      <c r="C3113" s="67" t="s">
        <v>1384</v>
      </c>
      <c r="D3113" s="67" t="s">
        <v>1466</v>
      </c>
      <c r="E3113" s="67" t="s">
        <v>1386</v>
      </c>
      <c r="F3113" s="67" t="s">
        <v>1462</v>
      </c>
      <c r="G3113" s="69">
        <v>327</v>
      </c>
    </row>
    <row r="3114" spans="1:7">
      <c r="A3114" s="67" t="s">
        <v>4597</v>
      </c>
      <c r="B3114" s="70">
        <v>46268</v>
      </c>
      <c r="C3114" s="67" t="s">
        <v>1384</v>
      </c>
      <c r="D3114" s="67" t="s">
        <v>1602</v>
      </c>
      <c r="E3114" s="67" t="s">
        <v>1386</v>
      </c>
      <c r="F3114" s="67" t="s">
        <v>1462</v>
      </c>
      <c r="G3114" s="69">
        <v>86</v>
      </c>
    </row>
    <row r="3115" spans="1:7">
      <c r="A3115" s="67" t="s">
        <v>4598</v>
      </c>
      <c r="B3115" s="70">
        <v>46268</v>
      </c>
      <c r="C3115" s="67" t="s">
        <v>1404</v>
      </c>
      <c r="D3115" s="67" t="s">
        <v>356</v>
      </c>
      <c r="E3115" s="67" t="s">
        <v>1368</v>
      </c>
      <c r="F3115" s="67" t="s">
        <v>1488</v>
      </c>
      <c r="G3115" s="69">
        <v>10</v>
      </c>
    </row>
    <row r="3116" spans="1:7">
      <c r="A3116" s="67" t="s">
        <v>4599</v>
      </c>
      <c r="B3116" s="70">
        <v>46268</v>
      </c>
      <c r="C3116" s="67" t="s">
        <v>1404</v>
      </c>
      <c r="D3116" s="67" t="s">
        <v>365</v>
      </c>
      <c r="E3116" s="67" t="s">
        <v>1368</v>
      </c>
      <c r="F3116" s="67" t="s">
        <v>1460</v>
      </c>
      <c r="G3116" s="69">
        <v>23</v>
      </c>
    </row>
    <row r="3117" spans="1:7">
      <c r="A3117" s="67" t="s">
        <v>4600</v>
      </c>
      <c r="B3117" s="70">
        <v>46268</v>
      </c>
      <c r="C3117" s="67" t="s">
        <v>1404</v>
      </c>
      <c r="D3117" s="67" t="s">
        <v>365</v>
      </c>
      <c r="E3117" s="67" t="s">
        <v>1368</v>
      </c>
      <c r="F3117" s="67" t="s">
        <v>1460</v>
      </c>
      <c r="G3117" s="69">
        <v>26</v>
      </c>
    </row>
    <row r="3118" spans="1:7">
      <c r="A3118" s="67" t="s">
        <v>4601</v>
      </c>
      <c r="B3118" s="70">
        <v>46268</v>
      </c>
      <c r="C3118" s="67" t="s">
        <v>1404</v>
      </c>
      <c r="D3118" s="67" t="s">
        <v>369</v>
      </c>
      <c r="E3118" s="67" t="s">
        <v>1368</v>
      </c>
      <c r="F3118" s="67" t="s">
        <v>1460</v>
      </c>
      <c r="G3118" s="69">
        <v>15</v>
      </c>
    </row>
    <row r="3119" spans="1:7">
      <c r="A3119" s="67" t="s">
        <v>4602</v>
      </c>
      <c r="B3119" s="70">
        <v>46268</v>
      </c>
      <c r="C3119" s="67" t="s">
        <v>1411</v>
      </c>
      <c r="D3119" s="67" t="s">
        <v>1506</v>
      </c>
      <c r="E3119" s="67" t="s">
        <v>1482</v>
      </c>
      <c r="F3119" s="67" t="s">
        <v>1462</v>
      </c>
      <c r="G3119" s="69">
        <v>283</v>
      </c>
    </row>
    <row r="3120" spans="1:7">
      <c r="A3120" s="67" t="s">
        <v>4603</v>
      </c>
      <c r="B3120" s="70">
        <v>46268</v>
      </c>
      <c r="C3120" s="67" t="s">
        <v>1411</v>
      </c>
      <c r="D3120" s="67" t="s">
        <v>1506</v>
      </c>
      <c r="E3120" s="67" t="s">
        <v>1482</v>
      </c>
      <c r="F3120" s="67" t="s">
        <v>1462</v>
      </c>
      <c r="G3120" s="69">
        <v>400</v>
      </c>
    </row>
    <row r="3121" spans="1:7">
      <c r="A3121" s="67" t="s">
        <v>4604</v>
      </c>
      <c r="B3121" s="70">
        <v>46268</v>
      </c>
      <c r="C3121" s="67" t="s">
        <v>1444</v>
      </c>
      <c r="D3121" s="67" t="s">
        <v>353</v>
      </c>
      <c r="E3121" s="67" t="s">
        <v>1368</v>
      </c>
      <c r="F3121" s="67" t="s">
        <v>1462</v>
      </c>
      <c r="G3121" s="69">
        <v>597</v>
      </c>
    </row>
    <row r="3122" spans="1:7">
      <c r="A3122" s="67" t="s">
        <v>4605</v>
      </c>
      <c r="B3122" s="70">
        <v>46268</v>
      </c>
      <c r="C3122" s="67" t="s">
        <v>1446</v>
      </c>
      <c r="D3122" s="67" t="s">
        <v>1466</v>
      </c>
      <c r="E3122" s="67" t="s">
        <v>1386</v>
      </c>
      <c r="F3122" s="67" t="s">
        <v>1462</v>
      </c>
      <c r="G3122" s="69">
        <v>129</v>
      </c>
    </row>
    <row r="3123" spans="1:7">
      <c r="A3123" s="67" t="s">
        <v>4606</v>
      </c>
      <c r="B3123" s="70">
        <v>46268</v>
      </c>
      <c r="C3123" s="67" t="s">
        <v>1446</v>
      </c>
      <c r="D3123" s="67" t="s">
        <v>1459</v>
      </c>
      <c r="E3123" s="67" t="s">
        <v>1362</v>
      </c>
      <c r="F3123" s="67" t="s">
        <v>1462</v>
      </c>
      <c r="G3123" s="69">
        <v>358</v>
      </c>
    </row>
    <row r="3124" spans="1:7">
      <c r="A3124" s="67" t="s">
        <v>4607</v>
      </c>
      <c r="B3124" s="70">
        <v>46269</v>
      </c>
      <c r="C3124" s="67" t="s">
        <v>1366</v>
      </c>
      <c r="D3124" s="67" t="s">
        <v>353</v>
      </c>
      <c r="E3124" s="67" t="s">
        <v>1368</v>
      </c>
      <c r="F3124" s="67" t="s">
        <v>1460</v>
      </c>
      <c r="G3124" s="69">
        <v>16</v>
      </c>
    </row>
    <row r="3125" spans="1:7">
      <c r="A3125" s="67" t="s">
        <v>4608</v>
      </c>
      <c r="B3125" s="70">
        <v>46269</v>
      </c>
      <c r="C3125" s="67" t="s">
        <v>1366</v>
      </c>
      <c r="D3125" s="67" t="s">
        <v>1511</v>
      </c>
      <c r="E3125" s="67" t="s">
        <v>1470</v>
      </c>
      <c r="F3125" s="67" t="s">
        <v>1462</v>
      </c>
      <c r="G3125" s="69">
        <v>353</v>
      </c>
    </row>
    <row r="3126" spans="1:7">
      <c r="A3126" s="67" t="s">
        <v>4609</v>
      </c>
      <c r="B3126" s="70">
        <v>46269</v>
      </c>
      <c r="C3126" s="67" t="s">
        <v>1366</v>
      </c>
      <c r="D3126" s="67" t="s">
        <v>360</v>
      </c>
      <c r="E3126" s="67" t="s">
        <v>1368</v>
      </c>
      <c r="F3126" s="67" t="s">
        <v>1460</v>
      </c>
      <c r="G3126" s="69">
        <v>9</v>
      </c>
    </row>
    <row r="3127" spans="1:7">
      <c r="A3127" s="67" t="s">
        <v>4610</v>
      </c>
      <c r="B3127" s="70">
        <v>46269</v>
      </c>
      <c r="C3127" s="67" t="s">
        <v>1366</v>
      </c>
      <c r="D3127" s="67" t="s">
        <v>1551</v>
      </c>
      <c r="E3127" s="67" t="s">
        <v>1362</v>
      </c>
      <c r="F3127" s="67" t="s">
        <v>1462</v>
      </c>
      <c r="G3127" s="69">
        <v>56</v>
      </c>
    </row>
    <row r="3128" spans="1:7">
      <c r="A3128" s="67" t="s">
        <v>4611</v>
      </c>
      <c r="B3128" s="70">
        <v>46269</v>
      </c>
      <c r="C3128" s="67" t="s">
        <v>1371</v>
      </c>
      <c r="D3128" s="67" t="s">
        <v>1476</v>
      </c>
      <c r="E3128" s="67" t="s">
        <v>1362</v>
      </c>
      <c r="F3128" s="67" t="s">
        <v>1462</v>
      </c>
      <c r="G3128" s="69">
        <v>453</v>
      </c>
    </row>
    <row r="3129" spans="1:7">
      <c r="A3129" s="67" t="s">
        <v>4612</v>
      </c>
      <c r="B3129" s="70">
        <v>46269</v>
      </c>
      <c r="C3129" s="67" t="s">
        <v>1371</v>
      </c>
      <c r="D3129" s="67" t="s">
        <v>1551</v>
      </c>
      <c r="E3129" s="67" t="s">
        <v>1362</v>
      </c>
      <c r="F3129" s="67" t="s">
        <v>1460</v>
      </c>
      <c r="G3129" s="69">
        <v>20</v>
      </c>
    </row>
    <row r="3130" spans="1:7">
      <c r="A3130" s="67" t="s">
        <v>4613</v>
      </c>
      <c r="B3130" s="70">
        <v>46269</v>
      </c>
      <c r="C3130" s="67" t="s">
        <v>1378</v>
      </c>
      <c r="D3130" s="67" t="s">
        <v>363</v>
      </c>
      <c r="E3130" s="67" t="s">
        <v>1368</v>
      </c>
      <c r="F3130" s="67" t="s">
        <v>1462</v>
      </c>
      <c r="G3130" s="69">
        <v>574</v>
      </c>
    </row>
    <row r="3131" spans="1:7">
      <c r="A3131" s="67" t="s">
        <v>4614</v>
      </c>
      <c r="B3131" s="70">
        <v>46269</v>
      </c>
      <c r="C3131" s="67" t="s">
        <v>1381</v>
      </c>
      <c r="D3131" s="67" t="s">
        <v>363</v>
      </c>
      <c r="E3131" s="67" t="s">
        <v>1368</v>
      </c>
      <c r="F3131" s="67" t="s">
        <v>1462</v>
      </c>
      <c r="G3131" s="69">
        <v>287</v>
      </c>
    </row>
    <row r="3132" spans="1:7">
      <c r="A3132" s="67" t="s">
        <v>4615</v>
      </c>
      <c r="B3132" s="70">
        <v>46269</v>
      </c>
      <c r="C3132" s="67" t="s">
        <v>1381</v>
      </c>
      <c r="D3132" s="67" t="s">
        <v>358</v>
      </c>
      <c r="E3132" s="67" t="s">
        <v>1368</v>
      </c>
      <c r="F3132" s="67" t="s">
        <v>1462</v>
      </c>
      <c r="G3132" s="69">
        <v>388</v>
      </c>
    </row>
    <row r="3133" spans="1:7">
      <c r="A3133" s="67" t="s">
        <v>4616</v>
      </c>
      <c r="B3133" s="70">
        <v>46269</v>
      </c>
      <c r="C3133" s="67" t="s">
        <v>1389</v>
      </c>
      <c r="D3133" s="67" t="s">
        <v>358</v>
      </c>
      <c r="E3133" s="67" t="s">
        <v>1368</v>
      </c>
      <c r="F3133" s="67" t="s">
        <v>1460</v>
      </c>
      <c r="G3133" s="69">
        <v>5</v>
      </c>
    </row>
    <row r="3134" spans="1:7">
      <c r="A3134" s="67" t="s">
        <v>4617</v>
      </c>
      <c r="B3134" s="70">
        <v>46269</v>
      </c>
      <c r="C3134" s="67" t="s">
        <v>1391</v>
      </c>
      <c r="D3134" s="67" t="s">
        <v>1582</v>
      </c>
      <c r="E3134" s="67" t="s">
        <v>5</v>
      </c>
      <c r="F3134" s="67" t="s">
        <v>1462</v>
      </c>
      <c r="G3134" s="69">
        <v>451</v>
      </c>
    </row>
    <row r="3135" spans="1:7">
      <c r="A3135" s="67" t="s">
        <v>4618</v>
      </c>
      <c r="B3135" s="70">
        <v>46269</v>
      </c>
      <c r="C3135" s="67" t="s">
        <v>1399</v>
      </c>
      <c r="D3135" s="67" t="s">
        <v>1476</v>
      </c>
      <c r="E3135" s="67" t="s">
        <v>1362</v>
      </c>
      <c r="F3135" s="67" t="s">
        <v>1462</v>
      </c>
      <c r="G3135" s="69">
        <v>474</v>
      </c>
    </row>
    <row r="3136" spans="1:7">
      <c r="A3136" s="67" t="s">
        <v>4619</v>
      </c>
      <c r="B3136" s="70">
        <v>46269</v>
      </c>
      <c r="C3136" s="67" t="s">
        <v>1404</v>
      </c>
      <c r="D3136" s="67" t="s">
        <v>365</v>
      </c>
      <c r="E3136" s="67" t="s">
        <v>1368</v>
      </c>
      <c r="F3136" s="67" t="s">
        <v>1462</v>
      </c>
      <c r="G3136" s="69">
        <v>517</v>
      </c>
    </row>
    <row r="3137" spans="1:7">
      <c r="A3137" s="67" t="s">
        <v>4620</v>
      </c>
      <c r="B3137" s="70">
        <v>46269</v>
      </c>
      <c r="C3137" s="67" t="s">
        <v>1404</v>
      </c>
      <c r="D3137" s="67" t="s">
        <v>365</v>
      </c>
      <c r="E3137" s="67" t="s">
        <v>1368</v>
      </c>
      <c r="F3137" s="67" t="s">
        <v>1462</v>
      </c>
      <c r="G3137" s="69">
        <v>361</v>
      </c>
    </row>
    <row r="3138" spans="1:7">
      <c r="A3138" s="67" t="s">
        <v>4621</v>
      </c>
      <c r="B3138" s="70">
        <v>46269</v>
      </c>
      <c r="C3138" s="67" t="s">
        <v>1404</v>
      </c>
      <c r="D3138" s="67" t="s">
        <v>369</v>
      </c>
      <c r="E3138" s="67" t="s">
        <v>1368</v>
      </c>
      <c r="F3138" s="67" t="s">
        <v>1462</v>
      </c>
      <c r="G3138" s="69">
        <v>53</v>
      </c>
    </row>
    <row r="3139" spans="1:7">
      <c r="A3139" s="67" t="s">
        <v>4622</v>
      </c>
      <c r="B3139" s="70">
        <v>46269</v>
      </c>
      <c r="C3139" s="67" t="s">
        <v>1411</v>
      </c>
      <c r="D3139" s="67" t="s">
        <v>1506</v>
      </c>
      <c r="E3139" s="67" t="s">
        <v>1482</v>
      </c>
      <c r="F3139" s="67" t="s">
        <v>1462</v>
      </c>
      <c r="G3139" s="69">
        <v>190</v>
      </c>
    </row>
    <row r="3140" spans="1:7">
      <c r="A3140" s="67" t="s">
        <v>4623</v>
      </c>
      <c r="B3140" s="70">
        <v>46269</v>
      </c>
      <c r="C3140" s="67" t="s">
        <v>1411</v>
      </c>
      <c r="D3140" s="67" t="s">
        <v>1481</v>
      </c>
      <c r="E3140" s="67" t="s">
        <v>1482</v>
      </c>
      <c r="F3140" s="67" t="s">
        <v>1462</v>
      </c>
      <c r="G3140" s="69">
        <v>456</v>
      </c>
    </row>
    <row r="3141" spans="1:7">
      <c r="A3141" s="67" t="s">
        <v>4624</v>
      </c>
      <c r="B3141" s="70">
        <v>46269</v>
      </c>
      <c r="C3141" s="67" t="s">
        <v>1411</v>
      </c>
      <c r="D3141" s="67" t="s">
        <v>1481</v>
      </c>
      <c r="E3141" s="67" t="s">
        <v>1482</v>
      </c>
      <c r="F3141" s="67" t="s">
        <v>1462</v>
      </c>
      <c r="G3141" s="69">
        <v>195</v>
      </c>
    </row>
    <row r="3142" spans="1:7">
      <c r="A3142" s="67" t="s">
        <v>4625</v>
      </c>
      <c r="B3142" s="70">
        <v>46269</v>
      </c>
      <c r="C3142" s="67" t="s">
        <v>1411</v>
      </c>
      <c r="D3142" s="67" t="s">
        <v>358</v>
      </c>
      <c r="E3142" s="67" t="s">
        <v>1368</v>
      </c>
      <c r="F3142" s="67" t="s">
        <v>1460</v>
      </c>
      <c r="G3142" s="69">
        <v>30</v>
      </c>
    </row>
    <row r="3143" spans="1:7">
      <c r="A3143" s="67" t="s">
        <v>4626</v>
      </c>
      <c r="B3143" s="70">
        <v>46269</v>
      </c>
      <c r="C3143" s="67" t="s">
        <v>1414</v>
      </c>
      <c r="D3143" s="67" t="s">
        <v>1511</v>
      </c>
      <c r="E3143" s="67" t="s">
        <v>1470</v>
      </c>
      <c r="F3143" s="67" t="s">
        <v>1462</v>
      </c>
      <c r="G3143" s="69">
        <v>170</v>
      </c>
    </row>
    <row r="3144" spans="1:7">
      <c r="A3144" s="67" t="s">
        <v>4627</v>
      </c>
      <c r="B3144" s="70">
        <v>46269</v>
      </c>
      <c r="C3144" s="67" t="s">
        <v>1414</v>
      </c>
      <c r="D3144" s="67" t="s">
        <v>1484</v>
      </c>
      <c r="E3144" s="67" t="s">
        <v>1470</v>
      </c>
      <c r="F3144" s="67" t="s">
        <v>1462</v>
      </c>
      <c r="G3144" s="69">
        <v>514</v>
      </c>
    </row>
    <row r="3145" spans="1:7">
      <c r="A3145" s="67" t="s">
        <v>4628</v>
      </c>
      <c r="B3145" s="70">
        <v>46269</v>
      </c>
      <c r="C3145" s="67" t="s">
        <v>1423</v>
      </c>
      <c r="D3145" s="67" t="s">
        <v>353</v>
      </c>
      <c r="E3145" s="67" t="s">
        <v>1368</v>
      </c>
      <c r="F3145" s="67" t="s">
        <v>1488</v>
      </c>
      <c r="G3145" s="69">
        <v>8</v>
      </c>
    </row>
    <row r="3146" spans="1:7">
      <c r="A3146" s="67" t="s">
        <v>4629</v>
      </c>
      <c r="B3146" s="70">
        <v>46269</v>
      </c>
      <c r="C3146" s="67" t="s">
        <v>1425</v>
      </c>
      <c r="D3146" s="67" t="s">
        <v>1484</v>
      </c>
      <c r="E3146" s="67" t="s">
        <v>1470</v>
      </c>
      <c r="F3146" s="67" t="s">
        <v>1462</v>
      </c>
      <c r="G3146" s="69">
        <v>221</v>
      </c>
    </row>
    <row r="3147" spans="1:7">
      <c r="A3147" s="67" t="s">
        <v>4630</v>
      </c>
      <c r="B3147" s="70">
        <v>46269</v>
      </c>
      <c r="C3147" s="67" t="s">
        <v>1429</v>
      </c>
      <c r="D3147" s="67" t="s">
        <v>358</v>
      </c>
      <c r="E3147" s="67" t="s">
        <v>1368</v>
      </c>
      <c r="F3147" s="67" t="s">
        <v>1462</v>
      </c>
      <c r="G3147" s="69">
        <v>320</v>
      </c>
    </row>
    <row r="3148" spans="1:7">
      <c r="A3148" s="67" t="s">
        <v>4631</v>
      </c>
      <c r="B3148" s="70">
        <v>46269</v>
      </c>
      <c r="C3148" s="67" t="s">
        <v>1446</v>
      </c>
      <c r="D3148" s="67" t="s">
        <v>1476</v>
      </c>
      <c r="E3148" s="67" t="s">
        <v>1362</v>
      </c>
      <c r="F3148" s="67" t="s">
        <v>1488</v>
      </c>
      <c r="G3148" s="69">
        <v>5</v>
      </c>
    </row>
    <row r="3149" spans="1:7">
      <c r="A3149" s="67" t="s">
        <v>4632</v>
      </c>
      <c r="B3149" s="70">
        <v>46269</v>
      </c>
      <c r="C3149" s="67" t="s">
        <v>1450</v>
      </c>
      <c r="D3149" s="67" t="s">
        <v>1481</v>
      </c>
      <c r="E3149" s="67" t="s">
        <v>1482</v>
      </c>
      <c r="F3149" s="67" t="s">
        <v>1460</v>
      </c>
      <c r="G3149" s="69">
        <v>14</v>
      </c>
    </row>
    <row r="3150" spans="1:7">
      <c r="A3150" s="67" t="s">
        <v>4633</v>
      </c>
      <c r="B3150" s="70">
        <v>46270</v>
      </c>
      <c r="C3150" s="67" t="s">
        <v>1381</v>
      </c>
      <c r="D3150" s="67" t="s">
        <v>358</v>
      </c>
      <c r="E3150" s="67" t="s">
        <v>1368</v>
      </c>
      <c r="F3150" s="67" t="s">
        <v>1462</v>
      </c>
      <c r="G3150" s="69">
        <v>86</v>
      </c>
    </row>
    <row r="3151" spans="1:7">
      <c r="A3151" s="67" t="s">
        <v>4634</v>
      </c>
      <c r="B3151" s="70">
        <v>46270</v>
      </c>
      <c r="C3151" s="67" t="s">
        <v>1384</v>
      </c>
      <c r="D3151" s="67" t="s">
        <v>1466</v>
      </c>
      <c r="E3151" s="67" t="s">
        <v>1386</v>
      </c>
      <c r="F3151" s="67" t="s">
        <v>1462</v>
      </c>
      <c r="G3151" s="69">
        <v>175</v>
      </c>
    </row>
    <row r="3152" spans="1:7">
      <c r="A3152" s="67" t="s">
        <v>4635</v>
      </c>
      <c r="B3152" s="70">
        <v>46270</v>
      </c>
      <c r="C3152" s="67" t="s">
        <v>1384</v>
      </c>
      <c r="D3152" s="67" t="s">
        <v>1466</v>
      </c>
      <c r="E3152" s="67" t="s">
        <v>1386</v>
      </c>
      <c r="F3152" s="67" t="s">
        <v>1462</v>
      </c>
      <c r="G3152" s="69">
        <v>68</v>
      </c>
    </row>
    <row r="3153" spans="1:7">
      <c r="A3153" s="67" t="s">
        <v>4636</v>
      </c>
      <c r="B3153" s="70">
        <v>46270</v>
      </c>
      <c r="C3153" s="67" t="s">
        <v>1389</v>
      </c>
      <c r="D3153" s="67" t="s">
        <v>369</v>
      </c>
      <c r="E3153" s="67" t="s">
        <v>1368</v>
      </c>
      <c r="F3153" s="67" t="s">
        <v>1462</v>
      </c>
      <c r="G3153" s="69">
        <v>28</v>
      </c>
    </row>
    <row r="3154" spans="1:7">
      <c r="A3154" s="67" t="s">
        <v>4637</v>
      </c>
      <c r="B3154" s="70">
        <v>46270</v>
      </c>
      <c r="C3154" s="67" t="s">
        <v>1404</v>
      </c>
      <c r="D3154" s="67" t="s">
        <v>365</v>
      </c>
      <c r="E3154" s="67" t="s">
        <v>1368</v>
      </c>
      <c r="F3154" s="67" t="s">
        <v>1462</v>
      </c>
      <c r="G3154" s="69">
        <v>144</v>
      </c>
    </row>
    <row r="3155" spans="1:7">
      <c r="A3155" s="67" t="s">
        <v>4638</v>
      </c>
      <c r="B3155" s="70">
        <v>46270</v>
      </c>
      <c r="C3155" s="67" t="s">
        <v>1404</v>
      </c>
      <c r="D3155" s="67" t="s">
        <v>1491</v>
      </c>
      <c r="E3155" s="67" t="s">
        <v>1470</v>
      </c>
      <c r="F3155" s="67" t="s">
        <v>1460</v>
      </c>
      <c r="G3155" s="69">
        <v>19</v>
      </c>
    </row>
    <row r="3156" spans="1:7">
      <c r="A3156" s="67" t="s">
        <v>4639</v>
      </c>
      <c r="B3156" s="70">
        <v>46270</v>
      </c>
      <c r="C3156" s="67" t="s">
        <v>1406</v>
      </c>
      <c r="D3156" s="67" t="s">
        <v>353</v>
      </c>
      <c r="E3156" s="67" t="s">
        <v>1368</v>
      </c>
      <c r="F3156" s="67" t="s">
        <v>1460</v>
      </c>
      <c r="G3156" s="69">
        <v>13</v>
      </c>
    </row>
    <row r="3157" spans="1:7">
      <c r="A3157" s="67" t="s">
        <v>4640</v>
      </c>
      <c r="B3157" s="70">
        <v>46270</v>
      </c>
      <c r="C3157" s="67" t="s">
        <v>1411</v>
      </c>
      <c r="D3157" s="67" t="s">
        <v>1506</v>
      </c>
      <c r="E3157" s="67" t="s">
        <v>1482</v>
      </c>
      <c r="F3157" s="67" t="s">
        <v>1462</v>
      </c>
      <c r="G3157" s="69">
        <v>435</v>
      </c>
    </row>
    <row r="3158" spans="1:7">
      <c r="A3158" s="67" t="s">
        <v>4641</v>
      </c>
      <c r="B3158" s="70">
        <v>46270</v>
      </c>
      <c r="C3158" s="67" t="s">
        <v>1414</v>
      </c>
      <c r="D3158" s="67" t="s">
        <v>1511</v>
      </c>
      <c r="E3158" s="67" t="s">
        <v>1470</v>
      </c>
      <c r="F3158" s="67" t="s">
        <v>1460</v>
      </c>
      <c r="G3158" s="69">
        <v>13</v>
      </c>
    </row>
    <row r="3159" spans="1:7">
      <c r="A3159" s="67" t="s">
        <v>4642</v>
      </c>
      <c r="B3159" s="70">
        <v>46270</v>
      </c>
      <c r="C3159" s="67" t="s">
        <v>1414</v>
      </c>
      <c r="D3159" s="67" t="s">
        <v>1511</v>
      </c>
      <c r="E3159" s="67" t="s">
        <v>1470</v>
      </c>
      <c r="F3159" s="67" t="s">
        <v>1462</v>
      </c>
      <c r="G3159" s="69">
        <v>242</v>
      </c>
    </row>
    <row r="3160" spans="1:7">
      <c r="A3160" s="67" t="s">
        <v>4643</v>
      </c>
      <c r="B3160" s="70">
        <v>46270</v>
      </c>
      <c r="C3160" s="67" t="s">
        <v>1414</v>
      </c>
      <c r="D3160" s="67" t="s">
        <v>1484</v>
      </c>
      <c r="E3160" s="67" t="s">
        <v>1470</v>
      </c>
      <c r="F3160" s="67" t="s">
        <v>1462</v>
      </c>
      <c r="G3160" s="69">
        <v>382</v>
      </c>
    </row>
    <row r="3161" spans="1:7">
      <c r="A3161" s="67" t="s">
        <v>4644</v>
      </c>
      <c r="B3161" s="70">
        <v>46270</v>
      </c>
      <c r="C3161" s="67" t="s">
        <v>1423</v>
      </c>
      <c r="D3161" s="67" t="s">
        <v>1487</v>
      </c>
      <c r="E3161" s="67" t="s">
        <v>1410</v>
      </c>
      <c r="F3161" s="67" t="s">
        <v>1462</v>
      </c>
      <c r="G3161" s="69">
        <v>154</v>
      </c>
    </row>
    <row r="3162" spans="1:7">
      <c r="A3162" s="67" t="s">
        <v>4645</v>
      </c>
      <c r="B3162" s="70">
        <v>46270</v>
      </c>
      <c r="C3162" s="67" t="s">
        <v>1423</v>
      </c>
      <c r="D3162" s="67" t="s">
        <v>1479</v>
      </c>
      <c r="E3162" s="67" t="s">
        <v>1410</v>
      </c>
      <c r="F3162" s="67" t="s">
        <v>1460</v>
      </c>
      <c r="G3162" s="69">
        <v>13</v>
      </c>
    </row>
    <row r="3163" spans="1:7">
      <c r="A3163" s="67" t="s">
        <v>4646</v>
      </c>
      <c r="B3163" s="70">
        <v>46270</v>
      </c>
      <c r="C3163" s="67" t="s">
        <v>1423</v>
      </c>
      <c r="D3163" s="67" t="s">
        <v>1479</v>
      </c>
      <c r="E3163" s="67" t="s">
        <v>1410</v>
      </c>
      <c r="F3163" s="67" t="s">
        <v>1462</v>
      </c>
      <c r="G3163" s="69">
        <v>228</v>
      </c>
    </row>
    <row r="3164" spans="1:7">
      <c r="A3164" s="67" t="s">
        <v>4647</v>
      </c>
      <c r="B3164" s="70">
        <v>46270</v>
      </c>
      <c r="C3164" s="67" t="s">
        <v>1429</v>
      </c>
      <c r="D3164" s="67" t="s">
        <v>369</v>
      </c>
      <c r="E3164" s="67" t="s">
        <v>1368</v>
      </c>
      <c r="F3164" s="67" t="s">
        <v>1462</v>
      </c>
      <c r="G3164" s="69">
        <v>447</v>
      </c>
    </row>
    <row r="3165" spans="1:7">
      <c r="A3165" s="67" t="s">
        <v>4648</v>
      </c>
      <c r="B3165" s="70">
        <v>46270</v>
      </c>
      <c r="C3165" s="67" t="s">
        <v>1446</v>
      </c>
      <c r="D3165" s="67" t="s">
        <v>1466</v>
      </c>
      <c r="E3165" s="67" t="s">
        <v>1386</v>
      </c>
      <c r="F3165" s="67" t="s">
        <v>1462</v>
      </c>
      <c r="G3165" s="69">
        <v>219</v>
      </c>
    </row>
    <row r="3166" spans="1:7">
      <c r="A3166" s="67" t="s">
        <v>4649</v>
      </c>
      <c r="B3166" s="70">
        <v>46270</v>
      </c>
      <c r="C3166" s="67" t="s">
        <v>1446</v>
      </c>
      <c r="D3166" s="67" t="s">
        <v>1551</v>
      </c>
      <c r="E3166" s="67" t="s">
        <v>1362</v>
      </c>
      <c r="F3166" s="67" t="s">
        <v>1462</v>
      </c>
      <c r="G3166" s="69">
        <v>458</v>
      </c>
    </row>
    <row r="3167" spans="1:7">
      <c r="A3167" s="67" t="s">
        <v>4650</v>
      </c>
      <c r="B3167" s="70">
        <v>46270</v>
      </c>
      <c r="C3167" s="67" t="s">
        <v>1446</v>
      </c>
      <c r="D3167" s="67" t="s">
        <v>1551</v>
      </c>
      <c r="E3167" s="67" t="s">
        <v>1362</v>
      </c>
      <c r="F3167" s="67" t="s">
        <v>1462</v>
      </c>
      <c r="G3167" s="69">
        <v>432</v>
      </c>
    </row>
    <row r="3168" spans="1:7">
      <c r="A3168" s="67" t="s">
        <v>4651</v>
      </c>
      <c r="B3168" s="70">
        <v>46270</v>
      </c>
      <c r="C3168" s="67" t="s">
        <v>1448</v>
      </c>
      <c r="D3168" s="67" t="s">
        <v>1618</v>
      </c>
      <c r="E3168" s="67" t="s">
        <v>1433</v>
      </c>
      <c r="F3168" s="67" t="s">
        <v>1462</v>
      </c>
      <c r="G3168" s="69">
        <v>500</v>
      </c>
    </row>
    <row r="3169" spans="1:7">
      <c r="A3169" s="67" t="s">
        <v>4652</v>
      </c>
      <c r="B3169" s="70">
        <v>46271</v>
      </c>
      <c r="C3169" s="67" t="s">
        <v>1359</v>
      </c>
      <c r="D3169" s="67" t="s">
        <v>1602</v>
      </c>
      <c r="E3169" s="67" t="s">
        <v>1386</v>
      </c>
      <c r="F3169" s="67" t="s">
        <v>1462</v>
      </c>
      <c r="G3169" s="69">
        <v>84</v>
      </c>
    </row>
    <row r="3170" spans="1:7">
      <c r="A3170" s="67" t="s">
        <v>4653</v>
      </c>
      <c r="B3170" s="70">
        <v>46271</v>
      </c>
      <c r="C3170" s="67" t="s">
        <v>1366</v>
      </c>
      <c r="D3170" s="67" t="s">
        <v>1491</v>
      </c>
      <c r="E3170" s="67" t="s">
        <v>1470</v>
      </c>
      <c r="F3170" s="67" t="s">
        <v>1462</v>
      </c>
      <c r="G3170" s="69">
        <v>180</v>
      </c>
    </row>
    <row r="3171" spans="1:7">
      <c r="A3171" s="67" t="s">
        <v>4654</v>
      </c>
      <c r="B3171" s="70">
        <v>46271</v>
      </c>
      <c r="C3171" s="67" t="s">
        <v>1371</v>
      </c>
      <c r="D3171" s="67" t="s">
        <v>367</v>
      </c>
      <c r="E3171" s="67" t="s">
        <v>1368</v>
      </c>
      <c r="F3171" s="67" t="s">
        <v>1462</v>
      </c>
      <c r="G3171" s="69">
        <v>22</v>
      </c>
    </row>
    <row r="3172" spans="1:7">
      <c r="A3172" s="67" t="s">
        <v>4655</v>
      </c>
      <c r="B3172" s="70">
        <v>46271</v>
      </c>
      <c r="C3172" s="67" t="s">
        <v>1378</v>
      </c>
      <c r="D3172" s="67" t="s">
        <v>363</v>
      </c>
      <c r="E3172" s="67" t="s">
        <v>1368</v>
      </c>
      <c r="F3172" s="67" t="s">
        <v>1462</v>
      </c>
      <c r="G3172" s="69">
        <v>463</v>
      </c>
    </row>
    <row r="3173" spans="1:7">
      <c r="A3173" s="67" t="s">
        <v>4656</v>
      </c>
      <c r="B3173" s="70">
        <v>46271</v>
      </c>
      <c r="C3173" s="67" t="s">
        <v>1389</v>
      </c>
      <c r="D3173" s="67" t="s">
        <v>1484</v>
      </c>
      <c r="E3173" s="67" t="s">
        <v>1470</v>
      </c>
      <c r="F3173" s="67" t="s">
        <v>1462</v>
      </c>
      <c r="G3173" s="69">
        <v>555</v>
      </c>
    </row>
    <row r="3174" spans="1:7">
      <c r="A3174" s="67" t="s">
        <v>4657</v>
      </c>
      <c r="B3174" s="70">
        <v>46271</v>
      </c>
      <c r="C3174" s="67" t="s">
        <v>1389</v>
      </c>
      <c r="D3174" s="67" t="s">
        <v>1551</v>
      </c>
      <c r="E3174" s="67" t="s">
        <v>1362</v>
      </c>
      <c r="F3174" s="67" t="s">
        <v>1460</v>
      </c>
      <c r="G3174" s="69">
        <v>18</v>
      </c>
    </row>
    <row r="3175" spans="1:7">
      <c r="A3175" s="67" t="s">
        <v>4658</v>
      </c>
      <c r="B3175" s="70">
        <v>46271</v>
      </c>
      <c r="C3175" s="67" t="s">
        <v>1393</v>
      </c>
      <c r="D3175" s="67" t="s">
        <v>367</v>
      </c>
      <c r="E3175" s="67" t="s">
        <v>1368</v>
      </c>
      <c r="F3175" s="67" t="s">
        <v>1460</v>
      </c>
      <c r="G3175" s="69">
        <v>7</v>
      </c>
    </row>
    <row r="3176" spans="1:7">
      <c r="A3176" s="67" t="s">
        <v>4659</v>
      </c>
      <c r="B3176" s="70">
        <v>46271</v>
      </c>
      <c r="C3176" s="67" t="s">
        <v>1399</v>
      </c>
      <c r="D3176" s="67" t="s">
        <v>1551</v>
      </c>
      <c r="E3176" s="67" t="s">
        <v>1362</v>
      </c>
      <c r="F3176" s="67" t="s">
        <v>1462</v>
      </c>
      <c r="G3176" s="69">
        <v>57</v>
      </c>
    </row>
    <row r="3177" spans="1:7">
      <c r="A3177" s="67" t="s">
        <v>4660</v>
      </c>
      <c r="B3177" s="70">
        <v>46271</v>
      </c>
      <c r="C3177" s="67" t="s">
        <v>1404</v>
      </c>
      <c r="D3177" s="67" t="s">
        <v>353</v>
      </c>
      <c r="E3177" s="67" t="s">
        <v>1368</v>
      </c>
      <c r="F3177" s="67" t="s">
        <v>1460</v>
      </c>
      <c r="G3177" s="69">
        <v>20</v>
      </c>
    </row>
    <row r="3178" spans="1:7">
      <c r="A3178" s="67" t="s">
        <v>4661</v>
      </c>
      <c r="B3178" s="70">
        <v>46271</v>
      </c>
      <c r="C3178" s="67" t="s">
        <v>1404</v>
      </c>
      <c r="D3178" s="67" t="s">
        <v>363</v>
      </c>
      <c r="E3178" s="67" t="s">
        <v>1368</v>
      </c>
      <c r="F3178" s="67" t="s">
        <v>1462</v>
      </c>
      <c r="G3178" s="69">
        <v>254</v>
      </c>
    </row>
    <row r="3179" spans="1:7">
      <c r="A3179" s="67" t="s">
        <v>4662</v>
      </c>
      <c r="B3179" s="70">
        <v>46271</v>
      </c>
      <c r="C3179" s="67" t="s">
        <v>1404</v>
      </c>
      <c r="D3179" s="67" t="s">
        <v>367</v>
      </c>
      <c r="E3179" s="67" t="s">
        <v>1368</v>
      </c>
      <c r="F3179" s="67" t="s">
        <v>1462</v>
      </c>
      <c r="G3179" s="69">
        <v>346</v>
      </c>
    </row>
    <row r="3180" spans="1:7">
      <c r="A3180" s="67" t="s">
        <v>4663</v>
      </c>
      <c r="B3180" s="70">
        <v>46271</v>
      </c>
      <c r="C3180" s="67" t="s">
        <v>1404</v>
      </c>
      <c r="D3180" s="67" t="s">
        <v>1551</v>
      </c>
      <c r="E3180" s="67" t="s">
        <v>1362</v>
      </c>
      <c r="F3180" s="67" t="s">
        <v>1488</v>
      </c>
      <c r="G3180" s="69">
        <v>3</v>
      </c>
    </row>
    <row r="3181" spans="1:7">
      <c r="A3181" s="67" t="s">
        <v>4664</v>
      </c>
      <c r="B3181" s="70">
        <v>46271</v>
      </c>
      <c r="C3181" s="67" t="s">
        <v>1404</v>
      </c>
      <c r="D3181" s="67" t="s">
        <v>1459</v>
      </c>
      <c r="E3181" s="67" t="s">
        <v>1362</v>
      </c>
      <c r="F3181" s="67" t="s">
        <v>1460</v>
      </c>
      <c r="G3181" s="69">
        <v>9</v>
      </c>
    </row>
    <row r="3182" spans="1:7">
      <c r="A3182" s="67" t="s">
        <v>4665</v>
      </c>
      <c r="B3182" s="70">
        <v>46271</v>
      </c>
      <c r="C3182" s="67" t="s">
        <v>1406</v>
      </c>
      <c r="D3182" s="67" t="s">
        <v>356</v>
      </c>
      <c r="E3182" s="67" t="s">
        <v>1368</v>
      </c>
      <c r="F3182" s="67" t="s">
        <v>1462</v>
      </c>
      <c r="G3182" s="69">
        <v>47</v>
      </c>
    </row>
    <row r="3183" spans="1:7">
      <c r="A3183" s="67" t="s">
        <v>4666</v>
      </c>
      <c r="B3183" s="70">
        <v>46271</v>
      </c>
      <c r="C3183" s="67" t="s">
        <v>1411</v>
      </c>
      <c r="D3183" s="67" t="s">
        <v>1506</v>
      </c>
      <c r="E3183" s="67" t="s">
        <v>1482</v>
      </c>
      <c r="F3183" s="67" t="s">
        <v>1462</v>
      </c>
      <c r="G3183" s="69">
        <v>419</v>
      </c>
    </row>
    <row r="3184" spans="1:7">
      <c r="A3184" s="67" t="s">
        <v>4667</v>
      </c>
      <c r="B3184" s="70">
        <v>46271</v>
      </c>
      <c r="C3184" s="67" t="s">
        <v>1414</v>
      </c>
      <c r="D3184" s="67" t="s">
        <v>1484</v>
      </c>
      <c r="E3184" s="67" t="s">
        <v>1470</v>
      </c>
      <c r="F3184" s="67" t="s">
        <v>1460</v>
      </c>
      <c r="G3184" s="69">
        <v>26</v>
      </c>
    </row>
    <row r="3185" spans="1:7">
      <c r="A3185" s="67" t="s">
        <v>4668</v>
      </c>
      <c r="B3185" s="70">
        <v>46271</v>
      </c>
      <c r="C3185" s="67" t="s">
        <v>1414</v>
      </c>
      <c r="D3185" s="67" t="s">
        <v>1476</v>
      </c>
      <c r="E3185" s="67" t="s">
        <v>1362</v>
      </c>
      <c r="F3185" s="67" t="s">
        <v>1462</v>
      </c>
      <c r="G3185" s="69">
        <v>98</v>
      </c>
    </row>
    <row r="3186" spans="1:7">
      <c r="A3186" s="67" t="s">
        <v>4669</v>
      </c>
      <c r="B3186" s="70">
        <v>46271</v>
      </c>
      <c r="C3186" s="67" t="s">
        <v>1414</v>
      </c>
      <c r="D3186" s="67" t="s">
        <v>1469</v>
      </c>
      <c r="E3186" s="67" t="s">
        <v>1470</v>
      </c>
      <c r="F3186" s="67" t="s">
        <v>1462</v>
      </c>
      <c r="G3186" s="69">
        <v>88</v>
      </c>
    </row>
    <row r="3187" spans="1:7">
      <c r="A3187" s="67" t="s">
        <v>4670</v>
      </c>
      <c r="B3187" s="70">
        <v>46271</v>
      </c>
      <c r="C3187" s="67" t="s">
        <v>1444</v>
      </c>
      <c r="D3187" s="67" t="s">
        <v>1459</v>
      </c>
      <c r="E3187" s="67" t="s">
        <v>1362</v>
      </c>
      <c r="F3187" s="67" t="s">
        <v>1462</v>
      </c>
      <c r="G3187" s="69">
        <v>344</v>
      </c>
    </row>
    <row r="3188" spans="1:7">
      <c r="A3188" s="67" t="s">
        <v>4671</v>
      </c>
      <c r="B3188" s="70">
        <v>46272</v>
      </c>
      <c r="C3188" s="67" t="s">
        <v>1359</v>
      </c>
      <c r="D3188" s="67" t="s">
        <v>1476</v>
      </c>
      <c r="E3188" s="67" t="s">
        <v>1362</v>
      </c>
      <c r="F3188" s="67" t="s">
        <v>1462</v>
      </c>
      <c r="G3188" s="69">
        <v>451</v>
      </c>
    </row>
    <row r="3189" spans="1:7">
      <c r="A3189" s="67" t="s">
        <v>4672</v>
      </c>
      <c r="B3189" s="70">
        <v>46272</v>
      </c>
      <c r="C3189" s="67" t="s">
        <v>1359</v>
      </c>
      <c r="D3189" s="67" t="s">
        <v>1551</v>
      </c>
      <c r="E3189" s="67" t="s">
        <v>1362</v>
      </c>
      <c r="F3189" s="67" t="s">
        <v>1462</v>
      </c>
      <c r="G3189" s="69">
        <v>196</v>
      </c>
    </row>
    <row r="3190" spans="1:7">
      <c r="A3190" s="67" t="s">
        <v>4673</v>
      </c>
      <c r="B3190" s="70">
        <v>46272</v>
      </c>
      <c r="C3190" s="67" t="s">
        <v>1359</v>
      </c>
      <c r="D3190" s="67" t="s">
        <v>1459</v>
      </c>
      <c r="E3190" s="67" t="s">
        <v>1362</v>
      </c>
      <c r="F3190" s="67" t="s">
        <v>1462</v>
      </c>
      <c r="G3190" s="69">
        <v>543</v>
      </c>
    </row>
    <row r="3191" spans="1:7">
      <c r="A3191" s="67" t="s">
        <v>4674</v>
      </c>
      <c r="B3191" s="70">
        <v>46272</v>
      </c>
      <c r="C3191" s="67" t="s">
        <v>1366</v>
      </c>
      <c r="D3191" s="67" t="s">
        <v>363</v>
      </c>
      <c r="E3191" s="67" t="s">
        <v>1368</v>
      </c>
      <c r="F3191" s="67" t="s">
        <v>1460</v>
      </c>
      <c r="G3191" s="69">
        <v>7</v>
      </c>
    </row>
    <row r="3192" spans="1:7">
      <c r="A3192" s="67" t="s">
        <v>4675</v>
      </c>
      <c r="B3192" s="70">
        <v>46272</v>
      </c>
      <c r="C3192" s="67" t="s">
        <v>1366</v>
      </c>
      <c r="D3192" s="67" t="s">
        <v>1484</v>
      </c>
      <c r="E3192" s="67" t="s">
        <v>1470</v>
      </c>
      <c r="F3192" s="67" t="s">
        <v>1462</v>
      </c>
      <c r="G3192" s="69">
        <v>557</v>
      </c>
    </row>
    <row r="3193" spans="1:7">
      <c r="A3193" s="67" t="s">
        <v>4676</v>
      </c>
      <c r="B3193" s="70">
        <v>46272</v>
      </c>
      <c r="C3193" s="67" t="s">
        <v>1371</v>
      </c>
      <c r="D3193" s="67" t="s">
        <v>1551</v>
      </c>
      <c r="E3193" s="67" t="s">
        <v>1362</v>
      </c>
      <c r="F3193" s="67" t="s">
        <v>1460</v>
      </c>
      <c r="G3193" s="69">
        <v>18</v>
      </c>
    </row>
    <row r="3194" spans="1:7">
      <c r="A3194" s="67" t="s">
        <v>4677</v>
      </c>
      <c r="B3194" s="70">
        <v>46272</v>
      </c>
      <c r="C3194" s="67" t="s">
        <v>1381</v>
      </c>
      <c r="D3194" s="67" t="s">
        <v>356</v>
      </c>
      <c r="E3194" s="67" t="s">
        <v>1368</v>
      </c>
      <c r="F3194" s="67" t="s">
        <v>1462</v>
      </c>
      <c r="G3194" s="69">
        <v>325</v>
      </c>
    </row>
    <row r="3195" spans="1:7">
      <c r="A3195" s="67" t="s">
        <v>4678</v>
      </c>
      <c r="B3195" s="70">
        <v>46272</v>
      </c>
      <c r="C3195" s="67" t="s">
        <v>1381</v>
      </c>
      <c r="D3195" s="67" t="s">
        <v>358</v>
      </c>
      <c r="E3195" s="67" t="s">
        <v>1368</v>
      </c>
      <c r="F3195" s="67" t="s">
        <v>1462</v>
      </c>
      <c r="G3195" s="69">
        <v>534</v>
      </c>
    </row>
    <row r="3196" spans="1:7">
      <c r="A3196" s="67" t="s">
        <v>4679</v>
      </c>
      <c r="B3196" s="70">
        <v>46272</v>
      </c>
      <c r="C3196" s="67" t="s">
        <v>1384</v>
      </c>
      <c r="D3196" s="67" t="s">
        <v>1551</v>
      </c>
      <c r="E3196" s="67" t="s">
        <v>1362</v>
      </c>
      <c r="F3196" s="67" t="s">
        <v>1462</v>
      </c>
      <c r="G3196" s="69">
        <v>182</v>
      </c>
    </row>
    <row r="3197" spans="1:7">
      <c r="A3197" s="67" t="s">
        <v>4680</v>
      </c>
      <c r="B3197" s="70">
        <v>46272</v>
      </c>
      <c r="C3197" s="67" t="s">
        <v>1389</v>
      </c>
      <c r="D3197" s="67" t="s">
        <v>353</v>
      </c>
      <c r="E3197" s="67" t="s">
        <v>1368</v>
      </c>
      <c r="F3197" s="67" t="s">
        <v>1488</v>
      </c>
      <c r="G3197" s="69">
        <v>9</v>
      </c>
    </row>
    <row r="3198" spans="1:7">
      <c r="A3198" s="67" t="s">
        <v>4681</v>
      </c>
      <c r="B3198" s="70">
        <v>46272</v>
      </c>
      <c r="C3198" s="67" t="s">
        <v>1399</v>
      </c>
      <c r="D3198" s="67" t="s">
        <v>363</v>
      </c>
      <c r="E3198" s="67" t="s">
        <v>1368</v>
      </c>
      <c r="F3198" s="67" t="s">
        <v>1462</v>
      </c>
      <c r="G3198" s="69">
        <v>248</v>
      </c>
    </row>
    <row r="3199" spans="1:7">
      <c r="A3199" s="67" t="s">
        <v>4682</v>
      </c>
      <c r="B3199" s="70">
        <v>46272</v>
      </c>
      <c r="C3199" s="67" t="s">
        <v>1404</v>
      </c>
      <c r="D3199" s="67" t="s">
        <v>353</v>
      </c>
      <c r="E3199" s="67" t="s">
        <v>1368</v>
      </c>
      <c r="F3199" s="67" t="s">
        <v>1462</v>
      </c>
      <c r="G3199" s="69">
        <v>515</v>
      </c>
    </row>
    <row r="3200" spans="1:7">
      <c r="A3200" s="67" t="s">
        <v>4683</v>
      </c>
      <c r="B3200" s="70">
        <v>46272</v>
      </c>
      <c r="C3200" s="67" t="s">
        <v>1404</v>
      </c>
      <c r="D3200" s="67" t="s">
        <v>358</v>
      </c>
      <c r="E3200" s="67" t="s">
        <v>1368</v>
      </c>
      <c r="F3200" s="67" t="s">
        <v>1462</v>
      </c>
      <c r="G3200" s="69">
        <v>146</v>
      </c>
    </row>
    <row r="3201" spans="1:7">
      <c r="A3201" s="67" t="s">
        <v>4684</v>
      </c>
      <c r="B3201" s="70">
        <v>46272</v>
      </c>
      <c r="C3201" s="67" t="s">
        <v>1414</v>
      </c>
      <c r="D3201" s="67" t="s">
        <v>1484</v>
      </c>
      <c r="E3201" s="67" t="s">
        <v>1470</v>
      </c>
      <c r="F3201" s="67" t="s">
        <v>1460</v>
      </c>
      <c r="G3201" s="69">
        <v>28</v>
      </c>
    </row>
    <row r="3202" spans="1:7">
      <c r="A3202" s="67" t="s">
        <v>4685</v>
      </c>
      <c r="B3202" s="70">
        <v>46272</v>
      </c>
      <c r="C3202" s="67" t="s">
        <v>1414</v>
      </c>
      <c r="D3202" s="67" t="s">
        <v>1491</v>
      </c>
      <c r="E3202" s="67" t="s">
        <v>1470</v>
      </c>
      <c r="F3202" s="67" t="s">
        <v>1462</v>
      </c>
      <c r="G3202" s="69">
        <v>253</v>
      </c>
    </row>
    <row r="3203" spans="1:7">
      <c r="A3203" s="67" t="s">
        <v>4686</v>
      </c>
      <c r="B3203" s="70">
        <v>46273</v>
      </c>
      <c r="C3203" s="67" t="s">
        <v>1359</v>
      </c>
      <c r="D3203" s="67" t="s">
        <v>1551</v>
      </c>
      <c r="E3203" s="67" t="s">
        <v>1362</v>
      </c>
      <c r="F3203" s="67" t="s">
        <v>1462</v>
      </c>
      <c r="G3203" s="69">
        <v>452</v>
      </c>
    </row>
    <row r="3204" spans="1:7">
      <c r="A3204" s="67" t="s">
        <v>4687</v>
      </c>
      <c r="B3204" s="70">
        <v>46273</v>
      </c>
      <c r="C3204" s="67" t="s">
        <v>1359</v>
      </c>
      <c r="D3204" s="67" t="s">
        <v>1551</v>
      </c>
      <c r="E3204" s="67" t="s">
        <v>1362</v>
      </c>
      <c r="F3204" s="67" t="s">
        <v>1460</v>
      </c>
      <c r="G3204" s="69">
        <v>8</v>
      </c>
    </row>
    <row r="3205" spans="1:7">
      <c r="A3205" s="67" t="s">
        <v>4688</v>
      </c>
      <c r="B3205" s="70">
        <v>46273</v>
      </c>
      <c r="C3205" s="67" t="s">
        <v>1359</v>
      </c>
      <c r="D3205" s="67" t="s">
        <v>1551</v>
      </c>
      <c r="E3205" s="67" t="s">
        <v>1362</v>
      </c>
      <c r="F3205" s="67" t="s">
        <v>1462</v>
      </c>
      <c r="G3205" s="69">
        <v>503</v>
      </c>
    </row>
    <row r="3206" spans="1:7">
      <c r="A3206" s="67" t="s">
        <v>4689</v>
      </c>
      <c r="B3206" s="70">
        <v>46273</v>
      </c>
      <c r="C3206" s="67" t="s">
        <v>1359</v>
      </c>
      <c r="D3206" s="67" t="s">
        <v>1551</v>
      </c>
      <c r="E3206" s="67" t="s">
        <v>1362</v>
      </c>
      <c r="F3206" s="67" t="s">
        <v>1462</v>
      </c>
      <c r="G3206" s="69">
        <v>246</v>
      </c>
    </row>
    <row r="3207" spans="1:7">
      <c r="A3207" s="67" t="s">
        <v>4690</v>
      </c>
      <c r="B3207" s="70">
        <v>46273</v>
      </c>
      <c r="C3207" s="67" t="s">
        <v>1366</v>
      </c>
      <c r="D3207" s="67" t="s">
        <v>1511</v>
      </c>
      <c r="E3207" s="67" t="s">
        <v>1470</v>
      </c>
      <c r="F3207" s="67" t="s">
        <v>1460</v>
      </c>
      <c r="G3207" s="69">
        <v>7</v>
      </c>
    </row>
    <row r="3208" spans="1:7">
      <c r="A3208" s="67" t="s">
        <v>4691</v>
      </c>
      <c r="B3208" s="70">
        <v>46273</v>
      </c>
      <c r="C3208" s="67" t="s">
        <v>1371</v>
      </c>
      <c r="D3208" s="67" t="s">
        <v>1551</v>
      </c>
      <c r="E3208" s="67" t="s">
        <v>1362</v>
      </c>
      <c r="F3208" s="67" t="s">
        <v>1460</v>
      </c>
      <c r="G3208" s="69">
        <v>29</v>
      </c>
    </row>
    <row r="3209" spans="1:7">
      <c r="A3209" s="67" t="s">
        <v>4692</v>
      </c>
      <c r="B3209" s="70">
        <v>46273</v>
      </c>
      <c r="C3209" s="67" t="s">
        <v>1371</v>
      </c>
      <c r="D3209" s="67" t="s">
        <v>1459</v>
      </c>
      <c r="E3209" s="67" t="s">
        <v>1362</v>
      </c>
      <c r="F3209" s="67" t="s">
        <v>1462</v>
      </c>
      <c r="G3209" s="69">
        <v>585</v>
      </c>
    </row>
    <row r="3210" spans="1:7">
      <c r="A3210" s="67" t="s">
        <v>4693</v>
      </c>
      <c r="B3210" s="70">
        <v>46273</v>
      </c>
      <c r="C3210" s="67" t="s">
        <v>1375</v>
      </c>
      <c r="D3210" s="67" t="s">
        <v>353</v>
      </c>
      <c r="E3210" s="67" t="s">
        <v>1368</v>
      </c>
      <c r="F3210" s="67" t="s">
        <v>1462</v>
      </c>
      <c r="G3210" s="69">
        <v>497</v>
      </c>
    </row>
    <row r="3211" spans="1:7">
      <c r="A3211" s="67" t="s">
        <v>4694</v>
      </c>
      <c r="B3211" s="70">
        <v>46273</v>
      </c>
      <c r="C3211" s="67" t="s">
        <v>1384</v>
      </c>
      <c r="D3211" s="67" t="s">
        <v>1459</v>
      </c>
      <c r="E3211" s="67" t="s">
        <v>1362</v>
      </c>
      <c r="F3211" s="67" t="s">
        <v>1462</v>
      </c>
      <c r="G3211" s="69">
        <v>326</v>
      </c>
    </row>
    <row r="3212" spans="1:7">
      <c r="A3212" s="67" t="s">
        <v>4695</v>
      </c>
      <c r="B3212" s="70">
        <v>46273</v>
      </c>
      <c r="C3212" s="67" t="s">
        <v>1391</v>
      </c>
      <c r="D3212" s="67" t="s">
        <v>1582</v>
      </c>
      <c r="E3212" s="67" t="s">
        <v>5</v>
      </c>
      <c r="F3212" s="67" t="s">
        <v>1462</v>
      </c>
      <c r="G3212" s="69">
        <v>412</v>
      </c>
    </row>
    <row r="3213" spans="1:7">
      <c r="A3213" s="67" t="s">
        <v>4696</v>
      </c>
      <c r="B3213" s="70">
        <v>46273</v>
      </c>
      <c r="C3213" s="67" t="s">
        <v>1393</v>
      </c>
      <c r="D3213" s="67" t="s">
        <v>1520</v>
      </c>
      <c r="E3213" s="67" t="s">
        <v>1433</v>
      </c>
      <c r="F3213" s="67" t="s">
        <v>1460</v>
      </c>
      <c r="G3213" s="69">
        <v>22</v>
      </c>
    </row>
    <row r="3214" spans="1:7">
      <c r="A3214" s="67" t="s">
        <v>4697</v>
      </c>
      <c r="B3214" s="70">
        <v>46273</v>
      </c>
      <c r="C3214" s="67" t="s">
        <v>1397</v>
      </c>
      <c r="D3214" s="67" t="s">
        <v>367</v>
      </c>
      <c r="E3214" s="67" t="s">
        <v>1368</v>
      </c>
      <c r="F3214" s="67" t="s">
        <v>1462</v>
      </c>
      <c r="G3214" s="69">
        <v>99</v>
      </c>
    </row>
    <row r="3215" spans="1:7">
      <c r="A3215" s="67" t="s">
        <v>4698</v>
      </c>
      <c r="B3215" s="70">
        <v>46273</v>
      </c>
      <c r="C3215" s="67" t="s">
        <v>1399</v>
      </c>
      <c r="D3215" s="67" t="s">
        <v>369</v>
      </c>
      <c r="E3215" s="67" t="s">
        <v>1368</v>
      </c>
      <c r="F3215" s="67" t="s">
        <v>1462</v>
      </c>
      <c r="G3215" s="69">
        <v>524</v>
      </c>
    </row>
    <row r="3216" spans="1:7">
      <c r="A3216" s="67" t="s">
        <v>4699</v>
      </c>
      <c r="B3216" s="70">
        <v>46273</v>
      </c>
      <c r="C3216" s="67" t="s">
        <v>1404</v>
      </c>
      <c r="D3216" s="67" t="s">
        <v>353</v>
      </c>
      <c r="E3216" s="67" t="s">
        <v>1368</v>
      </c>
      <c r="F3216" s="67" t="s">
        <v>1462</v>
      </c>
      <c r="G3216" s="69">
        <v>345</v>
      </c>
    </row>
    <row r="3217" spans="1:7">
      <c r="A3217" s="67" t="s">
        <v>4700</v>
      </c>
      <c r="B3217" s="70">
        <v>46273</v>
      </c>
      <c r="C3217" s="67" t="s">
        <v>1404</v>
      </c>
      <c r="D3217" s="67" t="s">
        <v>353</v>
      </c>
      <c r="E3217" s="67" t="s">
        <v>1368</v>
      </c>
      <c r="F3217" s="67" t="s">
        <v>1462</v>
      </c>
      <c r="G3217" s="69">
        <v>245</v>
      </c>
    </row>
    <row r="3218" spans="1:7">
      <c r="A3218" s="67" t="s">
        <v>4701</v>
      </c>
      <c r="B3218" s="70">
        <v>46273</v>
      </c>
      <c r="C3218" s="67" t="s">
        <v>1404</v>
      </c>
      <c r="D3218" s="67" t="s">
        <v>1476</v>
      </c>
      <c r="E3218" s="67" t="s">
        <v>1362</v>
      </c>
      <c r="F3218" s="67" t="s">
        <v>1460</v>
      </c>
      <c r="G3218" s="69">
        <v>9</v>
      </c>
    </row>
    <row r="3219" spans="1:7">
      <c r="A3219" s="67" t="s">
        <v>4702</v>
      </c>
      <c r="B3219" s="70">
        <v>46273</v>
      </c>
      <c r="C3219" s="67" t="s">
        <v>1404</v>
      </c>
      <c r="D3219" s="67" t="s">
        <v>367</v>
      </c>
      <c r="E3219" s="67" t="s">
        <v>1368</v>
      </c>
      <c r="F3219" s="67" t="s">
        <v>1462</v>
      </c>
      <c r="G3219" s="69">
        <v>464</v>
      </c>
    </row>
    <row r="3220" spans="1:7">
      <c r="A3220" s="67" t="s">
        <v>4703</v>
      </c>
      <c r="B3220" s="70">
        <v>46273</v>
      </c>
      <c r="C3220" s="67" t="s">
        <v>1404</v>
      </c>
      <c r="D3220" s="67" t="s">
        <v>369</v>
      </c>
      <c r="E3220" s="67" t="s">
        <v>1368</v>
      </c>
      <c r="F3220" s="67" t="s">
        <v>1462</v>
      </c>
      <c r="G3220" s="69">
        <v>415</v>
      </c>
    </row>
    <row r="3221" spans="1:7">
      <c r="A3221" s="67" t="s">
        <v>4704</v>
      </c>
      <c r="B3221" s="70">
        <v>46273</v>
      </c>
      <c r="C3221" s="67" t="s">
        <v>1411</v>
      </c>
      <c r="D3221" s="67" t="s">
        <v>1506</v>
      </c>
      <c r="E3221" s="67" t="s">
        <v>1482</v>
      </c>
      <c r="F3221" s="67" t="s">
        <v>1462</v>
      </c>
      <c r="G3221" s="69">
        <v>274</v>
      </c>
    </row>
    <row r="3222" spans="1:7">
      <c r="A3222" s="67" t="s">
        <v>4705</v>
      </c>
      <c r="B3222" s="70">
        <v>46273</v>
      </c>
      <c r="C3222" s="67" t="s">
        <v>1425</v>
      </c>
      <c r="D3222" s="67" t="s">
        <v>1511</v>
      </c>
      <c r="E3222" s="67" t="s">
        <v>1470</v>
      </c>
      <c r="F3222" s="67" t="s">
        <v>1460</v>
      </c>
      <c r="G3222" s="69">
        <v>13</v>
      </c>
    </row>
    <row r="3223" spans="1:7">
      <c r="A3223" s="67" t="s">
        <v>4706</v>
      </c>
      <c r="B3223" s="70">
        <v>46273</v>
      </c>
      <c r="C3223" s="67" t="s">
        <v>1444</v>
      </c>
      <c r="D3223" s="67" t="s">
        <v>1551</v>
      </c>
      <c r="E3223" s="67" t="s">
        <v>1362</v>
      </c>
      <c r="F3223" s="67" t="s">
        <v>1462</v>
      </c>
      <c r="G3223" s="69">
        <v>460</v>
      </c>
    </row>
    <row r="3224" spans="1:7">
      <c r="A3224" s="67" t="s">
        <v>4707</v>
      </c>
      <c r="B3224" s="70">
        <v>46274</v>
      </c>
      <c r="C3224" s="67" t="s">
        <v>1359</v>
      </c>
      <c r="D3224" s="67" t="s">
        <v>1476</v>
      </c>
      <c r="E3224" s="67" t="s">
        <v>1362</v>
      </c>
      <c r="F3224" s="67" t="s">
        <v>1462</v>
      </c>
      <c r="G3224" s="69">
        <v>53</v>
      </c>
    </row>
    <row r="3225" spans="1:7">
      <c r="A3225" s="67" t="s">
        <v>4708</v>
      </c>
      <c r="B3225" s="70">
        <v>46274</v>
      </c>
      <c r="C3225" s="67" t="s">
        <v>1359</v>
      </c>
      <c r="D3225" s="67" t="s">
        <v>1551</v>
      </c>
      <c r="E3225" s="67" t="s">
        <v>1362</v>
      </c>
      <c r="F3225" s="67" t="s">
        <v>1462</v>
      </c>
      <c r="G3225" s="69">
        <v>344</v>
      </c>
    </row>
    <row r="3226" spans="1:7">
      <c r="A3226" s="67" t="s">
        <v>4709</v>
      </c>
      <c r="B3226" s="70">
        <v>46274</v>
      </c>
      <c r="C3226" s="67" t="s">
        <v>1359</v>
      </c>
      <c r="D3226" s="67" t="s">
        <v>1602</v>
      </c>
      <c r="E3226" s="67" t="s">
        <v>1386</v>
      </c>
      <c r="F3226" s="67" t="s">
        <v>1462</v>
      </c>
      <c r="G3226" s="69">
        <v>574</v>
      </c>
    </row>
    <row r="3227" spans="1:7">
      <c r="A3227" s="67" t="s">
        <v>4710</v>
      </c>
      <c r="B3227" s="70">
        <v>46274</v>
      </c>
      <c r="C3227" s="67" t="s">
        <v>1371</v>
      </c>
      <c r="D3227" s="67" t="s">
        <v>1459</v>
      </c>
      <c r="E3227" s="67" t="s">
        <v>1362</v>
      </c>
      <c r="F3227" s="67" t="s">
        <v>1460</v>
      </c>
      <c r="G3227" s="69">
        <v>29</v>
      </c>
    </row>
    <row r="3228" spans="1:7">
      <c r="A3228" s="67" t="s">
        <v>4711</v>
      </c>
      <c r="B3228" s="70">
        <v>46274</v>
      </c>
      <c r="C3228" s="67" t="s">
        <v>1371</v>
      </c>
      <c r="D3228" s="67" t="s">
        <v>1459</v>
      </c>
      <c r="E3228" s="67" t="s">
        <v>1362</v>
      </c>
      <c r="F3228" s="67" t="s">
        <v>1462</v>
      </c>
      <c r="G3228" s="69">
        <v>385</v>
      </c>
    </row>
    <row r="3229" spans="1:7">
      <c r="A3229" s="67" t="s">
        <v>4712</v>
      </c>
      <c r="B3229" s="70">
        <v>46274</v>
      </c>
      <c r="C3229" s="67" t="s">
        <v>1375</v>
      </c>
      <c r="D3229" s="67" t="s">
        <v>1476</v>
      </c>
      <c r="E3229" s="67" t="s">
        <v>1362</v>
      </c>
      <c r="F3229" s="67" t="s">
        <v>1460</v>
      </c>
      <c r="G3229" s="69">
        <v>17</v>
      </c>
    </row>
    <row r="3230" spans="1:7">
      <c r="A3230" s="67" t="s">
        <v>4713</v>
      </c>
      <c r="B3230" s="70">
        <v>46274</v>
      </c>
      <c r="C3230" s="67" t="s">
        <v>1378</v>
      </c>
      <c r="D3230" s="67" t="s">
        <v>358</v>
      </c>
      <c r="E3230" s="67" t="s">
        <v>1368</v>
      </c>
      <c r="F3230" s="67" t="s">
        <v>1460</v>
      </c>
      <c r="G3230" s="69">
        <v>12</v>
      </c>
    </row>
    <row r="3231" spans="1:7">
      <c r="A3231" s="67" t="s">
        <v>4714</v>
      </c>
      <c r="B3231" s="70">
        <v>46274</v>
      </c>
      <c r="C3231" s="67" t="s">
        <v>1381</v>
      </c>
      <c r="D3231" s="67" t="s">
        <v>1511</v>
      </c>
      <c r="E3231" s="67" t="s">
        <v>1470</v>
      </c>
      <c r="F3231" s="67" t="s">
        <v>1462</v>
      </c>
      <c r="G3231" s="69">
        <v>53</v>
      </c>
    </row>
    <row r="3232" spans="1:7">
      <c r="A3232" s="67" t="s">
        <v>4715</v>
      </c>
      <c r="B3232" s="70">
        <v>46274</v>
      </c>
      <c r="C3232" s="67" t="s">
        <v>1381</v>
      </c>
      <c r="D3232" s="67" t="s">
        <v>358</v>
      </c>
      <c r="E3232" s="67" t="s">
        <v>1368</v>
      </c>
      <c r="F3232" s="67" t="s">
        <v>1462</v>
      </c>
      <c r="G3232" s="69">
        <v>272</v>
      </c>
    </row>
    <row r="3233" spans="1:7">
      <c r="A3233" s="67" t="s">
        <v>4716</v>
      </c>
      <c r="B3233" s="70">
        <v>46274</v>
      </c>
      <c r="C3233" s="67" t="s">
        <v>1384</v>
      </c>
      <c r="D3233" s="67" t="s">
        <v>1466</v>
      </c>
      <c r="E3233" s="67" t="s">
        <v>1386</v>
      </c>
      <c r="F3233" s="67" t="s">
        <v>1462</v>
      </c>
      <c r="G3233" s="69">
        <v>258</v>
      </c>
    </row>
    <row r="3234" spans="1:7">
      <c r="A3234" s="67" t="s">
        <v>4717</v>
      </c>
      <c r="B3234" s="70">
        <v>46274</v>
      </c>
      <c r="C3234" s="67" t="s">
        <v>1384</v>
      </c>
      <c r="D3234" s="67" t="s">
        <v>1602</v>
      </c>
      <c r="E3234" s="67" t="s">
        <v>1386</v>
      </c>
      <c r="F3234" s="67" t="s">
        <v>1460</v>
      </c>
      <c r="G3234" s="69">
        <v>5</v>
      </c>
    </row>
    <row r="3235" spans="1:7">
      <c r="A3235" s="67" t="s">
        <v>4718</v>
      </c>
      <c r="B3235" s="70">
        <v>46274</v>
      </c>
      <c r="C3235" s="67" t="s">
        <v>1393</v>
      </c>
      <c r="D3235" s="67" t="s">
        <v>363</v>
      </c>
      <c r="E3235" s="67" t="s">
        <v>1368</v>
      </c>
      <c r="F3235" s="67" t="s">
        <v>1460</v>
      </c>
      <c r="G3235" s="69">
        <v>19</v>
      </c>
    </row>
    <row r="3236" spans="1:7">
      <c r="A3236" s="67" t="s">
        <v>4719</v>
      </c>
      <c r="B3236" s="70">
        <v>46274</v>
      </c>
      <c r="C3236" s="67" t="s">
        <v>1404</v>
      </c>
      <c r="D3236" s="67" t="s">
        <v>353</v>
      </c>
      <c r="E3236" s="67" t="s">
        <v>1368</v>
      </c>
      <c r="F3236" s="67" t="s">
        <v>1462</v>
      </c>
      <c r="G3236" s="69">
        <v>181</v>
      </c>
    </row>
    <row r="3237" spans="1:7">
      <c r="A3237" s="67" t="s">
        <v>4720</v>
      </c>
      <c r="B3237" s="70">
        <v>46274</v>
      </c>
      <c r="C3237" s="67" t="s">
        <v>1404</v>
      </c>
      <c r="D3237" s="67" t="s">
        <v>356</v>
      </c>
      <c r="E3237" s="67" t="s">
        <v>1368</v>
      </c>
      <c r="F3237" s="67" t="s">
        <v>1462</v>
      </c>
      <c r="G3237" s="69">
        <v>480</v>
      </c>
    </row>
    <row r="3238" spans="1:7">
      <c r="A3238" s="67" t="s">
        <v>4721</v>
      </c>
      <c r="B3238" s="70">
        <v>46274</v>
      </c>
      <c r="C3238" s="67" t="s">
        <v>1411</v>
      </c>
      <c r="D3238" s="67" t="s">
        <v>365</v>
      </c>
      <c r="E3238" s="67" t="s">
        <v>1368</v>
      </c>
      <c r="F3238" s="67" t="s">
        <v>1462</v>
      </c>
      <c r="G3238" s="69">
        <v>545</v>
      </c>
    </row>
    <row r="3239" spans="1:7">
      <c r="A3239" s="67" t="s">
        <v>4722</v>
      </c>
      <c r="B3239" s="70">
        <v>46274</v>
      </c>
      <c r="C3239" s="67" t="s">
        <v>1411</v>
      </c>
      <c r="D3239" s="67" t="s">
        <v>1506</v>
      </c>
      <c r="E3239" s="67" t="s">
        <v>1482</v>
      </c>
      <c r="F3239" s="67" t="s">
        <v>1462</v>
      </c>
      <c r="G3239" s="69">
        <v>432</v>
      </c>
    </row>
    <row r="3240" spans="1:7">
      <c r="A3240" s="67" t="s">
        <v>4723</v>
      </c>
      <c r="B3240" s="70">
        <v>46274</v>
      </c>
      <c r="C3240" s="67" t="s">
        <v>1411</v>
      </c>
      <c r="D3240" s="67" t="s">
        <v>1506</v>
      </c>
      <c r="E3240" s="67" t="s">
        <v>1482</v>
      </c>
      <c r="F3240" s="67" t="s">
        <v>1462</v>
      </c>
      <c r="G3240" s="69">
        <v>392</v>
      </c>
    </row>
    <row r="3241" spans="1:7">
      <c r="A3241" s="67" t="s">
        <v>4724</v>
      </c>
      <c r="B3241" s="70">
        <v>46274</v>
      </c>
      <c r="C3241" s="67" t="s">
        <v>1411</v>
      </c>
      <c r="D3241" s="67" t="s">
        <v>1506</v>
      </c>
      <c r="E3241" s="67" t="s">
        <v>1482</v>
      </c>
      <c r="F3241" s="67" t="s">
        <v>1462</v>
      </c>
      <c r="G3241" s="69">
        <v>490</v>
      </c>
    </row>
    <row r="3242" spans="1:7">
      <c r="A3242" s="67" t="s">
        <v>4725</v>
      </c>
      <c r="B3242" s="70">
        <v>46274</v>
      </c>
      <c r="C3242" s="67" t="s">
        <v>1414</v>
      </c>
      <c r="D3242" s="67" t="s">
        <v>1511</v>
      </c>
      <c r="E3242" s="67" t="s">
        <v>1470</v>
      </c>
      <c r="F3242" s="67" t="s">
        <v>1462</v>
      </c>
      <c r="G3242" s="69">
        <v>227</v>
      </c>
    </row>
    <row r="3243" spans="1:7">
      <c r="A3243" s="67" t="s">
        <v>4726</v>
      </c>
      <c r="B3243" s="70">
        <v>46274</v>
      </c>
      <c r="C3243" s="67" t="s">
        <v>1414</v>
      </c>
      <c r="D3243" s="67" t="s">
        <v>1607</v>
      </c>
      <c r="E3243" s="67" t="s">
        <v>1470</v>
      </c>
      <c r="F3243" s="67" t="s">
        <v>1462</v>
      </c>
      <c r="G3243" s="69">
        <v>363</v>
      </c>
    </row>
    <row r="3244" spans="1:7">
      <c r="A3244" s="67" t="s">
        <v>4727</v>
      </c>
      <c r="B3244" s="70">
        <v>46274</v>
      </c>
      <c r="C3244" s="67" t="s">
        <v>1423</v>
      </c>
      <c r="D3244" s="67" t="s">
        <v>1515</v>
      </c>
      <c r="E3244" s="67" t="s">
        <v>1410</v>
      </c>
      <c r="F3244" s="67" t="s">
        <v>1462</v>
      </c>
      <c r="G3244" s="69">
        <v>524</v>
      </c>
    </row>
    <row r="3245" spans="1:7">
      <c r="A3245" s="67" t="s">
        <v>4728</v>
      </c>
      <c r="B3245" s="70">
        <v>46274</v>
      </c>
      <c r="C3245" s="67" t="s">
        <v>1425</v>
      </c>
      <c r="D3245" s="67" t="s">
        <v>1607</v>
      </c>
      <c r="E3245" s="67" t="s">
        <v>1470</v>
      </c>
      <c r="F3245" s="67" t="s">
        <v>1488</v>
      </c>
      <c r="G3245" s="69">
        <v>3</v>
      </c>
    </row>
    <row r="3246" spans="1:7">
      <c r="A3246" s="67" t="s">
        <v>4729</v>
      </c>
      <c r="B3246" s="70">
        <v>46275</v>
      </c>
      <c r="C3246" s="67" t="s">
        <v>1359</v>
      </c>
      <c r="D3246" s="67" t="s">
        <v>1551</v>
      </c>
      <c r="E3246" s="67" t="s">
        <v>1362</v>
      </c>
      <c r="F3246" s="67" t="s">
        <v>1462</v>
      </c>
      <c r="G3246" s="69">
        <v>281</v>
      </c>
    </row>
    <row r="3247" spans="1:7">
      <c r="A3247" s="67" t="s">
        <v>4730</v>
      </c>
      <c r="B3247" s="70">
        <v>46275</v>
      </c>
      <c r="C3247" s="67" t="s">
        <v>1359</v>
      </c>
      <c r="D3247" s="67" t="s">
        <v>1551</v>
      </c>
      <c r="E3247" s="67" t="s">
        <v>1362</v>
      </c>
      <c r="F3247" s="67" t="s">
        <v>1460</v>
      </c>
      <c r="G3247" s="69">
        <v>28</v>
      </c>
    </row>
    <row r="3248" spans="1:7">
      <c r="A3248" s="67" t="s">
        <v>4731</v>
      </c>
      <c r="B3248" s="70">
        <v>46275</v>
      </c>
      <c r="C3248" s="67" t="s">
        <v>1366</v>
      </c>
      <c r="D3248" s="67" t="s">
        <v>353</v>
      </c>
      <c r="E3248" s="67" t="s">
        <v>1368</v>
      </c>
      <c r="F3248" s="67" t="s">
        <v>1462</v>
      </c>
      <c r="G3248" s="69">
        <v>97</v>
      </c>
    </row>
    <row r="3249" spans="1:7">
      <c r="A3249" s="67" t="s">
        <v>4732</v>
      </c>
      <c r="B3249" s="70">
        <v>46275</v>
      </c>
      <c r="C3249" s="67" t="s">
        <v>1366</v>
      </c>
      <c r="D3249" s="67" t="s">
        <v>369</v>
      </c>
      <c r="E3249" s="67" t="s">
        <v>1368</v>
      </c>
      <c r="F3249" s="67" t="s">
        <v>1462</v>
      </c>
      <c r="G3249" s="69">
        <v>478</v>
      </c>
    </row>
    <row r="3250" spans="1:7">
      <c r="A3250" s="67" t="s">
        <v>4733</v>
      </c>
      <c r="B3250" s="70">
        <v>46275</v>
      </c>
      <c r="C3250" s="67" t="s">
        <v>1371</v>
      </c>
      <c r="D3250" s="67" t="s">
        <v>1466</v>
      </c>
      <c r="E3250" s="67" t="s">
        <v>1386</v>
      </c>
      <c r="F3250" s="67" t="s">
        <v>1460</v>
      </c>
      <c r="G3250" s="69">
        <v>14</v>
      </c>
    </row>
    <row r="3251" spans="1:7">
      <c r="A3251" s="67" t="s">
        <v>4734</v>
      </c>
      <c r="B3251" s="70">
        <v>46275</v>
      </c>
      <c r="C3251" s="67" t="s">
        <v>1375</v>
      </c>
      <c r="D3251" s="67" t="s">
        <v>1476</v>
      </c>
      <c r="E3251" s="67" t="s">
        <v>1362</v>
      </c>
      <c r="F3251" s="67" t="s">
        <v>1460</v>
      </c>
      <c r="G3251" s="69">
        <v>18</v>
      </c>
    </row>
    <row r="3252" spans="1:7">
      <c r="A3252" s="67" t="s">
        <v>4735</v>
      </c>
      <c r="B3252" s="70">
        <v>46275</v>
      </c>
      <c r="C3252" s="67" t="s">
        <v>1375</v>
      </c>
      <c r="D3252" s="67" t="s">
        <v>1551</v>
      </c>
      <c r="E3252" s="67" t="s">
        <v>1362</v>
      </c>
      <c r="F3252" s="67" t="s">
        <v>1460</v>
      </c>
      <c r="G3252" s="69">
        <v>6</v>
      </c>
    </row>
    <row r="3253" spans="1:7">
      <c r="A3253" s="67" t="s">
        <v>4736</v>
      </c>
      <c r="B3253" s="70">
        <v>46275</v>
      </c>
      <c r="C3253" s="67" t="s">
        <v>1381</v>
      </c>
      <c r="D3253" s="67" t="s">
        <v>1484</v>
      </c>
      <c r="E3253" s="67" t="s">
        <v>1470</v>
      </c>
      <c r="F3253" s="67" t="s">
        <v>1462</v>
      </c>
      <c r="G3253" s="69">
        <v>393</v>
      </c>
    </row>
    <row r="3254" spans="1:7">
      <c r="A3254" s="67" t="s">
        <v>4737</v>
      </c>
      <c r="B3254" s="70">
        <v>46275</v>
      </c>
      <c r="C3254" s="67" t="s">
        <v>1389</v>
      </c>
      <c r="D3254" s="67" t="s">
        <v>1551</v>
      </c>
      <c r="E3254" s="67" t="s">
        <v>1362</v>
      </c>
      <c r="F3254" s="67" t="s">
        <v>1462</v>
      </c>
      <c r="G3254" s="69">
        <v>216</v>
      </c>
    </row>
    <row r="3255" spans="1:7">
      <c r="A3255" s="67" t="s">
        <v>4738</v>
      </c>
      <c r="B3255" s="70">
        <v>46275</v>
      </c>
      <c r="C3255" s="67" t="s">
        <v>1399</v>
      </c>
      <c r="D3255" s="67" t="s">
        <v>1476</v>
      </c>
      <c r="E3255" s="67" t="s">
        <v>1362</v>
      </c>
      <c r="F3255" s="67" t="s">
        <v>1462</v>
      </c>
      <c r="G3255" s="69">
        <v>581</v>
      </c>
    </row>
    <row r="3256" spans="1:7">
      <c r="A3256" s="67" t="s">
        <v>4739</v>
      </c>
      <c r="B3256" s="70">
        <v>46275</v>
      </c>
      <c r="C3256" s="67" t="s">
        <v>1411</v>
      </c>
      <c r="D3256" s="67" t="s">
        <v>356</v>
      </c>
      <c r="E3256" s="67" t="s">
        <v>1368</v>
      </c>
      <c r="F3256" s="67" t="s">
        <v>1462</v>
      </c>
      <c r="G3256" s="69">
        <v>316</v>
      </c>
    </row>
    <row r="3257" spans="1:7">
      <c r="A3257" s="67" t="s">
        <v>4740</v>
      </c>
      <c r="B3257" s="70">
        <v>46275</v>
      </c>
      <c r="C3257" s="67" t="s">
        <v>1414</v>
      </c>
      <c r="D3257" s="67" t="s">
        <v>1469</v>
      </c>
      <c r="E3257" s="67" t="s">
        <v>1470</v>
      </c>
      <c r="F3257" s="67" t="s">
        <v>1460</v>
      </c>
      <c r="G3257" s="69">
        <v>6</v>
      </c>
    </row>
    <row r="3258" spans="1:7">
      <c r="A3258" s="67" t="s">
        <v>4741</v>
      </c>
      <c r="B3258" s="70">
        <v>46275</v>
      </c>
      <c r="C3258" s="67" t="s">
        <v>1427</v>
      </c>
      <c r="D3258" s="67" t="s">
        <v>1476</v>
      </c>
      <c r="E3258" s="67" t="s">
        <v>1362</v>
      </c>
      <c r="F3258" s="67" t="s">
        <v>1462</v>
      </c>
      <c r="G3258" s="69">
        <v>174</v>
      </c>
    </row>
    <row r="3259" spans="1:7">
      <c r="A3259" s="67" t="s">
        <v>4742</v>
      </c>
      <c r="B3259" s="70">
        <v>46275</v>
      </c>
      <c r="C3259" s="67" t="s">
        <v>1448</v>
      </c>
      <c r="D3259" s="67" t="s">
        <v>1618</v>
      </c>
      <c r="E3259" s="67" t="s">
        <v>1433</v>
      </c>
      <c r="F3259" s="67" t="s">
        <v>1462</v>
      </c>
      <c r="G3259" s="69">
        <v>138</v>
      </c>
    </row>
    <row r="3260" spans="1:7">
      <c r="A3260" s="67" t="s">
        <v>4743</v>
      </c>
      <c r="B3260" s="70">
        <v>46276</v>
      </c>
      <c r="C3260" s="67" t="s">
        <v>1375</v>
      </c>
      <c r="D3260" s="67" t="s">
        <v>356</v>
      </c>
      <c r="E3260" s="67" t="s">
        <v>1368</v>
      </c>
      <c r="F3260" s="67" t="s">
        <v>1460</v>
      </c>
      <c r="G3260" s="69">
        <v>17</v>
      </c>
    </row>
    <row r="3261" spans="1:7">
      <c r="A3261" s="67" t="s">
        <v>4744</v>
      </c>
      <c r="B3261" s="70">
        <v>46276</v>
      </c>
      <c r="C3261" s="67" t="s">
        <v>1393</v>
      </c>
      <c r="D3261" s="67" t="s">
        <v>365</v>
      </c>
      <c r="E3261" s="67" t="s">
        <v>1368</v>
      </c>
      <c r="F3261" s="67" t="s">
        <v>1462</v>
      </c>
      <c r="G3261" s="69">
        <v>116</v>
      </c>
    </row>
    <row r="3262" spans="1:7">
      <c r="A3262" s="67" t="s">
        <v>4745</v>
      </c>
      <c r="B3262" s="70">
        <v>46276</v>
      </c>
      <c r="C3262" s="67" t="s">
        <v>1397</v>
      </c>
      <c r="D3262" s="67" t="s">
        <v>353</v>
      </c>
      <c r="E3262" s="67" t="s">
        <v>1368</v>
      </c>
      <c r="F3262" s="67" t="s">
        <v>1460</v>
      </c>
      <c r="G3262" s="69">
        <v>29</v>
      </c>
    </row>
    <row r="3263" spans="1:7">
      <c r="A3263" s="67" t="s">
        <v>4746</v>
      </c>
      <c r="B3263" s="70">
        <v>46276</v>
      </c>
      <c r="C3263" s="67" t="s">
        <v>1399</v>
      </c>
      <c r="D3263" s="67" t="s">
        <v>1466</v>
      </c>
      <c r="E3263" s="67" t="s">
        <v>1386</v>
      </c>
      <c r="F3263" s="67" t="s">
        <v>1488</v>
      </c>
      <c r="G3263" s="69">
        <v>7</v>
      </c>
    </row>
    <row r="3264" spans="1:7">
      <c r="A3264" s="67" t="s">
        <v>4747</v>
      </c>
      <c r="B3264" s="70">
        <v>46276</v>
      </c>
      <c r="C3264" s="67" t="s">
        <v>1404</v>
      </c>
      <c r="D3264" s="67" t="s">
        <v>365</v>
      </c>
      <c r="E3264" s="67" t="s">
        <v>1368</v>
      </c>
      <c r="F3264" s="67" t="s">
        <v>1460</v>
      </c>
      <c r="G3264" s="69">
        <v>25</v>
      </c>
    </row>
    <row r="3265" spans="1:7">
      <c r="A3265" s="67" t="s">
        <v>4748</v>
      </c>
      <c r="B3265" s="70">
        <v>46276</v>
      </c>
      <c r="C3265" s="67" t="s">
        <v>1411</v>
      </c>
      <c r="D3265" s="67" t="s">
        <v>1506</v>
      </c>
      <c r="E3265" s="67" t="s">
        <v>1482</v>
      </c>
      <c r="F3265" s="67" t="s">
        <v>1462</v>
      </c>
      <c r="G3265" s="69">
        <v>138</v>
      </c>
    </row>
    <row r="3266" spans="1:7">
      <c r="A3266" s="67" t="s">
        <v>4749</v>
      </c>
      <c r="B3266" s="70">
        <v>46276</v>
      </c>
      <c r="C3266" s="67" t="s">
        <v>1425</v>
      </c>
      <c r="D3266" s="67" t="s">
        <v>1511</v>
      </c>
      <c r="E3266" s="67" t="s">
        <v>1470</v>
      </c>
      <c r="F3266" s="67" t="s">
        <v>1462</v>
      </c>
      <c r="G3266" s="69">
        <v>375</v>
      </c>
    </row>
    <row r="3267" spans="1:7">
      <c r="A3267" s="67" t="s">
        <v>4750</v>
      </c>
      <c r="B3267" s="70">
        <v>46277</v>
      </c>
      <c r="C3267" s="67" t="s">
        <v>1359</v>
      </c>
      <c r="D3267" s="67" t="s">
        <v>1459</v>
      </c>
      <c r="E3267" s="67" t="s">
        <v>1362</v>
      </c>
      <c r="F3267" s="67" t="s">
        <v>1462</v>
      </c>
      <c r="G3267" s="69">
        <v>75</v>
      </c>
    </row>
    <row r="3268" spans="1:7">
      <c r="A3268" s="67" t="s">
        <v>4751</v>
      </c>
      <c r="B3268" s="70">
        <v>46277</v>
      </c>
      <c r="C3268" s="67" t="s">
        <v>1366</v>
      </c>
      <c r="D3268" s="67" t="s">
        <v>363</v>
      </c>
      <c r="E3268" s="67" t="s">
        <v>1368</v>
      </c>
      <c r="F3268" s="67" t="s">
        <v>1462</v>
      </c>
      <c r="G3268" s="69">
        <v>471</v>
      </c>
    </row>
    <row r="3269" spans="1:7">
      <c r="A3269" s="67" t="s">
        <v>4752</v>
      </c>
      <c r="B3269" s="70">
        <v>46277</v>
      </c>
      <c r="C3269" s="67" t="s">
        <v>1366</v>
      </c>
      <c r="D3269" s="67" t="s">
        <v>358</v>
      </c>
      <c r="E3269" s="67" t="s">
        <v>1368</v>
      </c>
      <c r="F3269" s="67" t="s">
        <v>1462</v>
      </c>
      <c r="G3269" s="69">
        <v>55</v>
      </c>
    </row>
    <row r="3270" spans="1:7">
      <c r="A3270" s="67" t="s">
        <v>4753</v>
      </c>
      <c r="B3270" s="70">
        <v>46277</v>
      </c>
      <c r="C3270" s="67" t="s">
        <v>1371</v>
      </c>
      <c r="D3270" s="67" t="s">
        <v>1551</v>
      </c>
      <c r="E3270" s="67" t="s">
        <v>1362</v>
      </c>
      <c r="F3270" s="67" t="s">
        <v>1462</v>
      </c>
      <c r="G3270" s="69">
        <v>598</v>
      </c>
    </row>
    <row r="3271" spans="1:7">
      <c r="A3271" s="67" t="s">
        <v>4754</v>
      </c>
      <c r="B3271" s="70">
        <v>46277</v>
      </c>
      <c r="C3271" s="67" t="s">
        <v>1381</v>
      </c>
      <c r="D3271" s="67" t="s">
        <v>358</v>
      </c>
      <c r="E3271" s="67" t="s">
        <v>1368</v>
      </c>
      <c r="F3271" s="67" t="s">
        <v>1462</v>
      </c>
      <c r="G3271" s="69">
        <v>472</v>
      </c>
    </row>
    <row r="3272" spans="1:7">
      <c r="A3272" s="67" t="s">
        <v>4755</v>
      </c>
      <c r="B3272" s="70">
        <v>46277</v>
      </c>
      <c r="C3272" s="67" t="s">
        <v>1389</v>
      </c>
      <c r="D3272" s="67" t="s">
        <v>356</v>
      </c>
      <c r="E3272" s="67" t="s">
        <v>1368</v>
      </c>
      <c r="F3272" s="67" t="s">
        <v>1460</v>
      </c>
      <c r="G3272" s="69">
        <v>15</v>
      </c>
    </row>
    <row r="3273" spans="1:7">
      <c r="A3273" s="67" t="s">
        <v>4756</v>
      </c>
      <c r="B3273" s="70">
        <v>46277</v>
      </c>
      <c r="C3273" s="67" t="s">
        <v>1389</v>
      </c>
      <c r="D3273" s="67" t="s">
        <v>356</v>
      </c>
      <c r="E3273" s="67" t="s">
        <v>1368</v>
      </c>
      <c r="F3273" s="67" t="s">
        <v>1460</v>
      </c>
      <c r="G3273" s="69">
        <v>19</v>
      </c>
    </row>
    <row r="3274" spans="1:7">
      <c r="A3274" s="67" t="s">
        <v>4757</v>
      </c>
      <c r="B3274" s="70">
        <v>46277</v>
      </c>
      <c r="C3274" s="67" t="s">
        <v>1404</v>
      </c>
      <c r="D3274" s="67" t="s">
        <v>367</v>
      </c>
      <c r="E3274" s="67" t="s">
        <v>1368</v>
      </c>
      <c r="F3274" s="67" t="s">
        <v>1462</v>
      </c>
      <c r="G3274" s="69">
        <v>315</v>
      </c>
    </row>
    <row r="3275" spans="1:7">
      <c r="A3275" s="67" t="s">
        <v>4758</v>
      </c>
      <c r="B3275" s="70">
        <v>46277</v>
      </c>
      <c r="C3275" s="67" t="s">
        <v>1406</v>
      </c>
      <c r="D3275" s="67" t="s">
        <v>358</v>
      </c>
      <c r="E3275" s="67" t="s">
        <v>1368</v>
      </c>
      <c r="F3275" s="67" t="s">
        <v>1462</v>
      </c>
      <c r="G3275" s="69">
        <v>360</v>
      </c>
    </row>
    <row r="3276" spans="1:7">
      <c r="A3276" s="67" t="s">
        <v>4759</v>
      </c>
      <c r="B3276" s="70">
        <v>46277</v>
      </c>
      <c r="C3276" s="67" t="s">
        <v>1408</v>
      </c>
      <c r="D3276" s="67" t="s">
        <v>1515</v>
      </c>
      <c r="E3276" s="67" t="s">
        <v>1410</v>
      </c>
      <c r="F3276" s="67" t="s">
        <v>1460</v>
      </c>
      <c r="G3276" s="69">
        <v>26</v>
      </c>
    </row>
    <row r="3277" spans="1:7">
      <c r="A3277" s="67" t="s">
        <v>4760</v>
      </c>
      <c r="B3277" s="70">
        <v>46277</v>
      </c>
      <c r="C3277" s="67" t="s">
        <v>1411</v>
      </c>
      <c r="D3277" s="67" t="s">
        <v>1506</v>
      </c>
      <c r="E3277" s="67" t="s">
        <v>1482</v>
      </c>
      <c r="F3277" s="67" t="s">
        <v>1462</v>
      </c>
      <c r="G3277" s="69">
        <v>548</v>
      </c>
    </row>
    <row r="3278" spans="1:7">
      <c r="A3278" s="67" t="s">
        <v>4761</v>
      </c>
      <c r="B3278" s="70">
        <v>46277</v>
      </c>
      <c r="C3278" s="67" t="s">
        <v>1448</v>
      </c>
      <c r="D3278" s="67" t="s">
        <v>1618</v>
      </c>
      <c r="E3278" s="67" t="s">
        <v>1433</v>
      </c>
      <c r="F3278" s="67" t="s">
        <v>1462</v>
      </c>
      <c r="G3278" s="69">
        <v>455</v>
      </c>
    </row>
    <row r="3279" spans="1:7">
      <c r="A3279" s="67" t="s">
        <v>4762</v>
      </c>
      <c r="B3279" s="70">
        <v>46278</v>
      </c>
      <c r="C3279" s="67" t="s">
        <v>1359</v>
      </c>
      <c r="D3279" s="67" t="s">
        <v>1476</v>
      </c>
      <c r="E3279" s="67" t="s">
        <v>1362</v>
      </c>
      <c r="F3279" s="67" t="s">
        <v>1462</v>
      </c>
      <c r="G3279" s="69">
        <v>54</v>
      </c>
    </row>
    <row r="3280" spans="1:7">
      <c r="A3280" s="67" t="s">
        <v>4763</v>
      </c>
      <c r="B3280" s="70">
        <v>46278</v>
      </c>
      <c r="C3280" s="67" t="s">
        <v>1359</v>
      </c>
      <c r="D3280" s="67" t="s">
        <v>1476</v>
      </c>
      <c r="E3280" s="67" t="s">
        <v>1362</v>
      </c>
      <c r="F3280" s="67" t="s">
        <v>1488</v>
      </c>
      <c r="G3280" s="69">
        <v>3</v>
      </c>
    </row>
    <row r="3281" spans="1:7">
      <c r="A3281" s="67" t="s">
        <v>4764</v>
      </c>
      <c r="B3281" s="70">
        <v>46278</v>
      </c>
      <c r="C3281" s="67" t="s">
        <v>1359</v>
      </c>
      <c r="D3281" s="67" t="s">
        <v>1551</v>
      </c>
      <c r="E3281" s="67" t="s">
        <v>1362</v>
      </c>
      <c r="F3281" s="67" t="s">
        <v>1462</v>
      </c>
      <c r="G3281" s="69">
        <v>434</v>
      </c>
    </row>
    <row r="3282" spans="1:7">
      <c r="A3282" s="67" t="s">
        <v>4765</v>
      </c>
      <c r="B3282" s="70">
        <v>46278</v>
      </c>
      <c r="C3282" s="67" t="s">
        <v>1359</v>
      </c>
      <c r="D3282" s="67" t="s">
        <v>1459</v>
      </c>
      <c r="E3282" s="67" t="s">
        <v>1362</v>
      </c>
      <c r="F3282" s="67" t="s">
        <v>1462</v>
      </c>
      <c r="G3282" s="69">
        <v>484</v>
      </c>
    </row>
    <row r="3283" spans="1:7">
      <c r="A3283" s="67" t="s">
        <v>4766</v>
      </c>
      <c r="B3283" s="70">
        <v>46278</v>
      </c>
      <c r="C3283" s="67" t="s">
        <v>1359</v>
      </c>
      <c r="D3283" s="67" t="s">
        <v>358</v>
      </c>
      <c r="E3283" s="67" t="s">
        <v>1368</v>
      </c>
      <c r="F3283" s="67" t="s">
        <v>1462</v>
      </c>
      <c r="G3283" s="69">
        <v>62</v>
      </c>
    </row>
    <row r="3284" spans="1:7">
      <c r="A3284" s="67" t="s">
        <v>4767</v>
      </c>
      <c r="B3284" s="70">
        <v>46278</v>
      </c>
      <c r="C3284" s="67" t="s">
        <v>1366</v>
      </c>
      <c r="D3284" s="67" t="s">
        <v>363</v>
      </c>
      <c r="E3284" s="67" t="s">
        <v>1368</v>
      </c>
      <c r="F3284" s="67" t="s">
        <v>1488</v>
      </c>
      <c r="G3284" s="69">
        <v>8</v>
      </c>
    </row>
    <row r="3285" spans="1:7">
      <c r="A3285" s="67" t="s">
        <v>4768</v>
      </c>
      <c r="B3285" s="70">
        <v>46278</v>
      </c>
      <c r="C3285" s="67" t="s">
        <v>1366</v>
      </c>
      <c r="D3285" s="67" t="s">
        <v>365</v>
      </c>
      <c r="E3285" s="67" t="s">
        <v>1368</v>
      </c>
      <c r="F3285" s="67" t="s">
        <v>1488</v>
      </c>
      <c r="G3285" s="69">
        <v>4</v>
      </c>
    </row>
    <row r="3286" spans="1:7">
      <c r="A3286" s="67" t="s">
        <v>4769</v>
      </c>
      <c r="B3286" s="70">
        <v>46278</v>
      </c>
      <c r="C3286" s="67" t="s">
        <v>1366</v>
      </c>
      <c r="D3286" s="67" t="s">
        <v>1491</v>
      </c>
      <c r="E3286" s="67" t="s">
        <v>1470</v>
      </c>
      <c r="F3286" s="67" t="s">
        <v>1462</v>
      </c>
      <c r="G3286" s="69">
        <v>359</v>
      </c>
    </row>
    <row r="3287" spans="1:7">
      <c r="A3287" s="67" t="s">
        <v>4770</v>
      </c>
      <c r="B3287" s="70">
        <v>46278</v>
      </c>
      <c r="C3287" s="67" t="s">
        <v>1378</v>
      </c>
      <c r="D3287" s="67" t="s">
        <v>1476</v>
      </c>
      <c r="E3287" s="67" t="s">
        <v>1362</v>
      </c>
      <c r="F3287" s="67" t="s">
        <v>1462</v>
      </c>
      <c r="G3287" s="69">
        <v>540</v>
      </c>
    </row>
    <row r="3288" spans="1:7">
      <c r="A3288" s="67" t="s">
        <v>4771</v>
      </c>
      <c r="B3288" s="70">
        <v>46278</v>
      </c>
      <c r="C3288" s="67" t="s">
        <v>1381</v>
      </c>
      <c r="D3288" s="67" t="s">
        <v>358</v>
      </c>
      <c r="E3288" s="67" t="s">
        <v>1368</v>
      </c>
      <c r="F3288" s="67" t="s">
        <v>1462</v>
      </c>
      <c r="G3288" s="69">
        <v>96</v>
      </c>
    </row>
    <row r="3289" spans="1:7">
      <c r="A3289" s="67" t="s">
        <v>4772</v>
      </c>
      <c r="B3289" s="70">
        <v>46278</v>
      </c>
      <c r="C3289" s="67" t="s">
        <v>1397</v>
      </c>
      <c r="D3289" s="67" t="s">
        <v>353</v>
      </c>
      <c r="E3289" s="67" t="s">
        <v>1368</v>
      </c>
      <c r="F3289" s="67" t="s">
        <v>1462</v>
      </c>
      <c r="G3289" s="69">
        <v>430</v>
      </c>
    </row>
    <row r="3290" spans="1:7">
      <c r="A3290" s="67" t="s">
        <v>4773</v>
      </c>
      <c r="B3290" s="70">
        <v>46278</v>
      </c>
      <c r="C3290" s="67" t="s">
        <v>1404</v>
      </c>
      <c r="D3290" s="67" t="s">
        <v>1511</v>
      </c>
      <c r="E3290" s="67" t="s">
        <v>1470</v>
      </c>
      <c r="F3290" s="67" t="s">
        <v>1460</v>
      </c>
      <c r="G3290" s="69">
        <v>30</v>
      </c>
    </row>
    <row r="3291" spans="1:7">
      <c r="A3291" s="67" t="s">
        <v>4774</v>
      </c>
      <c r="B3291" s="70">
        <v>46278</v>
      </c>
      <c r="C3291" s="67" t="s">
        <v>1404</v>
      </c>
      <c r="D3291" s="67" t="s">
        <v>369</v>
      </c>
      <c r="E3291" s="67" t="s">
        <v>1368</v>
      </c>
      <c r="F3291" s="67" t="s">
        <v>1462</v>
      </c>
      <c r="G3291" s="69">
        <v>332</v>
      </c>
    </row>
    <row r="3292" spans="1:7">
      <c r="A3292" s="67" t="s">
        <v>4775</v>
      </c>
      <c r="B3292" s="70">
        <v>46278</v>
      </c>
      <c r="C3292" s="67" t="s">
        <v>1404</v>
      </c>
      <c r="D3292" s="67" t="s">
        <v>1551</v>
      </c>
      <c r="E3292" s="67" t="s">
        <v>1362</v>
      </c>
      <c r="F3292" s="67" t="s">
        <v>1462</v>
      </c>
      <c r="G3292" s="69">
        <v>227</v>
      </c>
    </row>
    <row r="3293" spans="1:7">
      <c r="A3293" s="67" t="s">
        <v>4776</v>
      </c>
      <c r="B3293" s="70">
        <v>46278</v>
      </c>
      <c r="C3293" s="67" t="s">
        <v>1404</v>
      </c>
      <c r="D3293" s="67" t="s">
        <v>358</v>
      </c>
      <c r="E3293" s="67" t="s">
        <v>1368</v>
      </c>
      <c r="F3293" s="67" t="s">
        <v>1462</v>
      </c>
      <c r="G3293" s="69">
        <v>523</v>
      </c>
    </row>
    <row r="3294" spans="1:7">
      <c r="A3294" s="67" t="s">
        <v>4777</v>
      </c>
      <c r="B3294" s="70">
        <v>46278</v>
      </c>
      <c r="C3294" s="67" t="s">
        <v>1411</v>
      </c>
      <c r="D3294" s="67" t="s">
        <v>1506</v>
      </c>
      <c r="E3294" s="67" t="s">
        <v>1482</v>
      </c>
      <c r="F3294" s="67" t="s">
        <v>1462</v>
      </c>
      <c r="G3294" s="69">
        <v>155</v>
      </c>
    </row>
    <row r="3295" spans="1:7">
      <c r="A3295" s="67" t="s">
        <v>4778</v>
      </c>
      <c r="B3295" s="70">
        <v>46278</v>
      </c>
      <c r="C3295" s="67" t="s">
        <v>1411</v>
      </c>
      <c r="D3295" s="67" t="s">
        <v>1506</v>
      </c>
      <c r="E3295" s="67" t="s">
        <v>1482</v>
      </c>
      <c r="F3295" s="67" t="s">
        <v>1462</v>
      </c>
      <c r="G3295" s="69">
        <v>127</v>
      </c>
    </row>
    <row r="3296" spans="1:7">
      <c r="A3296" s="67" t="s">
        <v>4779</v>
      </c>
      <c r="B3296" s="70">
        <v>46278</v>
      </c>
      <c r="C3296" s="67" t="s">
        <v>1425</v>
      </c>
      <c r="D3296" s="67" t="s">
        <v>1511</v>
      </c>
      <c r="E3296" s="67" t="s">
        <v>1470</v>
      </c>
      <c r="F3296" s="67" t="s">
        <v>1462</v>
      </c>
      <c r="G3296" s="69">
        <v>515</v>
      </c>
    </row>
    <row r="3297" spans="1:7">
      <c r="A3297" s="67" t="s">
        <v>4780</v>
      </c>
      <c r="B3297" s="70">
        <v>46279</v>
      </c>
      <c r="C3297" s="67" t="s">
        <v>1359</v>
      </c>
      <c r="D3297" s="67" t="s">
        <v>353</v>
      </c>
      <c r="E3297" s="67" t="s">
        <v>1368</v>
      </c>
      <c r="F3297" s="67" t="s">
        <v>1462</v>
      </c>
      <c r="G3297" s="69">
        <v>528</v>
      </c>
    </row>
    <row r="3298" spans="1:7">
      <c r="A3298" s="67" t="s">
        <v>4781</v>
      </c>
      <c r="B3298" s="70">
        <v>46279</v>
      </c>
      <c r="C3298" s="67" t="s">
        <v>1359</v>
      </c>
      <c r="D3298" s="67" t="s">
        <v>1466</v>
      </c>
      <c r="E3298" s="67" t="s">
        <v>1386</v>
      </c>
      <c r="F3298" s="67" t="s">
        <v>1462</v>
      </c>
      <c r="G3298" s="69">
        <v>354</v>
      </c>
    </row>
    <row r="3299" spans="1:7">
      <c r="A3299" s="67" t="s">
        <v>4782</v>
      </c>
      <c r="B3299" s="70">
        <v>46279</v>
      </c>
      <c r="C3299" s="67" t="s">
        <v>1359</v>
      </c>
      <c r="D3299" s="67" t="s">
        <v>1466</v>
      </c>
      <c r="E3299" s="67" t="s">
        <v>1386</v>
      </c>
      <c r="F3299" s="67" t="s">
        <v>1462</v>
      </c>
      <c r="G3299" s="69">
        <v>384</v>
      </c>
    </row>
    <row r="3300" spans="1:7">
      <c r="A3300" s="67" t="s">
        <v>4783</v>
      </c>
      <c r="B3300" s="70">
        <v>46279</v>
      </c>
      <c r="C3300" s="67" t="s">
        <v>1366</v>
      </c>
      <c r="D3300" s="67" t="s">
        <v>358</v>
      </c>
      <c r="E3300" s="67" t="s">
        <v>1368</v>
      </c>
      <c r="F3300" s="67" t="s">
        <v>1462</v>
      </c>
      <c r="G3300" s="69">
        <v>502</v>
      </c>
    </row>
    <row r="3301" spans="1:7">
      <c r="A3301" s="67" t="s">
        <v>4784</v>
      </c>
      <c r="B3301" s="70">
        <v>46279</v>
      </c>
      <c r="C3301" s="67" t="s">
        <v>1371</v>
      </c>
      <c r="D3301" s="67" t="s">
        <v>1551</v>
      </c>
      <c r="E3301" s="67" t="s">
        <v>1362</v>
      </c>
      <c r="F3301" s="67" t="s">
        <v>1462</v>
      </c>
      <c r="G3301" s="69">
        <v>472</v>
      </c>
    </row>
    <row r="3302" spans="1:7">
      <c r="A3302" s="67" t="s">
        <v>4785</v>
      </c>
      <c r="B3302" s="70">
        <v>46279</v>
      </c>
      <c r="C3302" s="67" t="s">
        <v>1375</v>
      </c>
      <c r="D3302" s="67" t="s">
        <v>356</v>
      </c>
      <c r="E3302" s="67" t="s">
        <v>1368</v>
      </c>
      <c r="F3302" s="67" t="s">
        <v>1462</v>
      </c>
      <c r="G3302" s="69">
        <v>78</v>
      </c>
    </row>
    <row r="3303" spans="1:7">
      <c r="A3303" s="67" t="s">
        <v>4786</v>
      </c>
      <c r="B3303" s="70">
        <v>46279</v>
      </c>
      <c r="C3303" s="67" t="s">
        <v>1375</v>
      </c>
      <c r="D3303" s="67" t="s">
        <v>1551</v>
      </c>
      <c r="E3303" s="67" t="s">
        <v>1362</v>
      </c>
      <c r="F3303" s="67" t="s">
        <v>1462</v>
      </c>
      <c r="G3303" s="69">
        <v>188</v>
      </c>
    </row>
    <row r="3304" spans="1:7">
      <c r="A3304" s="67" t="s">
        <v>4787</v>
      </c>
      <c r="B3304" s="70">
        <v>46279</v>
      </c>
      <c r="C3304" s="67" t="s">
        <v>1378</v>
      </c>
      <c r="D3304" s="67" t="s">
        <v>1484</v>
      </c>
      <c r="E3304" s="67" t="s">
        <v>1470</v>
      </c>
      <c r="F3304" s="67" t="s">
        <v>1462</v>
      </c>
      <c r="G3304" s="69">
        <v>529</v>
      </c>
    </row>
    <row r="3305" spans="1:7">
      <c r="A3305" s="67" t="s">
        <v>4788</v>
      </c>
      <c r="B3305" s="70">
        <v>46279</v>
      </c>
      <c r="C3305" s="67" t="s">
        <v>1378</v>
      </c>
      <c r="D3305" s="67" t="s">
        <v>367</v>
      </c>
      <c r="E3305" s="67" t="s">
        <v>1368</v>
      </c>
      <c r="F3305" s="67" t="s">
        <v>1462</v>
      </c>
      <c r="G3305" s="69">
        <v>314</v>
      </c>
    </row>
    <row r="3306" spans="1:7">
      <c r="A3306" s="67" t="s">
        <v>4789</v>
      </c>
      <c r="B3306" s="70">
        <v>46279</v>
      </c>
      <c r="C3306" s="67" t="s">
        <v>1381</v>
      </c>
      <c r="D3306" s="67" t="s">
        <v>367</v>
      </c>
      <c r="E3306" s="67" t="s">
        <v>1368</v>
      </c>
      <c r="F3306" s="67" t="s">
        <v>1462</v>
      </c>
      <c r="G3306" s="69">
        <v>125</v>
      </c>
    </row>
    <row r="3307" spans="1:7">
      <c r="A3307" s="67" t="s">
        <v>4790</v>
      </c>
      <c r="B3307" s="70">
        <v>46279</v>
      </c>
      <c r="C3307" s="67" t="s">
        <v>1384</v>
      </c>
      <c r="D3307" s="67" t="s">
        <v>1551</v>
      </c>
      <c r="E3307" s="67" t="s">
        <v>1362</v>
      </c>
      <c r="F3307" s="67" t="s">
        <v>1462</v>
      </c>
      <c r="G3307" s="69">
        <v>416</v>
      </c>
    </row>
    <row r="3308" spans="1:7">
      <c r="A3308" s="67" t="s">
        <v>4791</v>
      </c>
      <c r="B3308" s="70">
        <v>46279</v>
      </c>
      <c r="C3308" s="67" t="s">
        <v>1393</v>
      </c>
      <c r="D3308" s="67" t="s">
        <v>356</v>
      </c>
      <c r="E3308" s="67" t="s">
        <v>1368</v>
      </c>
      <c r="F3308" s="67" t="s">
        <v>1488</v>
      </c>
      <c r="G3308" s="69">
        <v>8</v>
      </c>
    </row>
    <row r="3309" spans="1:7">
      <c r="A3309" s="67" t="s">
        <v>4792</v>
      </c>
      <c r="B3309" s="70">
        <v>46279</v>
      </c>
      <c r="C3309" s="67" t="s">
        <v>1393</v>
      </c>
      <c r="D3309" s="67" t="s">
        <v>356</v>
      </c>
      <c r="E3309" s="67" t="s">
        <v>1368</v>
      </c>
      <c r="F3309" s="67" t="s">
        <v>1460</v>
      </c>
      <c r="G3309" s="69">
        <v>20</v>
      </c>
    </row>
    <row r="3310" spans="1:7">
      <c r="A3310" s="67" t="s">
        <v>4793</v>
      </c>
      <c r="B3310" s="70">
        <v>46279</v>
      </c>
      <c r="C3310" s="67" t="s">
        <v>1399</v>
      </c>
      <c r="D3310" s="67" t="s">
        <v>1551</v>
      </c>
      <c r="E3310" s="67" t="s">
        <v>1362</v>
      </c>
      <c r="F3310" s="67" t="s">
        <v>1460</v>
      </c>
      <c r="G3310" s="69">
        <v>24</v>
      </c>
    </row>
    <row r="3311" spans="1:7">
      <c r="A3311" s="67" t="s">
        <v>4794</v>
      </c>
      <c r="B3311" s="70">
        <v>46279</v>
      </c>
      <c r="C3311" s="67" t="s">
        <v>1404</v>
      </c>
      <c r="D3311" s="67" t="s">
        <v>360</v>
      </c>
      <c r="E3311" s="67" t="s">
        <v>1368</v>
      </c>
      <c r="F3311" s="67" t="s">
        <v>1462</v>
      </c>
      <c r="G3311" s="69">
        <v>190</v>
      </c>
    </row>
    <row r="3312" spans="1:7">
      <c r="A3312" s="67" t="s">
        <v>4795</v>
      </c>
      <c r="B3312" s="70">
        <v>46279</v>
      </c>
      <c r="C3312" s="67" t="s">
        <v>1404</v>
      </c>
      <c r="D3312" s="67" t="s">
        <v>363</v>
      </c>
      <c r="E3312" s="67" t="s">
        <v>1368</v>
      </c>
      <c r="F3312" s="67" t="s">
        <v>1460</v>
      </c>
      <c r="G3312" s="69">
        <v>9</v>
      </c>
    </row>
    <row r="3313" spans="1:7">
      <c r="A3313" s="67" t="s">
        <v>4796</v>
      </c>
      <c r="B3313" s="70">
        <v>46279</v>
      </c>
      <c r="C3313" s="67" t="s">
        <v>1414</v>
      </c>
      <c r="D3313" s="67" t="s">
        <v>1511</v>
      </c>
      <c r="E3313" s="67" t="s">
        <v>1470</v>
      </c>
      <c r="F3313" s="67" t="s">
        <v>1462</v>
      </c>
      <c r="G3313" s="69">
        <v>136</v>
      </c>
    </row>
    <row r="3314" spans="1:7">
      <c r="A3314" s="67" t="s">
        <v>4797</v>
      </c>
      <c r="B3314" s="70">
        <v>46279</v>
      </c>
      <c r="C3314" s="67" t="s">
        <v>1414</v>
      </c>
      <c r="D3314" s="67" t="s">
        <v>1459</v>
      </c>
      <c r="E3314" s="67" t="s">
        <v>1362</v>
      </c>
      <c r="F3314" s="67" t="s">
        <v>1462</v>
      </c>
      <c r="G3314" s="69">
        <v>151</v>
      </c>
    </row>
    <row r="3315" spans="1:7">
      <c r="A3315" s="67" t="s">
        <v>4798</v>
      </c>
      <c r="B3315" s="70">
        <v>46279</v>
      </c>
      <c r="C3315" s="67" t="s">
        <v>1423</v>
      </c>
      <c r="D3315" s="67" t="s">
        <v>1487</v>
      </c>
      <c r="E3315" s="67" t="s">
        <v>1410</v>
      </c>
      <c r="F3315" s="67" t="s">
        <v>1462</v>
      </c>
      <c r="G3315" s="69">
        <v>219</v>
      </c>
    </row>
    <row r="3316" spans="1:7">
      <c r="A3316" s="67" t="s">
        <v>4799</v>
      </c>
      <c r="B3316" s="70">
        <v>46279</v>
      </c>
      <c r="C3316" s="67" t="s">
        <v>1423</v>
      </c>
      <c r="D3316" s="67" t="s">
        <v>1487</v>
      </c>
      <c r="E3316" s="67" t="s">
        <v>1410</v>
      </c>
      <c r="F3316" s="67" t="s">
        <v>1462</v>
      </c>
      <c r="G3316" s="69">
        <v>85</v>
      </c>
    </row>
    <row r="3317" spans="1:7">
      <c r="A3317" s="67" t="s">
        <v>4800</v>
      </c>
      <c r="B3317" s="70">
        <v>46279</v>
      </c>
      <c r="C3317" s="67" t="s">
        <v>1425</v>
      </c>
      <c r="D3317" s="67" t="s">
        <v>1484</v>
      </c>
      <c r="E3317" s="67" t="s">
        <v>1470</v>
      </c>
      <c r="F3317" s="67" t="s">
        <v>1462</v>
      </c>
      <c r="G3317" s="69">
        <v>311</v>
      </c>
    </row>
    <row r="3318" spans="1:7">
      <c r="A3318" s="67" t="s">
        <v>4801</v>
      </c>
      <c r="B3318" s="70">
        <v>46279</v>
      </c>
      <c r="C3318" s="67" t="s">
        <v>1448</v>
      </c>
      <c r="D3318" s="67" t="s">
        <v>1520</v>
      </c>
      <c r="E3318" s="67" t="s">
        <v>1433</v>
      </c>
      <c r="F3318" s="67" t="s">
        <v>1460</v>
      </c>
      <c r="G3318" s="69">
        <v>24</v>
      </c>
    </row>
    <row r="3319" spans="1:7">
      <c r="A3319" s="67" t="s">
        <v>4802</v>
      </c>
      <c r="B3319" s="70">
        <v>46280</v>
      </c>
      <c r="C3319" s="67" t="s">
        <v>1359</v>
      </c>
      <c r="D3319" s="67" t="s">
        <v>1476</v>
      </c>
      <c r="E3319" s="67" t="s">
        <v>1362</v>
      </c>
      <c r="F3319" s="67" t="s">
        <v>1462</v>
      </c>
      <c r="G3319" s="69">
        <v>52</v>
      </c>
    </row>
    <row r="3320" spans="1:7">
      <c r="A3320" s="67" t="s">
        <v>4803</v>
      </c>
      <c r="B3320" s="70">
        <v>46280</v>
      </c>
      <c r="C3320" s="67" t="s">
        <v>1359</v>
      </c>
      <c r="D3320" s="67" t="s">
        <v>1602</v>
      </c>
      <c r="E3320" s="67" t="s">
        <v>1386</v>
      </c>
      <c r="F3320" s="67" t="s">
        <v>1462</v>
      </c>
      <c r="G3320" s="69">
        <v>471</v>
      </c>
    </row>
    <row r="3321" spans="1:7">
      <c r="A3321" s="67" t="s">
        <v>4804</v>
      </c>
      <c r="B3321" s="70">
        <v>46280</v>
      </c>
      <c r="C3321" s="67" t="s">
        <v>1381</v>
      </c>
      <c r="D3321" s="67" t="s">
        <v>353</v>
      </c>
      <c r="E3321" s="67" t="s">
        <v>1368</v>
      </c>
      <c r="F3321" s="67" t="s">
        <v>1462</v>
      </c>
      <c r="G3321" s="69">
        <v>128</v>
      </c>
    </row>
    <row r="3322" spans="1:7">
      <c r="A3322" s="67" t="s">
        <v>4805</v>
      </c>
      <c r="B3322" s="70">
        <v>46280</v>
      </c>
      <c r="C3322" s="67" t="s">
        <v>1381</v>
      </c>
      <c r="D3322" s="67" t="s">
        <v>367</v>
      </c>
      <c r="E3322" s="67" t="s">
        <v>1368</v>
      </c>
      <c r="F3322" s="67" t="s">
        <v>1462</v>
      </c>
      <c r="G3322" s="69">
        <v>397</v>
      </c>
    </row>
    <row r="3323" spans="1:7">
      <c r="A3323" s="67" t="s">
        <v>4806</v>
      </c>
      <c r="B3323" s="70">
        <v>46280</v>
      </c>
      <c r="C3323" s="67" t="s">
        <v>1381</v>
      </c>
      <c r="D3323" s="67" t="s">
        <v>1469</v>
      </c>
      <c r="E3323" s="67" t="s">
        <v>1470</v>
      </c>
      <c r="F3323" s="67" t="s">
        <v>1462</v>
      </c>
      <c r="G3323" s="69">
        <v>313</v>
      </c>
    </row>
    <row r="3324" spans="1:7">
      <c r="A3324" s="67" t="s">
        <v>4807</v>
      </c>
      <c r="B3324" s="70">
        <v>46280</v>
      </c>
      <c r="C3324" s="67" t="s">
        <v>1393</v>
      </c>
      <c r="D3324" s="67" t="s">
        <v>365</v>
      </c>
      <c r="E3324" s="67" t="s">
        <v>1368</v>
      </c>
      <c r="F3324" s="67" t="s">
        <v>1462</v>
      </c>
      <c r="G3324" s="69">
        <v>345</v>
      </c>
    </row>
    <row r="3325" spans="1:7">
      <c r="A3325" s="67" t="s">
        <v>4808</v>
      </c>
      <c r="B3325" s="70">
        <v>46280</v>
      </c>
      <c r="C3325" s="67" t="s">
        <v>1399</v>
      </c>
      <c r="D3325" s="67" t="s">
        <v>363</v>
      </c>
      <c r="E3325" s="67" t="s">
        <v>1368</v>
      </c>
      <c r="F3325" s="67" t="s">
        <v>1460</v>
      </c>
      <c r="G3325" s="69">
        <v>13</v>
      </c>
    </row>
    <row r="3326" spans="1:7">
      <c r="A3326" s="67" t="s">
        <v>4809</v>
      </c>
      <c r="B3326" s="70">
        <v>46280</v>
      </c>
      <c r="C3326" s="67" t="s">
        <v>1404</v>
      </c>
      <c r="D3326" s="67" t="s">
        <v>1459</v>
      </c>
      <c r="E3326" s="67" t="s">
        <v>1362</v>
      </c>
      <c r="F3326" s="67" t="s">
        <v>1462</v>
      </c>
      <c r="G3326" s="69">
        <v>217</v>
      </c>
    </row>
    <row r="3327" spans="1:7">
      <c r="A3327" s="67" t="s">
        <v>4810</v>
      </c>
      <c r="B3327" s="70">
        <v>46280</v>
      </c>
      <c r="C3327" s="67" t="s">
        <v>1406</v>
      </c>
      <c r="D3327" s="67" t="s">
        <v>369</v>
      </c>
      <c r="E3327" s="67" t="s">
        <v>1368</v>
      </c>
      <c r="F3327" s="67" t="s">
        <v>1460</v>
      </c>
      <c r="G3327" s="69">
        <v>24</v>
      </c>
    </row>
    <row r="3328" spans="1:7">
      <c r="A3328" s="67" t="s">
        <v>4811</v>
      </c>
      <c r="B3328" s="70">
        <v>46280</v>
      </c>
      <c r="C3328" s="67" t="s">
        <v>1411</v>
      </c>
      <c r="D3328" s="67" t="s">
        <v>1506</v>
      </c>
      <c r="E3328" s="67" t="s">
        <v>1482</v>
      </c>
      <c r="F3328" s="67" t="s">
        <v>1462</v>
      </c>
      <c r="G3328" s="69">
        <v>514</v>
      </c>
    </row>
    <row r="3329" spans="1:7">
      <c r="A3329" s="67" t="s">
        <v>4812</v>
      </c>
      <c r="B3329" s="70">
        <v>46280</v>
      </c>
      <c r="C3329" s="67" t="s">
        <v>1411</v>
      </c>
      <c r="D3329" s="67" t="s">
        <v>1506</v>
      </c>
      <c r="E3329" s="67" t="s">
        <v>1482</v>
      </c>
      <c r="F3329" s="67" t="s">
        <v>1462</v>
      </c>
      <c r="G3329" s="69">
        <v>427</v>
      </c>
    </row>
    <row r="3330" spans="1:7">
      <c r="A3330" s="67" t="s">
        <v>4813</v>
      </c>
      <c r="B3330" s="70">
        <v>46280</v>
      </c>
      <c r="C3330" s="67" t="s">
        <v>1411</v>
      </c>
      <c r="D3330" s="67" t="s">
        <v>1481</v>
      </c>
      <c r="E3330" s="67" t="s">
        <v>1482</v>
      </c>
      <c r="F3330" s="67" t="s">
        <v>1462</v>
      </c>
      <c r="G3330" s="69">
        <v>587</v>
      </c>
    </row>
    <row r="3331" spans="1:7">
      <c r="A3331" s="67" t="s">
        <v>4814</v>
      </c>
      <c r="B3331" s="70">
        <v>46280</v>
      </c>
      <c r="C3331" s="67" t="s">
        <v>1411</v>
      </c>
      <c r="D3331" s="67" t="s">
        <v>1481</v>
      </c>
      <c r="E3331" s="67" t="s">
        <v>1482</v>
      </c>
      <c r="F3331" s="67" t="s">
        <v>1462</v>
      </c>
      <c r="G3331" s="69">
        <v>328</v>
      </c>
    </row>
    <row r="3332" spans="1:7">
      <c r="A3332" s="67" t="s">
        <v>4815</v>
      </c>
      <c r="B3332" s="70">
        <v>46280</v>
      </c>
      <c r="C3332" s="67" t="s">
        <v>1414</v>
      </c>
      <c r="D3332" s="67" t="s">
        <v>1484</v>
      </c>
      <c r="E3332" s="67" t="s">
        <v>1470</v>
      </c>
      <c r="F3332" s="67" t="s">
        <v>1460</v>
      </c>
      <c r="G3332" s="69">
        <v>30</v>
      </c>
    </row>
    <row r="3333" spans="1:7">
      <c r="A3333" s="67" t="s">
        <v>4816</v>
      </c>
      <c r="B3333" s="70">
        <v>46280</v>
      </c>
      <c r="C3333" s="67" t="s">
        <v>1423</v>
      </c>
      <c r="D3333" s="67" t="s">
        <v>1515</v>
      </c>
      <c r="E3333" s="67" t="s">
        <v>1410</v>
      </c>
      <c r="F3333" s="67" t="s">
        <v>1488</v>
      </c>
      <c r="G3333" s="69">
        <v>10</v>
      </c>
    </row>
    <row r="3334" spans="1:7">
      <c r="A3334" s="67" t="s">
        <v>4817</v>
      </c>
      <c r="B3334" s="70">
        <v>46280</v>
      </c>
      <c r="C3334" s="67" t="s">
        <v>1425</v>
      </c>
      <c r="D3334" s="67" t="s">
        <v>1511</v>
      </c>
      <c r="E3334" s="67" t="s">
        <v>1470</v>
      </c>
      <c r="F3334" s="67" t="s">
        <v>1462</v>
      </c>
      <c r="G3334" s="69">
        <v>151</v>
      </c>
    </row>
    <row r="3335" spans="1:7">
      <c r="A3335" s="67" t="s">
        <v>4818</v>
      </c>
      <c r="B3335" s="70">
        <v>46280</v>
      </c>
      <c r="C3335" s="67" t="s">
        <v>1425</v>
      </c>
      <c r="D3335" s="67" t="s">
        <v>1607</v>
      </c>
      <c r="E3335" s="67" t="s">
        <v>1470</v>
      </c>
      <c r="F3335" s="67" t="s">
        <v>1460</v>
      </c>
      <c r="G3335" s="69">
        <v>20</v>
      </c>
    </row>
    <row r="3336" spans="1:7">
      <c r="A3336" s="67" t="s">
        <v>4819</v>
      </c>
      <c r="B3336" s="70">
        <v>46280</v>
      </c>
      <c r="C3336" s="67" t="s">
        <v>1438</v>
      </c>
      <c r="D3336" s="67" t="s">
        <v>365</v>
      </c>
      <c r="E3336" s="67" t="s">
        <v>1368</v>
      </c>
      <c r="F3336" s="67" t="s">
        <v>1462</v>
      </c>
      <c r="G3336" s="69">
        <v>507</v>
      </c>
    </row>
    <row r="3337" spans="1:7">
      <c r="A3337" s="67" t="s">
        <v>4820</v>
      </c>
      <c r="B3337" s="70">
        <v>46280</v>
      </c>
      <c r="C3337" s="67" t="s">
        <v>1446</v>
      </c>
      <c r="D3337" s="67" t="s">
        <v>1551</v>
      </c>
      <c r="E3337" s="67" t="s">
        <v>1362</v>
      </c>
      <c r="F3337" s="67" t="s">
        <v>1462</v>
      </c>
      <c r="G3337" s="69">
        <v>58</v>
      </c>
    </row>
    <row r="3338" spans="1:7">
      <c r="A3338" s="67" t="s">
        <v>4821</v>
      </c>
      <c r="B3338" s="70">
        <v>46280</v>
      </c>
      <c r="C3338" s="67" t="s">
        <v>1446</v>
      </c>
      <c r="D3338" s="67" t="s">
        <v>1551</v>
      </c>
      <c r="E3338" s="67" t="s">
        <v>1362</v>
      </c>
      <c r="F3338" s="67" t="s">
        <v>1462</v>
      </c>
      <c r="G3338" s="69">
        <v>149</v>
      </c>
    </row>
    <row r="3339" spans="1:7">
      <c r="A3339" s="67" t="s">
        <v>4822</v>
      </c>
      <c r="B3339" s="70">
        <v>46281</v>
      </c>
      <c r="C3339" s="67" t="s">
        <v>1359</v>
      </c>
      <c r="D3339" s="67" t="s">
        <v>1551</v>
      </c>
      <c r="E3339" s="67" t="s">
        <v>1362</v>
      </c>
      <c r="F3339" s="67" t="s">
        <v>1460</v>
      </c>
      <c r="G3339" s="69">
        <v>26</v>
      </c>
    </row>
    <row r="3340" spans="1:7">
      <c r="A3340" s="67" t="s">
        <v>4823</v>
      </c>
      <c r="B3340" s="70">
        <v>46281</v>
      </c>
      <c r="C3340" s="67" t="s">
        <v>1359</v>
      </c>
      <c r="D3340" s="67" t="s">
        <v>1459</v>
      </c>
      <c r="E3340" s="67" t="s">
        <v>1362</v>
      </c>
      <c r="F3340" s="67" t="s">
        <v>1462</v>
      </c>
      <c r="G3340" s="69">
        <v>125</v>
      </c>
    </row>
    <row r="3341" spans="1:7">
      <c r="A3341" s="67" t="s">
        <v>4824</v>
      </c>
      <c r="B3341" s="70">
        <v>46281</v>
      </c>
      <c r="C3341" s="67" t="s">
        <v>1366</v>
      </c>
      <c r="D3341" s="67" t="s">
        <v>356</v>
      </c>
      <c r="E3341" s="67" t="s">
        <v>1368</v>
      </c>
      <c r="F3341" s="67" t="s">
        <v>1462</v>
      </c>
      <c r="G3341" s="69">
        <v>432</v>
      </c>
    </row>
    <row r="3342" spans="1:7">
      <c r="A3342" s="67" t="s">
        <v>4825</v>
      </c>
      <c r="B3342" s="70">
        <v>46281</v>
      </c>
      <c r="C3342" s="67" t="s">
        <v>1366</v>
      </c>
      <c r="D3342" s="67" t="s">
        <v>1459</v>
      </c>
      <c r="E3342" s="67" t="s">
        <v>1362</v>
      </c>
      <c r="F3342" s="67" t="s">
        <v>1462</v>
      </c>
      <c r="G3342" s="69">
        <v>71</v>
      </c>
    </row>
    <row r="3343" spans="1:7">
      <c r="A3343" s="67" t="s">
        <v>4826</v>
      </c>
      <c r="B3343" s="70">
        <v>46281</v>
      </c>
      <c r="C3343" s="67" t="s">
        <v>1378</v>
      </c>
      <c r="D3343" s="67" t="s">
        <v>369</v>
      </c>
      <c r="E3343" s="67" t="s">
        <v>1368</v>
      </c>
      <c r="F3343" s="67" t="s">
        <v>1462</v>
      </c>
      <c r="G3343" s="69">
        <v>450</v>
      </c>
    </row>
    <row r="3344" spans="1:7">
      <c r="A3344" s="67" t="s">
        <v>4827</v>
      </c>
      <c r="B3344" s="70">
        <v>46281</v>
      </c>
      <c r="C3344" s="67" t="s">
        <v>1384</v>
      </c>
      <c r="D3344" s="67" t="s">
        <v>1466</v>
      </c>
      <c r="E3344" s="67" t="s">
        <v>1386</v>
      </c>
      <c r="F3344" s="67" t="s">
        <v>1462</v>
      </c>
      <c r="G3344" s="69">
        <v>201</v>
      </c>
    </row>
    <row r="3345" spans="1:7">
      <c r="A3345" s="67" t="s">
        <v>4828</v>
      </c>
      <c r="B3345" s="70">
        <v>46281</v>
      </c>
      <c r="C3345" s="67" t="s">
        <v>1399</v>
      </c>
      <c r="D3345" s="67" t="s">
        <v>358</v>
      </c>
      <c r="E3345" s="67" t="s">
        <v>1368</v>
      </c>
      <c r="F3345" s="67" t="s">
        <v>1460</v>
      </c>
      <c r="G3345" s="69">
        <v>23</v>
      </c>
    </row>
    <row r="3346" spans="1:7">
      <c r="A3346" s="67" t="s">
        <v>4829</v>
      </c>
      <c r="B3346" s="70">
        <v>46281</v>
      </c>
      <c r="C3346" s="67" t="s">
        <v>1408</v>
      </c>
      <c r="D3346" s="67" t="s">
        <v>1930</v>
      </c>
      <c r="E3346" s="67" t="s">
        <v>1410</v>
      </c>
      <c r="F3346" s="67" t="s">
        <v>1462</v>
      </c>
      <c r="G3346" s="69">
        <v>547</v>
      </c>
    </row>
    <row r="3347" spans="1:7">
      <c r="A3347" s="67" t="s">
        <v>4830</v>
      </c>
      <c r="B3347" s="70">
        <v>46281</v>
      </c>
      <c r="C3347" s="67" t="s">
        <v>1411</v>
      </c>
      <c r="D3347" s="67" t="s">
        <v>1506</v>
      </c>
      <c r="E3347" s="67" t="s">
        <v>1482</v>
      </c>
      <c r="F3347" s="67" t="s">
        <v>1460</v>
      </c>
      <c r="G3347" s="69">
        <v>22</v>
      </c>
    </row>
    <row r="3348" spans="1:7">
      <c r="A3348" s="67" t="s">
        <v>4831</v>
      </c>
      <c r="B3348" s="70">
        <v>46281</v>
      </c>
      <c r="C3348" s="67" t="s">
        <v>1411</v>
      </c>
      <c r="D3348" s="67" t="s">
        <v>1481</v>
      </c>
      <c r="E3348" s="67" t="s">
        <v>1482</v>
      </c>
      <c r="F3348" s="67" t="s">
        <v>1460</v>
      </c>
      <c r="G3348" s="69">
        <v>19</v>
      </c>
    </row>
    <row r="3349" spans="1:7">
      <c r="A3349" s="67" t="s">
        <v>4832</v>
      </c>
      <c r="B3349" s="70">
        <v>46281</v>
      </c>
      <c r="C3349" s="67" t="s">
        <v>1414</v>
      </c>
      <c r="D3349" s="67" t="s">
        <v>1511</v>
      </c>
      <c r="E3349" s="67" t="s">
        <v>1470</v>
      </c>
      <c r="F3349" s="67" t="s">
        <v>1462</v>
      </c>
      <c r="G3349" s="69">
        <v>108</v>
      </c>
    </row>
    <row r="3350" spans="1:7">
      <c r="A3350" s="67" t="s">
        <v>4833</v>
      </c>
      <c r="B3350" s="70">
        <v>46281</v>
      </c>
      <c r="C3350" s="67" t="s">
        <v>1414</v>
      </c>
      <c r="D3350" s="67" t="s">
        <v>1476</v>
      </c>
      <c r="E3350" s="67" t="s">
        <v>1362</v>
      </c>
      <c r="F3350" s="67" t="s">
        <v>1460</v>
      </c>
      <c r="G3350" s="69">
        <v>30</v>
      </c>
    </row>
    <row r="3351" spans="1:7">
      <c r="A3351" s="67" t="s">
        <v>4834</v>
      </c>
      <c r="B3351" s="70">
        <v>46281</v>
      </c>
      <c r="C3351" s="67" t="s">
        <v>1423</v>
      </c>
      <c r="D3351" s="67" t="s">
        <v>1743</v>
      </c>
      <c r="E3351" s="67" t="s">
        <v>1410</v>
      </c>
      <c r="F3351" s="67" t="s">
        <v>1462</v>
      </c>
      <c r="G3351" s="69">
        <v>560</v>
      </c>
    </row>
    <row r="3352" spans="1:7">
      <c r="A3352" s="67" t="s">
        <v>4835</v>
      </c>
      <c r="B3352" s="70">
        <v>46281</v>
      </c>
      <c r="C3352" s="67" t="s">
        <v>1444</v>
      </c>
      <c r="D3352" s="67" t="s">
        <v>1459</v>
      </c>
      <c r="E3352" s="67" t="s">
        <v>1362</v>
      </c>
      <c r="F3352" s="67" t="s">
        <v>1462</v>
      </c>
      <c r="G3352" s="69">
        <v>467</v>
      </c>
    </row>
    <row r="3353" spans="1:7">
      <c r="A3353" s="67" t="s">
        <v>4836</v>
      </c>
      <c r="B3353" s="70">
        <v>46282</v>
      </c>
      <c r="C3353" s="67" t="s">
        <v>1359</v>
      </c>
      <c r="D3353" s="67" t="s">
        <v>1551</v>
      </c>
      <c r="E3353" s="67" t="s">
        <v>1362</v>
      </c>
      <c r="F3353" s="67" t="s">
        <v>1462</v>
      </c>
      <c r="G3353" s="69">
        <v>586</v>
      </c>
    </row>
    <row r="3354" spans="1:7">
      <c r="A3354" s="67" t="s">
        <v>4837</v>
      </c>
      <c r="B3354" s="70">
        <v>46282</v>
      </c>
      <c r="C3354" s="67" t="s">
        <v>1366</v>
      </c>
      <c r="D3354" s="67" t="s">
        <v>367</v>
      </c>
      <c r="E3354" s="67" t="s">
        <v>1368</v>
      </c>
      <c r="F3354" s="67" t="s">
        <v>1462</v>
      </c>
      <c r="G3354" s="69">
        <v>304</v>
      </c>
    </row>
    <row r="3355" spans="1:7">
      <c r="A3355" s="67" t="s">
        <v>4838</v>
      </c>
      <c r="B3355" s="70">
        <v>46282</v>
      </c>
      <c r="C3355" s="67" t="s">
        <v>1366</v>
      </c>
      <c r="D3355" s="67" t="s">
        <v>358</v>
      </c>
      <c r="E3355" s="67" t="s">
        <v>1368</v>
      </c>
      <c r="F3355" s="67" t="s">
        <v>1460</v>
      </c>
      <c r="G3355" s="69">
        <v>15</v>
      </c>
    </row>
    <row r="3356" spans="1:7">
      <c r="A3356" s="67" t="s">
        <v>4839</v>
      </c>
      <c r="B3356" s="70">
        <v>46282</v>
      </c>
      <c r="C3356" s="67" t="s">
        <v>1366</v>
      </c>
      <c r="D3356" s="67" t="s">
        <v>358</v>
      </c>
      <c r="E3356" s="67" t="s">
        <v>1368</v>
      </c>
      <c r="F3356" s="67" t="s">
        <v>1460</v>
      </c>
      <c r="G3356" s="69">
        <v>24</v>
      </c>
    </row>
    <row r="3357" spans="1:7">
      <c r="A3357" s="67" t="s">
        <v>4840</v>
      </c>
      <c r="B3357" s="70">
        <v>46282</v>
      </c>
      <c r="C3357" s="67" t="s">
        <v>1371</v>
      </c>
      <c r="D3357" s="67" t="s">
        <v>1551</v>
      </c>
      <c r="E3357" s="67" t="s">
        <v>1362</v>
      </c>
      <c r="F3357" s="67" t="s">
        <v>1462</v>
      </c>
      <c r="G3357" s="69">
        <v>121</v>
      </c>
    </row>
    <row r="3358" spans="1:7">
      <c r="A3358" s="67" t="s">
        <v>4841</v>
      </c>
      <c r="B3358" s="70">
        <v>46282</v>
      </c>
      <c r="C3358" s="67" t="s">
        <v>1375</v>
      </c>
      <c r="D3358" s="67" t="s">
        <v>1511</v>
      </c>
      <c r="E3358" s="67" t="s">
        <v>1470</v>
      </c>
      <c r="F3358" s="67" t="s">
        <v>1462</v>
      </c>
      <c r="G3358" s="69">
        <v>148</v>
      </c>
    </row>
    <row r="3359" spans="1:7">
      <c r="A3359" s="67" t="s">
        <v>4842</v>
      </c>
      <c r="B3359" s="70">
        <v>46282</v>
      </c>
      <c r="C3359" s="67" t="s">
        <v>1375</v>
      </c>
      <c r="D3359" s="67" t="s">
        <v>358</v>
      </c>
      <c r="E3359" s="67" t="s">
        <v>1368</v>
      </c>
      <c r="F3359" s="67" t="s">
        <v>1462</v>
      </c>
      <c r="G3359" s="69">
        <v>183</v>
      </c>
    </row>
    <row r="3360" spans="1:7">
      <c r="A3360" s="67" t="s">
        <v>4843</v>
      </c>
      <c r="B3360" s="70">
        <v>46282</v>
      </c>
      <c r="C3360" s="67" t="s">
        <v>1378</v>
      </c>
      <c r="D3360" s="67" t="s">
        <v>358</v>
      </c>
      <c r="E3360" s="67" t="s">
        <v>1368</v>
      </c>
      <c r="F3360" s="67" t="s">
        <v>1462</v>
      </c>
      <c r="G3360" s="69">
        <v>276</v>
      </c>
    </row>
    <row r="3361" spans="1:7">
      <c r="A3361" s="67" t="s">
        <v>4844</v>
      </c>
      <c r="B3361" s="70">
        <v>46282</v>
      </c>
      <c r="C3361" s="67" t="s">
        <v>1384</v>
      </c>
      <c r="D3361" s="67" t="s">
        <v>1466</v>
      </c>
      <c r="E3361" s="67" t="s">
        <v>1386</v>
      </c>
      <c r="F3361" s="67" t="s">
        <v>1462</v>
      </c>
      <c r="G3361" s="69">
        <v>570</v>
      </c>
    </row>
    <row r="3362" spans="1:7">
      <c r="A3362" s="67" t="s">
        <v>4845</v>
      </c>
      <c r="B3362" s="70">
        <v>46282</v>
      </c>
      <c r="C3362" s="67" t="s">
        <v>1393</v>
      </c>
      <c r="D3362" s="67" t="s">
        <v>358</v>
      </c>
      <c r="E3362" s="67" t="s">
        <v>1368</v>
      </c>
      <c r="F3362" s="67" t="s">
        <v>1462</v>
      </c>
      <c r="G3362" s="69">
        <v>330</v>
      </c>
    </row>
    <row r="3363" spans="1:7">
      <c r="A3363" s="67" t="s">
        <v>4846</v>
      </c>
      <c r="B3363" s="70">
        <v>46282</v>
      </c>
      <c r="C3363" s="67" t="s">
        <v>1411</v>
      </c>
      <c r="D3363" s="67" t="s">
        <v>1506</v>
      </c>
      <c r="E3363" s="67" t="s">
        <v>1482</v>
      </c>
      <c r="F3363" s="67" t="s">
        <v>1462</v>
      </c>
      <c r="G3363" s="69">
        <v>480</v>
      </c>
    </row>
    <row r="3364" spans="1:7">
      <c r="A3364" s="67" t="s">
        <v>4847</v>
      </c>
      <c r="B3364" s="70">
        <v>46282</v>
      </c>
      <c r="C3364" s="67" t="s">
        <v>1411</v>
      </c>
      <c r="D3364" s="67" t="s">
        <v>1506</v>
      </c>
      <c r="E3364" s="67" t="s">
        <v>1482</v>
      </c>
      <c r="F3364" s="67" t="s">
        <v>1460</v>
      </c>
      <c r="G3364" s="69">
        <v>11</v>
      </c>
    </row>
    <row r="3365" spans="1:7">
      <c r="A3365" s="67" t="s">
        <v>4848</v>
      </c>
      <c r="B3365" s="70">
        <v>46282</v>
      </c>
      <c r="C3365" s="67" t="s">
        <v>1411</v>
      </c>
      <c r="D3365" s="67" t="s">
        <v>1481</v>
      </c>
      <c r="E3365" s="67" t="s">
        <v>1482</v>
      </c>
      <c r="F3365" s="67" t="s">
        <v>1462</v>
      </c>
      <c r="G3365" s="69">
        <v>425</v>
      </c>
    </row>
    <row r="3366" spans="1:7">
      <c r="A3366" s="67" t="s">
        <v>4849</v>
      </c>
      <c r="B3366" s="70">
        <v>46282</v>
      </c>
      <c r="C3366" s="67" t="s">
        <v>1414</v>
      </c>
      <c r="D3366" s="67" t="s">
        <v>1511</v>
      </c>
      <c r="E3366" s="67" t="s">
        <v>1470</v>
      </c>
      <c r="F3366" s="67" t="s">
        <v>1462</v>
      </c>
      <c r="G3366" s="69">
        <v>273</v>
      </c>
    </row>
    <row r="3367" spans="1:7">
      <c r="A3367" s="67" t="s">
        <v>4850</v>
      </c>
      <c r="B3367" s="70">
        <v>46282</v>
      </c>
      <c r="C3367" s="67" t="s">
        <v>1414</v>
      </c>
      <c r="D3367" s="67" t="s">
        <v>1484</v>
      </c>
      <c r="E3367" s="67" t="s">
        <v>1470</v>
      </c>
      <c r="F3367" s="67" t="s">
        <v>1462</v>
      </c>
      <c r="G3367" s="69">
        <v>60</v>
      </c>
    </row>
    <row r="3368" spans="1:7">
      <c r="A3368" s="67" t="s">
        <v>4851</v>
      </c>
      <c r="B3368" s="70">
        <v>46282</v>
      </c>
      <c r="C3368" s="67" t="s">
        <v>1414</v>
      </c>
      <c r="D3368" s="67" t="s">
        <v>1484</v>
      </c>
      <c r="E3368" s="67" t="s">
        <v>1470</v>
      </c>
      <c r="F3368" s="67" t="s">
        <v>1462</v>
      </c>
      <c r="G3368" s="69">
        <v>211</v>
      </c>
    </row>
    <row r="3369" spans="1:7">
      <c r="A3369" s="67" t="s">
        <v>4852</v>
      </c>
      <c r="B3369" s="70">
        <v>46282</v>
      </c>
      <c r="C3369" s="67" t="s">
        <v>1414</v>
      </c>
      <c r="D3369" s="67" t="s">
        <v>1484</v>
      </c>
      <c r="E3369" s="67" t="s">
        <v>1470</v>
      </c>
      <c r="F3369" s="67" t="s">
        <v>1462</v>
      </c>
      <c r="G3369" s="69">
        <v>292</v>
      </c>
    </row>
    <row r="3370" spans="1:7">
      <c r="A3370" s="67" t="s">
        <v>4853</v>
      </c>
      <c r="B3370" s="70">
        <v>46282</v>
      </c>
      <c r="C3370" s="67" t="s">
        <v>1414</v>
      </c>
      <c r="D3370" s="67" t="s">
        <v>1469</v>
      </c>
      <c r="E3370" s="67" t="s">
        <v>1470</v>
      </c>
      <c r="F3370" s="67" t="s">
        <v>1462</v>
      </c>
      <c r="G3370" s="69">
        <v>138</v>
      </c>
    </row>
    <row r="3371" spans="1:7">
      <c r="A3371" s="67" t="s">
        <v>4854</v>
      </c>
      <c r="B3371" s="70">
        <v>46282</v>
      </c>
      <c r="C3371" s="67" t="s">
        <v>1429</v>
      </c>
      <c r="D3371" s="67" t="s">
        <v>1476</v>
      </c>
      <c r="E3371" s="67" t="s">
        <v>1362</v>
      </c>
      <c r="F3371" s="67" t="s">
        <v>1462</v>
      </c>
      <c r="G3371" s="69">
        <v>595</v>
      </c>
    </row>
    <row r="3372" spans="1:7">
      <c r="A3372" s="67" t="s">
        <v>4855</v>
      </c>
      <c r="B3372" s="70">
        <v>46282</v>
      </c>
      <c r="C3372" s="67" t="s">
        <v>1446</v>
      </c>
      <c r="D3372" s="67" t="s">
        <v>1551</v>
      </c>
      <c r="E3372" s="67" t="s">
        <v>1362</v>
      </c>
      <c r="F3372" s="67" t="s">
        <v>1462</v>
      </c>
      <c r="G3372" s="69">
        <v>416</v>
      </c>
    </row>
    <row r="3373" spans="1:7">
      <c r="A3373" s="67" t="s">
        <v>4856</v>
      </c>
      <c r="B3373" s="70">
        <v>46283</v>
      </c>
      <c r="C3373" s="67" t="s">
        <v>1366</v>
      </c>
      <c r="D3373" s="67" t="s">
        <v>353</v>
      </c>
      <c r="E3373" s="67" t="s">
        <v>1368</v>
      </c>
      <c r="F3373" s="67" t="s">
        <v>1460</v>
      </c>
      <c r="G3373" s="69">
        <v>11</v>
      </c>
    </row>
    <row r="3374" spans="1:7">
      <c r="A3374" s="67" t="s">
        <v>4857</v>
      </c>
      <c r="B3374" s="70">
        <v>46283</v>
      </c>
      <c r="C3374" s="67" t="s">
        <v>1366</v>
      </c>
      <c r="D3374" s="67" t="s">
        <v>367</v>
      </c>
      <c r="E3374" s="67" t="s">
        <v>1368</v>
      </c>
      <c r="F3374" s="67" t="s">
        <v>1462</v>
      </c>
      <c r="G3374" s="69">
        <v>541</v>
      </c>
    </row>
    <row r="3375" spans="1:7">
      <c r="A3375" s="67" t="s">
        <v>4858</v>
      </c>
      <c r="B3375" s="70">
        <v>46283</v>
      </c>
      <c r="C3375" s="67" t="s">
        <v>1366</v>
      </c>
      <c r="D3375" s="67" t="s">
        <v>1469</v>
      </c>
      <c r="E3375" s="67" t="s">
        <v>1470</v>
      </c>
      <c r="F3375" s="67" t="s">
        <v>1460</v>
      </c>
      <c r="G3375" s="69">
        <v>7</v>
      </c>
    </row>
    <row r="3376" spans="1:7">
      <c r="A3376" s="67" t="s">
        <v>4859</v>
      </c>
      <c r="B3376" s="70">
        <v>46283</v>
      </c>
      <c r="C3376" s="67" t="s">
        <v>1371</v>
      </c>
      <c r="D3376" s="67" t="s">
        <v>363</v>
      </c>
      <c r="E3376" s="67" t="s">
        <v>1368</v>
      </c>
      <c r="F3376" s="67" t="s">
        <v>1462</v>
      </c>
      <c r="G3376" s="69">
        <v>539</v>
      </c>
    </row>
    <row r="3377" spans="1:7">
      <c r="A3377" s="67" t="s">
        <v>4860</v>
      </c>
      <c r="B3377" s="70">
        <v>46283</v>
      </c>
      <c r="C3377" s="67" t="s">
        <v>1381</v>
      </c>
      <c r="D3377" s="67" t="s">
        <v>367</v>
      </c>
      <c r="E3377" s="67" t="s">
        <v>1368</v>
      </c>
      <c r="F3377" s="67" t="s">
        <v>1462</v>
      </c>
      <c r="G3377" s="69">
        <v>600</v>
      </c>
    </row>
    <row r="3378" spans="1:7">
      <c r="A3378" s="67" t="s">
        <v>4861</v>
      </c>
      <c r="B3378" s="70">
        <v>46283</v>
      </c>
      <c r="C3378" s="67" t="s">
        <v>1381</v>
      </c>
      <c r="D3378" s="67" t="s">
        <v>369</v>
      </c>
      <c r="E3378" s="67" t="s">
        <v>1368</v>
      </c>
      <c r="F3378" s="67" t="s">
        <v>1462</v>
      </c>
      <c r="G3378" s="69">
        <v>542</v>
      </c>
    </row>
    <row r="3379" spans="1:7">
      <c r="A3379" s="67" t="s">
        <v>4862</v>
      </c>
      <c r="B3379" s="70">
        <v>46283</v>
      </c>
      <c r="C3379" s="67" t="s">
        <v>1384</v>
      </c>
      <c r="D3379" s="67" t="s">
        <v>1476</v>
      </c>
      <c r="E3379" s="67" t="s">
        <v>1362</v>
      </c>
      <c r="F3379" s="67" t="s">
        <v>1462</v>
      </c>
      <c r="G3379" s="69">
        <v>87</v>
      </c>
    </row>
    <row r="3380" spans="1:7">
      <c r="A3380" s="67" t="s">
        <v>4863</v>
      </c>
      <c r="B3380" s="70">
        <v>46283</v>
      </c>
      <c r="C3380" s="67" t="s">
        <v>1384</v>
      </c>
      <c r="D3380" s="67" t="s">
        <v>1459</v>
      </c>
      <c r="E3380" s="67" t="s">
        <v>1362</v>
      </c>
      <c r="F3380" s="67" t="s">
        <v>1462</v>
      </c>
      <c r="G3380" s="69">
        <v>386</v>
      </c>
    </row>
    <row r="3381" spans="1:7">
      <c r="A3381" s="67" t="s">
        <v>4864</v>
      </c>
      <c r="B3381" s="70">
        <v>46283</v>
      </c>
      <c r="C3381" s="67" t="s">
        <v>1399</v>
      </c>
      <c r="D3381" s="67" t="s">
        <v>1476</v>
      </c>
      <c r="E3381" s="67" t="s">
        <v>1362</v>
      </c>
      <c r="F3381" s="67" t="s">
        <v>1460</v>
      </c>
      <c r="G3381" s="69">
        <v>26</v>
      </c>
    </row>
    <row r="3382" spans="1:7">
      <c r="A3382" s="67" t="s">
        <v>4865</v>
      </c>
      <c r="B3382" s="70">
        <v>46283</v>
      </c>
      <c r="C3382" s="67" t="s">
        <v>1404</v>
      </c>
      <c r="D3382" s="67" t="s">
        <v>358</v>
      </c>
      <c r="E3382" s="67" t="s">
        <v>1368</v>
      </c>
      <c r="F3382" s="67" t="s">
        <v>1460</v>
      </c>
      <c r="G3382" s="69">
        <v>9</v>
      </c>
    </row>
    <row r="3383" spans="1:7">
      <c r="A3383" s="67" t="s">
        <v>4866</v>
      </c>
      <c r="B3383" s="70">
        <v>46283</v>
      </c>
      <c r="C3383" s="67" t="s">
        <v>1411</v>
      </c>
      <c r="D3383" s="67" t="s">
        <v>1506</v>
      </c>
      <c r="E3383" s="67" t="s">
        <v>1482</v>
      </c>
      <c r="F3383" s="67" t="s">
        <v>1460</v>
      </c>
      <c r="G3383" s="69">
        <v>6</v>
      </c>
    </row>
    <row r="3384" spans="1:7">
      <c r="A3384" s="67" t="s">
        <v>4867</v>
      </c>
      <c r="B3384" s="70">
        <v>46283</v>
      </c>
      <c r="C3384" s="67" t="s">
        <v>1411</v>
      </c>
      <c r="D3384" s="67" t="s">
        <v>1506</v>
      </c>
      <c r="E3384" s="67" t="s">
        <v>1482</v>
      </c>
      <c r="F3384" s="67" t="s">
        <v>1462</v>
      </c>
      <c r="G3384" s="69">
        <v>549</v>
      </c>
    </row>
    <row r="3385" spans="1:7">
      <c r="A3385" s="67" t="s">
        <v>4868</v>
      </c>
      <c r="B3385" s="70">
        <v>46283</v>
      </c>
      <c r="C3385" s="67" t="s">
        <v>1411</v>
      </c>
      <c r="D3385" s="67" t="s">
        <v>1506</v>
      </c>
      <c r="E3385" s="67" t="s">
        <v>1482</v>
      </c>
      <c r="F3385" s="67" t="s">
        <v>1460</v>
      </c>
      <c r="G3385" s="69">
        <v>21</v>
      </c>
    </row>
    <row r="3386" spans="1:7">
      <c r="A3386" s="67" t="s">
        <v>4869</v>
      </c>
      <c r="B3386" s="70">
        <v>46283</v>
      </c>
      <c r="C3386" s="67" t="s">
        <v>1414</v>
      </c>
      <c r="D3386" s="67" t="s">
        <v>1607</v>
      </c>
      <c r="E3386" s="67" t="s">
        <v>1470</v>
      </c>
      <c r="F3386" s="67" t="s">
        <v>1460</v>
      </c>
      <c r="G3386" s="69">
        <v>16</v>
      </c>
    </row>
    <row r="3387" spans="1:7">
      <c r="A3387" s="67" t="s">
        <v>4870</v>
      </c>
      <c r="B3387" s="70">
        <v>46283</v>
      </c>
      <c r="C3387" s="67" t="s">
        <v>1414</v>
      </c>
      <c r="D3387" s="67" t="s">
        <v>1469</v>
      </c>
      <c r="E3387" s="67" t="s">
        <v>1470</v>
      </c>
      <c r="F3387" s="67" t="s">
        <v>1462</v>
      </c>
      <c r="G3387" s="69">
        <v>337</v>
      </c>
    </row>
    <row r="3388" spans="1:7">
      <c r="A3388" s="67" t="s">
        <v>4871</v>
      </c>
      <c r="B3388" s="70">
        <v>46283</v>
      </c>
      <c r="C3388" s="67" t="s">
        <v>1423</v>
      </c>
      <c r="D3388" s="67" t="s">
        <v>1515</v>
      </c>
      <c r="E3388" s="67" t="s">
        <v>1410</v>
      </c>
      <c r="F3388" s="67" t="s">
        <v>1462</v>
      </c>
      <c r="G3388" s="69">
        <v>392</v>
      </c>
    </row>
    <row r="3389" spans="1:7">
      <c r="A3389" s="67" t="s">
        <v>4872</v>
      </c>
      <c r="B3389" s="70">
        <v>46283</v>
      </c>
      <c r="C3389" s="67" t="s">
        <v>1429</v>
      </c>
      <c r="D3389" s="67" t="s">
        <v>367</v>
      </c>
      <c r="E3389" s="67" t="s">
        <v>1368</v>
      </c>
      <c r="F3389" s="67" t="s">
        <v>1462</v>
      </c>
      <c r="G3389" s="69">
        <v>582</v>
      </c>
    </row>
    <row r="3390" spans="1:7">
      <c r="A3390" s="67" t="s">
        <v>4873</v>
      </c>
      <c r="B3390" s="70">
        <v>46283</v>
      </c>
      <c r="C3390" s="67" t="s">
        <v>1431</v>
      </c>
      <c r="D3390" s="67" t="s">
        <v>1618</v>
      </c>
      <c r="E3390" s="67" t="s">
        <v>1433</v>
      </c>
      <c r="F3390" s="67" t="s">
        <v>1462</v>
      </c>
      <c r="G3390" s="69">
        <v>579</v>
      </c>
    </row>
    <row r="3391" spans="1:7">
      <c r="A3391" s="67" t="s">
        <v>4874</v>
      </c>
      <c r="B3391" s="70">
        <v>46283</v>
      </c>
      <c r="C3391" s="67" t="s">
        <v>1444</v>
      </c>
      <c r="D3391" s="67" t="s">
        <v>1466</v>
      </c>
      <c r="E3391" s="67" t="s">
        <v>1386</v>
      </c>
      <c r="F3391" s="67" t="s">
        <v>1462</v>
      </c>
      <c r="G3391" s="69">
        <v>61</v>
      </c>
    </row>
    <row r="3392" spans="1:7">
      <c r="A3392" s="67" t="s">
        <v>4875</v>
      </c>
      <c r="B3392" s="70">
        <v>46284</v>
      </c>
      <c r="C3392" s="67" t="s">
        <v>1359</v>
      </c>
      <c r="D3392" s="67" t="s">
        <v>1476</v>
      </c>
      <c r="E3392" s="67" t="s">
        <v>1362</v>
      </c>
      <c r="F3392" s="67" t="s">
        <v>1462</v>
      </c>
      <c r="G3392" s="69">
        <v>494</v>
      </c>
    </row>
    <row r="3393" spans="1:7">
      <c r="A3393" s="67" t="s">
        <v>4876</v>
      </c>
      <c r="B3393" s="70">
        <v>46284</v>
      </c>
      <c r="C3393" s="67" t="s">
        <v>1366</v>
      </c>
      <c r="D3393" s="67" t="s">
        <v>353</v>
      </c>
      <c r="E3393" s="67" t="s">
        <v>1368</v>
      </c>
      <c r="F3393" s="67" t="s">
        <v>1460</v>
      </c>
      <c r="G3393" s="69">
        <v>12</v>
      </c>
    </row>
    <row r="3394" spans="1:7">
      <c r="A3394" s="67" t="s">
        <v>4877</v>
      </c>
      <c r="B3394" s="70">
        <v>46284</v>
      </c>
      <c r="C3394" s="67" t="s">
        <v>1371</v>
      </c>
      <c r="D3394" s="67" t="s">
        <v>356</v>
      </c>
      <c r="E3394" s="67" t="s">
        <v>1368</v>
      </c>
      <c r="F3394" s="67" t="s">
        <v>1462</v>
      </c>
      <c r="G3394" s="69">
        <v>166</v>
      </c>
    </row>
    <row r="3395" spans="1:7">
      <c r="A3395" s="67" t="s">
        <v>4878</v>
      </c>
      <c r="B3395" s="70">
        <v>46284</v>
      </c>
      <c r="C3395" s="67" t="s">
        <v>1371</v>
      </c>
      <c r="D3395" s="67" t="s">
        <v>1551</v>
      </c>
      <c r="E3395" s="67" t="s">
        <v>1362</v>
      </c>
      <c r="F3395" s="67" t="s">
        <v>1462</v>
      </c>
      <c r="G3395" s="69">
        <v>594</v>
      </c>
    </row>
    <row r="3396" spans="1:7">
      <c r="A3396" s="67" t="s">
        <v>4879</v>
      </c>
      <c r="B3396" s="70">
        <v>46284</v>
      </c>
      <c r="C3396" s="67" t="s">
        <v>1375</v>
      </c>
      <c r="D3396" s="67" t="s">
        <v>1511</v>
      </c>
      <c r="E3396" s="67" t="s">
        <v>1470</v>
      </c>
      <c r="F3396" s="67" t="s">
        <v>1462</v>
      </c>
      <c r="G3396" s="69">
        <v>24</v>
      </c>
    </row>
    <row r="3397" spans="1:7">
      <c r="A3397" s="67" t="s">
        <v>4880</v>
      </c>
      <c r="B3397" s="70">
        <v>46284</v>
      </c>
      <c r="C3397" s="67" t="s">
        <v>1375</v>
      </c>
      <c r="D3397" s="67" t="s">
        <v>367</v>
      </c>
      <c r="E3397" s="67" t="s">
        <v>1368</v>
      </c>
      <c r="F3397" s="67" t="s">
        <v>1462</v>
      </c>
      <c r="G3397" s="69">
        <v>514</v>
      </c>
    </row>
    <row r="3398" spans="1:7">
      <c r="A3398" s="67" t="s">
        <v>4881</v>
      </c>
      <c r="B3398" s="70">
        <v>46284</v>
      </c>
      <c r="C3398" s="67" t="s">
        <v>1381</v>
      </c>
      <c r="D3398" s="67" t="s">
        <v>356</v>
      </c>
      <c r="E3398" s="67" t="s">
        <v>1368</v>
      </c>
      <c r="F3398" s="67" t="s">
        <v>1460</v>
      </c>
      <c r="G3398" s="69">
        <v>27</v>
      </c>
    </row>
    <row r="3399" spans="1:7">
      <c r="A3399" s="67" t="s">
        <v>4882</v>
      </c>
      <c r="B3399" s="70">
        <v>46284</v>
      </c>
      <c r="C3399" s="67" t="s">
        <v>1381</v>
      </c>
      <c r="D3399" s="67" t="s">
        <v>369</v>
      </c>
      <c r="E3399" s="67" t="s">
        <v>1368</v>
      </c>
      <c r="F3399" s="67" t="s">
        <v>1462</v>
      </c>
      <c r="G3399" s="69">
        <v>531</v>
      </c>
    </row>
    <row r="3400" spans="1:7">
      <c r="A3400" s="67" t="s">
        <v>4883</v>
      </c>
      <c r="B3400" s="70">
        <v>46284</v>
      </c>
      <c r="C3400" s="67" t="s">
        <v>1381</v>
      </c>
      <c r="D3400" s="67" t="s">
        <v>358</v>
      </c>
      <c r="E3400" s="67" t="s">
        <v>1368</v>
      </c>
      <c r="F3400" s="67" t="s">
        <v>1462</v>
      </c>
      <c r="G3400" s="69">
        <v>79</v>
      </c>
    </row>
    <row r="3401" spans="1:7">
      <c r="A3401" s="67" t="s">
        <v>4884</v>
      </c>
      <c r="B3401" s="70">
        <v>46284</v>
      </c>
      <c r="C3401" s="67" t="s">
        <v>1389</v>
      </c>
      <c r="D3401" s="67" t="s">
        <v>367</v>
      </c>
      <c r="E3401" s="67" t="s">
        <v>1368</v>
      </c>
      <c r="F3401" s="67" t="s">
        <v>1460</v>
      </c>
      <c r="G3401" s="69">
        <v>26</v>
      </c>
    </row>
    <row r="3402" spans="1:7">
      <c r="A3402" s="67" t="s">
        <v>4885</v>
      </c>
      <c r="B3402" s="70">
        <v>46284</v>
      </c>
      <c r="C3402" s="67" t="s">
        <v>1393</v>
      </c>
      <c r="D3402" s="67" t="s">
        <v>356</v>
      </c>
      <c r="E3402" s="67" t="s">
        <v>1368</v>
      </c>
      <c r="F3402" s="67" t="s">
        <v>1462</v>
      </c>
      <c r="G3402" s="69">
        <v>289</v>
      </c>
    </row>
    <row r="3403" spans="1:7">
      <c r="A3403" s="67" t="s">
        <v>4886</v>
      </c>
      <c r="B3403" s="70">
        <v>46284</v>
      </c>
      <c r="C3403" s="67" t="s">
        <v>1399</v>
      </c>
      <c r="D3403" s="67" t="s">
        <v>1459</v>
      </c>
      <c r="E3403" s="67" t="s">
        <v>1362</v>
      </c>
      <c r="F3403" s="67" t="s">
        <v>1462</v>
      </c>
      <c r="G3403" s="69">
        <v>548</v>
      </c>
    </row>
    <row r="3404" spans="1:7">
      <c r="A3404" s="67" t="s">
        <v>4887</v>
      </c>
      <c r="B3404" s="70">
        <v>46284</v>
      </c>
      <c r="C3404" s="67" t="s">
        <v>1404</v>
      </c>
      <c r="D3404" s="67" t="s">
        <v>356</v>
      </c>
      <c r="E3404" s="67" t="s">
        <v>1368</v>
      </c>
      <c r="F3404" s="67" t="s">
        <v>1462</v>
      </c>
      <c r="G3404" s="69">
        <v>468</v>
      </c>
    </row>
    <row r="3405" spans="1:7">
      <c r="A3405" s="67" t="s">
        <v>4888</v>
      </c>
      <c r="B3405" s="70">
        <v>46284</v>
      </c>
      <c r="C3405" s="67" t="s">
        <v>1404</v>
      </c>
      <c r="D3405" s="67" t="s">
        <v>369</v>
      </c>
      <c r="E3405" s="67" t="s">
        <v>1368</v>
      </c>
      <c r="F3405" s="67" t="s">
        <v>1462</v>
      </c>
      <c r="G3405" s="69">
        <v>89</v>
      </c>
    </row>
    <row r="3406" spans="1:7">
      <c r="A3406" s="67" t="s">
        <v>4889</v>
      </c>
      <c r="B3406" s="70">
        <v>46284</v>
      </c>
      <c r="C3406" s="67" t="s">
        <v>1411</v>
      </c>
      <c r="D3406" s="67" t="s">
        <v>356</v>
      </c>
      <c r="E3406" s="67" t="s">
        <v>1368</v>
      </c>
      <c r="F3406" s="67" t="s">
        <v>1462</v>
      </c>
      <c r="G3406" s="69">
        <v>191</v>
      </c>
    </row>
    <row r="3407" spans="1:7">
      <c r="A3407" s="67" t="s">
        <v>4890</v>
      </c>
      <c r="B3407" s="70">
        <v>46284</v>
      </c>
      <c r="C3407" s="67" t="s">
        <v>1411</v>
      </c>
      <c r="D3407" s="67" t="s">
        <v>1506</v>
      </c>
      <c r="E3407" s="67" t="s">
        <v>1482</v>
      </c>
      <c r="F3407" s="67" t="s">
        <v>1462</v>
      </c>
      <c r="G3407" s="69">
        <v>353</v>
      </c>
    </row>
    <row r="3408" spans="1:7">
      <c r="A3408" s="67" t="s">
        <v>4891</v>
      </c>
      <c r="B3408" s="70">
        <v>46284</v>
      </c>
      <c r="C3408" s="67" t="s">
        <v>1411</v>
      </c>
      <c r="D3408" s="67" t="s">
        <v>1506</v>
      </c>
      <c r="E3408" s="67" t="s">
        <v>1482</v>
      </c>
      <c r="F3408" s="67" t="s">
        <v>1488</v>
      </c>
      <c r="G3408" s="69">
        <v>8</v>
      </c>
    </row>
    <row r="3409" spans="1:7">
      <c r="A3409" s="67" t="s">
        <v>4892</v>
      </c>
      <c r="B3409" s="70">
        <v>46284</v>
      </c>
      <c r="C3409" s="67" t="s">
        <v>1414</v>
      </c>
      <c r="D3409" s="67" t="s">
        <v>1491</v>
      </c>
      <c r="E3409" s="67" t="s">
        <v>1470</v>
      </c>
      <c r="F3409" s="67" t="s">
        <v>1462</v>
      </c>
      <c r="G3409" s="69">
        <v>68</v>
      </c>
    </row>
    <row r="3410" spans="1:7">
      <c r="A3410" s="67" t="s">
        <v>4893</v>
      </c>
      <c r="B3410" s="70">
        <v>46284</v>
      </c>
      <c r="C3410" s="67" t="s">
        <v>1423</v>
      </c>
      <c r="D3410" s="67" t="s">
        <v>1930</v>
      </c>
      <c r="E3410" s="67" t="s">
        <v>1410</v>
      </c>
      <c r="F3410" s="67" t="s">
        <v>1462</v>
      </c>
      <c r="G3410" s="69">
        <v>480</v>
      </c>
    </row>
    <row r="3411" spans="1:7">
      <c r="A3411" s="67" t="s">
        <v>4894</v>
      </c>
      <c r="B3411" s="70">
        <v>46284</v>
      </c>
      <c r="C3411" s="67" t="s">
        <v>1425</v>
      </c>
      <c r="D3411" s="67" t="s">
        <v>1511</v>
      </c>
      <c r="E3411" s="67" t="s">
        <v>1470</v>
      </c>
      <c r="F3411" s="67" t="s">
        <v>1462</v>
      </c>
      <c r="G3411" s="69">
        <v>377</v>
      </c>
    </row>
    <row r="3412" spans="1:7">
      <c r="A3412" s="67" t="s">
        <v>4895</v>
      </c>
      <c r="B3412" s="70">
        <v>46284</v>
      </c>
      <c r="C3412" s="67" t="s">
        <v>1425</v>
      </c>
      <c r="D3412" s="67" t="s">
        <v>1607</v>
      </c>
      <c r="E3412" s="67" t="s">
        <v>1470</v>
      </c>
      <c r="F3412" s="67" t="s">
        <v>1462</v>
      </c>
      <c r="G3412" s="69">
        <v>22</v>
      </c>
    </row>
    <row r="3413" spans="1:7">
      <c r="A3413" s="67" t="s">
        <v>4896</v>
      </c>
      <c r="B3413" s="70">
        <v>46284</v>
      </c>
      <c r="C3413" s="67" t="s">
        <v>1446</v>
      </c>
      <c r="D3413" s="67" t="s">
        <v>1466</v>
      </c>
      <c r="E3413" s="67" t="s">
        <v>1386</v>
      </c>
      <c r="F3413" s="67" t="s">
        <v>1462</v>
      </c>
      <c r="G3413" s="69">
        <v>397</v>
      </c>
    </row>
    <row r="3414" spans="1:7">
      <c r="A3414" s="67" t="s">
        <v>4897</v>
      </c>
      <c r="B3414" s="70">
        <v>46285</v>
      </c>
      <c r="C3414" s="67" t="s">
        <v>1359</v>
      </c>
      <c r="D3414" s="67" t="s">
        <v>1602</v>
      </c>
      <c r="E3414" s="67" t="s">
        <v>1386</v>
      </c>
      <c r="F3414" s="67" t="s">
        <v>1462</v>
      </c>
      <c r="G3414" s="69">
        <v>42</v>
      </c>
    </row>
    <row r="3415" spans="1:7">
      <c r="A3415" s="67" t="s">
        <v>4898</v>
      </c>
      <c r="B3415" s="70">
        <v>46285</v>
      </c>
      <c r="C3415" s="67" t="s">
        <v>1371</v>
      </c>
      <c r="D3415" s="67" t="s">
        <v>1466</v>
      </c>
      <c r="E3415" s="67" t="s">
        <v>1386</v>
      </c>
      <c r="F3415" s="67" t="s">
        <v>1462</v>
      </c>
      <c r="G3415" s="69">
        <v>504</v>
      </c>
    </row>
    <row r="3416" spans="1:7">
      <c r="A3416" s="67" t="s">
        <v>4899</v>
      </c>
      <c r="B3416" s="70">
        <v>46285</v>
      </c>
      <c r="C3416" s="67" t="s">
        <v>1371</v>
      </c>
      <c r="D3416" s="67" t="s">
        <v>1551</v>
      </c>
      <c r="E3416" s="67" t="s">
        <v>1362</v>
      </c>
      <c r="F3416" s="67" t="s">
        <v>1462</v>
      </c>
      <c r="G3416" s="69">
        <v>405</v>
      </c>
    </row>
    <row r="3417" spans="1:7">
      <c r="A3417" s="67" t="s">
        <v>4900</v>
      </c>
      <c r="B3417" s="70">
        <v>46285</v>
      </c>
      <c r="C3417" s="67" t="s">
        <v>1381</v>
      </c>
      <c r="D3417" s="67" t="s">
        <v>356</v>
      </c>
      <c r="E3417" s="67" t="s">
        <v>1368</v>
      </c>
      <c r="F3417" s="67" t="s">
        <v>1462</v>
      </c>
      <c r="G3417" s="69">
        <v>543</v>
      </c>
    </row>
    <row r="3418" spans="1:7">
      <c r="A3418" s="67" t="s">
        <v>4901</v>
      </c>
      <c r="B3418" s="70">
        <v>46285</v>
      </c>
      <c r="C3418" s="67" t="s">
        <v>1381</v>
      </c>
      <c r="D3418" s="67" t="s">
        <v>367</v>
      </c>
      <c r="E3418" s="67" t="s">
        <v>1368</v>
      </c>
      <c r="F3418" s="67" t="s">
        <v>1462</v>
      </c>
      <c r="G3418" s="69">
        <v>580</v>
      </c>
    </row>
    <row r="3419" spans="1:7">
      <c r="A3419" s="67" t="s">
        <v>4902</v>
      </c>
      <c r="B3419" s="70">
        <v>46285</v>
      </c>
      <c r="C3419" s="67" t="s">
        <v>1381</v>
      </c>
      <c r="D3419" s="67" t="s">
        <v>369</v>
      </c>
      <c r="E3419" s="67" t="s">
        <v>1368</v>
      </c>
      <c r="F3419" s="67" t="s">
        <v>1462</v>
      </c>
      <c r="G3419" s="69">
        <v>184</v>
      </c>
    </row>
    <row r="3420" spans="1:7">
      <c r="A3420" s="67" t="s">
        <v>4903</v>
      </c>
      <c r="B3420" s="70">
        <v>46285</v>
      </c>
      <c r="C3420" s="67" t="s">
        <v>1384</v>
      </c>
      <c r="D3420" s="67" t="s">
        <v>1459</v>
      </c>
      <c r="E3420" s="67" t="s">
        <v>1362</v>
      </c>
      <c r="F3420" s="67" t="s">
        <v>1462</v>
      </c>
      <c r="G3420" s="69">
        <v>323</v>
      </c>
    </row>
    <row r="3421" spans="1:7">
      <c r="A3421" s="67" t="s">
        <v>4904</v>
      </c>
      <c r="B3421" s="70">
        <v>46285</v>
      </c>
      <c r="C3421" s="67" t="s">
        <v>1389</v>
      </c>
      <c r="D3421" s="67" t="s">
        <v>360</v>
      </c>
      <c r="E3421" s="67" t="s">
        <v>1368</v>
      </c>
      <c r="F3421" s="67" t="s">
        <v>1460</v>
      </c>
      <c r="G3421" s="69">
        <v>17</v>
      </c>
    </row>
    <row r="3422" spans="1:7">
      <c r="A3422" s="67" t="s">
        <v>4905</v>
      </c>
      <c r="B3422" s="70">
        <v>46285</v>
      </c>
      <c r="C3422" s="67" t="s">
        <v>1393</v>
      </c>
      <c r="D3422" s="67" t="s">
        <v>1520</v>
      </c>
      <c r="E3422" s="67" t="s">
        <v>1433</v>
      </c>
      <c r="F3422" s="67" t="s">
        <v>1462</v>
      </c>
      <c r="G3422" s="69">
        <v>270</v>
      </c>
    </row>
    <row r="3423" spans="1:7">
      <c r="A3423" s="67" t="s">
        <v>4906</v>
      </c>
      <c r="B3423" s="70">
        <v>46285</v>
      </c>
      <c r="C3423" s="67" t="s">
        <v>1399</v>
      </c>
      <c r="D3423" s="67" t="s">
        <v>1602</v>
      </c>
      <c r="E3423" s="67" t="s">
        <v>1386</v>
      </c>
      <c r="F3423" s="67" t="s">
        <v>1462</v>
      </c>
      <c r="G3423" s="69">
        <v>517</v>
      </c>
    </row>
    <row r="3424" spans="1:7">
      <c r="A3424" s="67" t="s">
        <v>4907</v>
      </c>
      <c r="B3424" s="70">
        <v>46285</v>
      </c>
      <c r="C3424" s="67" t="s">
        <v>1404</v>
      </c>
      <c r="D3424" s="67" t="s">
        <v>353</v>
      </c>
      <c r="E3424" s="67" t="s">
        <v>1368</v>
      </c>
      <c r="F3424" s="67" t="s">
        <v>1462</v>
      </c>
      <c r="G3424" s="69">
        <v>584</v>
      </c>
    </row>
    <row r="3425" spans="1:7">
      <c r="A3425" s="67" t="s">
        <v>4908</v>
      </c>
      <c r="B3425" s="70">
        <v>46285</v>
      </c>
      <c r="C3425" s="67" t="s">
        <v>1404</v>
      </c>
      <c r="D3425" s="67" t="s">
        <v>365</v>
      </c>
      <c r="E3425" s="67" t="s">
        <v>1368</v>
      </c>
      <c r="F3425" s="67" t="s">
        <v>1460</v>
      </c>
      <c r="G3425" s="69">
        <v>16</v>
      </c>
    </row>
    <row r="3426" spans="1:7">
      <c r="A3426" s="67" t="s">
        <v>4909</v>
      </c>
      <c r="B3426" s="70">
        <v>46285</v>
      </c>
      <c r="C3426" s="67" t="s">
        <v>1404</v>
      </c>
      <c r="D3426" s="67" t="s">
        <v>1491</v>
      </c>
      <c r="E3426" s="67" t="s">
        <v>1470</v>
      </c>
      <c r="F3426" s="67" t="s">
        <v>1488</v>
      </c>
      <c r="G3426" s="69">
        <v>7</v>
      </c>
    </row>
    <row r="3427" spans="1:7">
      <c r="A3427" s="67" t="s">
        <v>4910</v>
      </c>
      <c r="B3427" s="70">
        <v>46285</v>
      </c>
      <c r="C3427" s="67" t="s">
        <v>1411</v>
      </c>
      <c r="D3427" s="67" t="s">
        <v>1506</v>
      </c>
      <c r="E3427" s="67" t="s">
        <v>1482</v>
      </c>
      <c r="F3427" s="67" t="s">
        <v>1462</v>
      </c>
      <c r="G3427" s="69">
        <v>401</v>
      </c>
    </row>
    <row r="3428" spans="1:7">
      <c r="A3428" s="67" t="s">
        <v>4911</v>
      </c>
      <c r="B3428" s="70">
        <v>46285</v>
      </c>
      <c r="C3428" s="67" t="s">
        <v>1411</v>
      </c>
      <c r="D3428" s="67" t="s">
        <v>1481</v>
      </c>
      <c r="E3428" s="67" t="s">
        <v>1482</v>
      </c>
      <c r="F3428" s="67" t="s">
        <v>1462</v>
      </c>
      <c r="G3428" s="69">
        <v>482</v>
      </c>
    </row>
    <row r="3429" spans="1:7">
      <c r="A3429" s="67" t="s">
        <v>4912</v>
      </c>
      <c r="B3429" s="70">
        <v>46285</v>
      </c>
      <c r="C3429" s="67" t="s">
        <v>1414</v>
      </c>
      <c r="D3429" s="67" t="s">
        <v>1476</v>
      </c>
      <c r="E3429" s="67" t="s">
        <v>1362</v>
      </c>
      <c r="F3429" s="67" t="s">
        <v>1462</v>
      </c>
      <c r="G3429" s="69">
        <v>304</v>
      </c>
    </row>
    <row r="3430" spans="1:7">
      <c r="A3430" s="67" t="s">
        <v>4913</v>
      </c>
      <c r="B3430" s="70">
        <v>46285</v>
      </c>
      <c r="C3430" s="67" t="s">
        <v>1414</v>
      </c>
      <c r="D3430" s="67" t="s">
        <v>1469</v>
      </c>
      <c r="E3430" s="67" t="s">
        <v>1470</v>
      </c>
      <c r="F3430" s="67" t="s">
        <v>1462</v>
      </c>
      <c r="G3430" s="69">
        <v>251</v>
      </c>
    </row>
    <row r="3431" spans="1:7">
      <c r="A3431" s="67" t="s">
        <v>4914</v>
      </c>
      <c r="B3431" s="70">
        <v>46285</v>
      </c>
      <c r="C3431" s="67" t="s">
        <v>1414</v>
      </c>
      <c r="D3431" s="67" t="s">
        <v>1469</v>
      </c>
      <c r="E3431" s="67" t="s">
        <v>1470</v>
      </c>
      <c r="F3431" s="67" t="s">
        <v>1462</v>
      </c>
      <c r="G3431" s="69">
        <v>145</v>
      </c>
    </row>
    <row r="3432" spans="1:7">
      <c r="A3432" s="67" t="s">
        <v>4915</v>
      </c>
      <c r="B3432" s="70">
        <v>46285</v>
      </c>
      <c r="C3432" s="67" t="s">
        <v>1425</v>
      </c>
      <c r="D3432" s="67" t="s">
        <v>1469</v>
      </c>
      <c r="E3432" s="67" t="s">
        <v>1470</v>
      </c>
      <c r="F3432" s="67" t="s">
        <v>1488</v>
      </c>
      <c r="G3432" s="69">
        <v>5</v>
      </c>
    </row>
    <row r="3433" spans="1:7">
      <c r="A3433" s="67" t="s">
        <v>4916</v>
      </c>
      <c r="B3433" s="70">
        <v>46285</v>
      </c>
      <c r="C3433" s="67" t="s">
        <v>1429</v>
      </c>
      <c r="D3433" s="67" t="s">
        <v>353</v>
      </c>
      <c r="E3433" s="67" t="s">
        <v>1368</v>
      </c>
      <c r="F3433" s="67" t="s">
        <v>1488</v>
      </c>
      <c r="G3433" s="69">
        <v>10</v>
      </c>
    </row>
    <row r="3434" spans="1:7">
      <c r="A3434" s="67" t="s">
        <v>4917</v>
      </c>
      <c r="B3434" s="70">
        <v>46285</v>
      </c>
      <c r="C3434" s="67" t="s">
        <v>1444</v>
      </c>
      <c r="D3434" s="67" t="s">
        <v>1466</v>
      </c>
      <c r="E3434" s="67" t="s">
        <v>1386</v>
      </c>
      <c r="F3434" s="67" t="s">
        <v>1460</v>
      </c>
      <c r="G3434" s="69">
        <v>13</v>
      </c>
    </row>
    <row r="3435" spans="1:7">
      <c r="A3435" s="67" t="s">
        <v>4918</v>
      </c>
      <c r="B3435" s="70">
        <v>46285</v>
      </c>
      <c r="C3435" s="67" t="s">
        <v>1444</v>
      </c>
      <c r="D3435" s="67" t="s">
        <v>358</v>
      </c>
      <c r="E3435" s="67" t="s">
        <v>1368</v>
      </c>
      <c r="F3435" s="67" t="s">
        <v>1462</v>
      </c>
      <c r="G3435" s="69">
        <v>115</v>
      </c>
    </row>
    <row r="3436" spans="1:7">
      <c r="A3436" s="67" t="s">
        <v>4919</v>
      </c>
      <c r="B3436" s="70">
        <v>46286</v>
      </c>
      <c r="C3436" s="67" t="s">
        <v>1359</v>
      </c>
      <c r="D3436" s="67" t="s">
        <v>1466</v>
      </c>
      <c r="E3436" s="67" t="s">
        <v>1386</v>
      </c>
      <c r="F3436" s="67" t="s">
        <v>1462</v>
      </c>
      <c r="G3436" s="69">
        <v>505</v>
      </c>
    </row>
    <row r="3437" spans="1:7">
      <c r="A3437" s="67" t="s">
        <v>4920</v>
      </c>
      <c r="B3437" s="70">
        <v>46286</v>
      </c>
      <c r="C3437" s="67" t="s">
        <v>1366</v>
      </c>
      <c r="D3437" s="67" t="s">
        <v>367</v>
      </c>
      <c r="E3437" s="67" t="s">
        <v>1368</v>
      </c>
      <c r="F3437" s="67" t="s">
        <v>1462</v>
      </c>
      <c r="G3437" s="69">
        <v>438</v>
      </c>
    </row>
    <row r="3438" spans="1:7">
      <c r="A3438" s="67" t="s">
        <v>4921</v>
      </c>
      <c r="B3438" s="70">
        <v>46286</v>
      </c>
      <c r="C3438" s="67" t="s">
        <v>1371</v>
      </c>
      <c r="D3438" s="67" t="s">
        <v>367</v>
      </c>
      <c r="E3438" s="67" t="s">
        <v>1368</v>
      </c>
      <c r="F3438" s="67" t="s">
        <v>1462</v>
      </c>
      <c r="G3438" s="69">
        <v>486</v>
      </c>
    </row>
    <row r="3439" spans="1:7">
      <c r="A3439" s="67" t="s">
        <v>4922</v>
      </c>
      <c r="B3439" s="70">
        <v>46286</v>
      </c>
      <c r="C3439" s="67" t="s">
        <v>1371</v>
      </c>
      <c r="D3439" s="67" t="s">
        <v>1459</v>
      </c>
      <c r="E3439" s="67" t="s">
        <v>1362</v>
      </c>
      <c r="F3439" s="67" t="s">
        <v>1488</v>
      </c>
      <c r="G3439" s="69">
        <v>5</v>
      </c>
    </row>
    <row r="3440" spans="1:7">
      <c r="A3440" s="67" t="s">
        <v>4923</v>
      </c>
      <c r="B3440" s="70">
        <v>46286</v>
      </c>
      <c r="C3440" s="67" t="s">
        <v>1381</v>
      </c>
      <c r="D3440" s="67" t="s">
        <v>353</v>
      </c>
      <c r="E3440" s="67" t="s">
        <v>1368</v>
      </c>
      <c r="F3440" s="67" t="s">
        <v>1460</v>
      </c>
      <c r="G3440" s="69">
        <v>5</v>
      </c>
    </row>
    <row r="3441" spans="1:7">
      <c r="A3441" s="67" t="s">
        <v>4924</v>
      </c>
      <c r="B3441" s="70">
        <v>46286</v>
      </c>
      <c r="C3441" s="67" t="s">
        <v>1384</v>
      </c>
      <c r="D3441" s="67" t="s">
        <v>1466</v>
      </c>
      <c r="E3441" s="67" t="s">
        <v>1386</v>
      </c>
      <c r="F3441" s="67" t="s">
        <v>1462</v>
      </c>
      <c r="G3441" s="69">
        <v>448</v>
      </c>
    </row>
    <row r="3442" spans="1:7">
      <c r="A3442" s="67" t="s">
        <v>4925</v>
      </c>
      <c r="B3442" s="70">
        <v>46286</v>
      </c>
      <c r="C3442" s="67" t="s">
        <v>1384</v>
      </c>
      <c r="D3442" s="67" t="s">
        <v>1466</v>
      </c>
      <c r="E3442" s="67" t="s">
        <v>1386</v>
      </c>
      <c r="F3442" s="67" t="s">
        <v>1460</v>
      </c>
      <c r="G3442" s="69">
        <v>13</v>
      </c>
    </row>
    <row r="3443" spans="1:7">
      <c r="A3443" s="67" t="s">
        <v>4926</v>
      </c>
      <c r="B3443" s="70">
        <v>46286</v>
      </c>
      <c r="C3443" s="67" t="s">
        <v>1384</v>
      </c>
      <c r="D3443" s="67" t="s">
        <v>1466</v>
      </c>
      <c r="E3443" s="67" t="s">
        <v>1386</v>
      </c>
      <c r="F3443" s="67" t="s">
        <v>1462</v>
      </c>
      <c r="G3443" s="69">
        <v>59</v>
      </c>
    </row>
    <row r="3444" spans="1:7">
      <c r="A3444" s="67" t="s">
        <v>4927</v>
      </c>
      <c r="B3444" s="70">
        <v>46286</v>
      </c>
      <c r="C3444" s="67" t="s">
        <v>1404</v>
      </c>
      <c r="D3444" s="67" t="s">
        <v>356</v>
      </c>
      <c r="E3444" s="67" t="s">
        <v>1368</v>
      </c>
      <c r="F3444" s="67" t="s">
        <v>1462</v>
      </c>
      <c r="G3444" s="69">
        <v>414</v>
      </c>
    </row>
    <row r="3445" spans="1:7">
      <c r="A3445" s="67" t="s">
        <v>4928</v>
      </c>
      <c r="B3445" s="70">
        <v>46286</v>
      </c>
      <c r="C3445" s="67" t="s">
        <v>1404</v>
      </c>
      <c r="D3445" s="67" t="s">
        <v>365</v>
      </c>
      <c r="E3445" s="67" t="s">
        <v>1368</v>
      </c>
      <c r="F3445" s="67" t="s">
        <v>1462</v>
      </c>
      <c r="G3445" s="69">
        <v>252</v>
      </c>
    </row>
    <row r="3446" spans="1:7">
      <c r="A3446" s="67" t="s">
        <v>4929</v>
      </c>
      <c r="B3446" s="70">
        <v>46286</v>
      </c>
      <c r="C3446" s="67" t="s">
        <v>1404</v>
      </c>
      <c r="D3446" s="67" t="s">
        <v>369</v>
      </c>
      <c r="E3446" s="67" t="s">
        <v>1368</v>
      </c>
      <c r="F3446" s="67" t="s">
        <v>1462</v>
      </c>
      <c r="G3446" s="69">
        <v>52</v>
      </c>
    </row>
    <row r="3447" spans="1:7">
      <c r="A3447" s="67" t="s">
        <v>4930</v>
      </c>
      <c r="B3447" s="70">
        <v>46286</v>
      </c>
      <c r="C3447" s="67" t="s">
        <v>1404</v>
      </c>
      <c r="D3447" s="67" t="s">
        <v>369</v>
      </c>
      <c r="E3447" s="67" t="s">
        <v>1368</v>
      </c>
      <c r="F3447" s="67" t="s">
        <v>1462</v>
      </c>
      <c r="G3447" s="69">
        <v>74</v>
      </c>
    </row>
    <row r="3448" spans="1:7">
      <c r="A3448" s="67" t="s">
        <v>4931</v>
      </c>
      <c r="B3448" s="70">
        <v>46286</v>
      </c>
      <c r="C3448" s="67" t="s">
        <v>1404</v>
      </c>
      <c r="D3448" s="67" t="s">
        <v>358</v>
      </c>
      <c r="E3448" s="67" t="s">
        <v>1368</v>
      </c>
      <c r="F3448" s="67" t="s">
        <v>1462</v>
      </c>
      <c r="G3448" s="69">
        <v>125</v>
      </c>
    </row>
    <row r="3449" spans="1:7">
      <c r="A3449" s="67" t="s">
        <v>4932</v>
      </c>
      <c r="B3449" s="70">
        <v>46286</v>
      </c>
      <c r="C3449" s="67" t="s">
        <v>1406</v>
      </c>
      <c r="D3449" s="67" t="s">
        <v>1484</v>
      </c>
      <c r="E3449" s="67" t="s">
        <v>1470</v>
      </c>
      <c r="F3449" s="67" t="s">
        <v>1462</v>
      </c>
      <c r="G3449" s="69">
        <v>81</v>
      </c>
    </row>
    <row r="3450" spans="1:7">
      <c r="A3450" s="67" t="s">
        <v>4933</v>
      </c>
      <c r="B3450" s="70">
        <v>46286</v>
      </c>
      <c r="C3450" s="67" t="s">
        <v>1411</v>
      </c>
      <c r="D3450" s="67" t="s">
        <v>356</v>
      </c>
      <c r="E3450" s="67" t="s">
        <v>1368</v>
      </c>
      <c r="F3450" s="67" t="s">
        <v>1462</v>
      </c>
      <c r="G3450" s="69">
        <v>151</v>
      </c>
    </row>
    <row r="3451" spans="1:7">
      <c r="A3451" s="67" t="s">
        <v>4934</v>
      </c>
      <c r="B3451" s="70">
        <v>46286</v>
      </c>
      <c r="C3451" s="67" t="s">
        <v>1411</v>
      </c>
      <c r="D3451" s="67" t="s">
        <v>1506</v>
      </c>
      <c r="E3451" s="67" t="s">
        <v>1482</v>
      </c>
      <c r="F3451" s="67" t="s">
        <v>1462</v>
      </c>
      <c r="G3451" s="69">
        <v>591</v>
      </c>
    </row>
    <row r="3452" spans="1:7">
      <c r="A3452" s="67" t="s">
        <v>4935</v>
      </c>
      <c r="B3452" s="70">
        <v>46286</v>
      </c>
      <c r="C3452" s="67" t="s">
        <v>1414</v>
      </c>
      <c r="D3452" s="67" t="s">
        <v>1511</v>
      </c>
      <c r="E3452" s="67" t="s">
        <v>1470</v>
      </c>
      <c r="F3452" s="67" t="s">
        <v>1462</v>
      </c>
      <c r="G3452" s="69">
        <v>509</v>
      </c>
    </row>
    <row r="3453" spans="1:7">
      <c r="A3453" s="67" t="s">
        <v>4936</v>
      </c>
      <c r="B3453" s="70">
        <v>46286</v>
      </c>
      <c r="C3453" s="67" t="s">
        <v>1414</v>
      </c>
      <c r="D3453" s="67" t="s">
        <v>1491</v>
      </c>
      <c r="E3453" s="67" t="s">
        <v>1470</v>
      </c>
      <c r="F3453" s="67" t="s">
        <v>1460</v>
      </c>
      <c r="G3453" s="69">
        <v>27</v>
      </c>
    </row>
    <row r="3454" spans="1:7">
      <c r="A3454" s="67" t="s">
        <v>4937</v>
      </c>
      <c r="B3454" s="70">
        <v>46286</v>
      </c>
      <c r="C3454" s="67" t="s">
        <v>1425</v>
      </c>
      <c r="D3454" s="67" t="s">
        <v>1491</v>
      </c>
      <c r="E3454" s="67" t="s">
        <v>1470</v>
      </c>
      <c r="F3454" s="67" t="s">
        <v>1462</v>
      </c>
      <c r="G3454" s="69">
        <v>70</v>
      </c>
    </row>
    <row r="3455" spans="1:7">
      <c r="A3455" s="67" t="s">
        <v>4938</v>
      </c>
      <c r="B3455" s="70">
        <v>46286</v>
      </c>
      <c r="C3455" s="67" t="s">
        <v>1429</v>
      </c>
      <c r="D3455" s="67" t="s">
        <v>1511</v>
      </c>
      <c r="E3455" s="67" t="s">
        <v>1470</v>
      </c>
      <c r="F3455" s="67" t="s">
        <v>1462</v>
      </c>
      <c r="G3455" s="69">
        <v>592</v>
      </c>
    </row>
    <row r="3456" spans="1:7">
      <c r="A3456" s="67" t="s">
        <v>4939</v>
      </c>
      <c r="B3456" s="70">
        <v>46286</v>
      </c>
      <c r="C3456" s="67" t="s">
        <v>1438</v>
      </c>
      <c r="D3456" s="67" t="s">
        <v>358</v>
      </c>
      <c r="E3456" s="67" t="s">
        <v>1368</v>
      </c>
      <c r="F3456" s="67" t="s">
        <v>1462</v>
      </c>
      <c r="G3456" s="69">
        <v>220</v>
      </c>
    </row>
    <row r="3457" spans="1:7">
      <c r="A3457" s="67" t="s">
        <v>4940</v>
      </c>
      <c r="B3457" s="70">
        <v>46287</v>
      </c>
      <c r="C3457" s="67" t="s">
        <v>1359</v>
      </c>
      <c r="D3457" s="67" t="s">
        <v>1476</v>
      </c>
      <c r="E3457" s="67" t="s">
        <v>1362</v>
      </c>
      <c r="F3457" s="67" t="s">
        <v>1462</v>
      </c>
      <c r="G3457" s="69">
        <v>365</v>
      </c>
    </row>
    <row r="3458" spans="1:7">
      <c r="A3458" s="67" t="s">
        <v>4941</v>
      </c>
      <c r="B3458" s="70">
        <v>46287</v>
      </c>
      <c r="C3458" s="67" t="s">
        <v>1366</v>
      </c>
      <c r="D3458" s="67" t="s">
        <v>356</v>
      </c>
      <c r="E3458" s="67" t="s">
        <v>1368</v>
      </c>
      <c r="F3458" s="67" t="s">
        <v>1462</v>
      </c>
      <c r="G3458" s="69">
        <v>89</v>
      </c>
    </row>
    <row r="3459" spans="1:7">
      <c r="A3459" s="67" t="s">
        <v>4942</v>
      </c>
      <c r="B3459" s="70">
        <v>46287</v>
      </c>
      <c r="C3459" s="67" t="s">
        <v>1371</v>
      </c>
      <c r="D3459" s="67" t="s">
        <v>1476</v>
      </c>
      <c r="E3459" s="67" t="s">
        <v>1362</v>
      </c>
      <c r="F3459" s="67" t="s">
        <v>1462</v>
      </c>
      <c r="G3459" s="69">
        <v>178</v>
      </c>
    </row>
    <row r="3460" spans="1:7">
      <c r="A3460" s="67" t="s">
        <v>4943</v>
      </c>
      <c r="B3460" s="70">
        <v>46287</v>
      </c>
      <c r="C3460" s="67" t="s">
        <v>1371</v>
      </c>
      <c r="D3460" s="67" t="s">
        <v>1476</v>
      </c>
      <c r="E3460" s="67" t="s">
        <v>1362</v>
      </c>
      <c r="F3460" s="67" t="s">
        <v>1462</v>
      </c>
      <c r="G3460" s="69">
        <v>352</v>
      </c>
    </row>
    <row r="3461" spans="1:7">
      <c r="A3461" s="67" t="s">
        <v>4944</v>
      </c>
      <c r="B3461" s="70">
        <v>46287</v>
      </c>
      <c r="C3461" s="67" t="s">
        <v>1381</v>
      </c>
      <c r="D3461" s="67" t="s">
        <v>369</v>
      </c>
      <c r="E3461" s="67" t="s">
        <v>1368</v>
      </c>
      <c r="F3461" s="67" t="s">
        <v>1462</v>
      </c>
      <c r="G3461" s="69">
        <v>190</v>
      </c>
    </row>
    <row r="3462" spans="1:7">
      <c r="A3462" s="67" t="s">
        <v>4945</v>
      </c>
      <c r="B3462" s="70">
        <v>46287</v>
      </c>
      <c r="C3462" s="67" t="s">
        <v>1399</v>
      </c>
      <c r="D3462" s="67" t="s">
        <v>1459</v>
      </c>
      <c r="E3462" s="67" t="s">
        <v>1362</v>
      </c>
      <c r="F3462" s="67" t="s">
        <v>1460</v>
      </c>
      <c r="G3462" s="69">
        <v>6</v>
      </c>
    </row>
    <row r="3463" spans="1:7">
      <c r="A3463" s="67" t="s">
        <v>4946</v>
      </c>
      <c r="B3463" s="70">
        <v>46287</v>
      </c>
      <c r="C3463" s="67" t="s">
        <v>1404</v>
      </c>
      <c r="D3463" s="67" t="s">
        <v>353</v>
      </c>
      <c r="E3463" s="67" t="s">
        <v>1368</v>
      </c>
      <c r="F3463" s="67" t="s">
        <v>1462</v>
      </c>
      <c r="G3463" s="69">
        <v>256</v>
      </c>
    </row>
    <row r="3464" spans="1:7">
      <c r="A3464" s="67" t="s">
        <v>4947</v>
      </c>
      <c r="B3464" s="70">
        <v>46287</v>
      </c>
      <c r="C3464" s="67" t="s">
        <v>1404</v>
      </c>
      <c r="D3464" s="67" t="s">
        <v>1476</v>
      </c>
      <c r="E3464" s="67" t="s">
        <v>1362</v>
      </c>
      <c r="F3464" s="67" t="s">
        <v>1462</v>
      </c>
      <c r="G3464" s="69">
        <v>461</v>
      </c>
    </row>
    <row r="3465" spans="1:7">
      <c r="A3465" s="67" t="s">
        <v>4948</v>
      </c>
      <c r="B3465" s="70">
        <v>46287</v>
      </c>
      <c r="C3465" s="67" t="s">
        <v>1404</v>
      </c>
      <c r="D3465" s="67" t="s">
        <v>367</v>
      </c>
      <c r="E3465" s="67" t="s">
        <v>1368</v>
      </c>
      <c r="F3465" s="67" t="s">
        <v>1462</v>
      </c>
      <c r="G3465" s="69">
        <v>440</v>
      </c>
    </row>
    <row r="3466" spans="1:7">
      <c r="A3466" s="67" t="s">
        <v>4949</v>
      </c>
      <c r="B3466" s="70">
        <v>46287</v>
      </c>
      <c r="C3466" s="67" t="s">
        <v>1404</v>
      </c>
      <c r="D3466" s="67" t="s">
        <v>367</v>
      </c>
      <c r="E3466" s="67" t="s">
        <v>1368</v>
      </c>
      <c r="F3466" s="67" t="s">
        <v>1462</v>
      </c>
      <c r="G3466" s="69">
        <v>320</v>
      </c>
    </row>
    <row r="3467" spans="1:7">
      <c r="A3467" s="67" t="s">
        <v>4950</v>
      </c>
      <c r="B3467" s="70">
        <v>46287</v>
      </c>
      <c r="C3467" s="67" t="s">
        <v>1406</v>
      </c>
      <c r="D3467" s="67" t="s">
        <v>363</v>
      </c>
      <c r="E3467" s="67" t="s">
        <v>1368</v>
      </c>
      <c r="F3467" s="67" t="s">
        <v>1462</v>
      </c>
      <c r="G3467" s="69">
        <v>545</v>
      </c>
    </row>
    <row r="3468" spans="1:7">
      <c r="A3468" s="67" t="s">
        <v>4951</v>
      </c>
      <c r="B3468" s="70">
        <v>46287</v>
      </c>
      <c r="C3468" s="67" t="s">
        <v>1411</v>
      </c>
      <c r="D3468" s="67" t="s">
        <v>1481</v>
      </c>
      <c r="E3468" s="67" t="s">
        <v>1482</v>
      </c>
      <c r="F3468" s="67" t="s">
        <v>1460</v>
      </c>
      <c r="G3468" s="69">
        <v>8</v>
      </c>
    </row>
    <row r="3469" spans="1:7">
      <c r="A3469" s="67" t="s">
        <v>4952</v>
      </c>
      <c r="B3469" s="70">
        <v>46287</v>
      </c>
      <c r="C3469" s="67" t="s">
        <v>1414</v>
      </c>
      <c r="D3469" s="67" t="s">
        <v>1484</v>
      </c>
      <c r="E3469" s="67" t="s">
        <v>1470</v>
      </c>
      <c r="F3469" s="67" t="s">
        <v>1462</v>
      </c>
      <c r="G3469" s="69">
        <v>134</v>
      </c>
    </row>
    <row r="3470" spans="1:7">
      <c r="A3470" s="67" t="s">
        <v>4953</v>
      </c>
      <c r="B3470" s="70">
        <v>46287</v>
      </c>
      <c r="C3470" s="67" t="s">
        <v>1425</v>
      </c>
      <c r="D3470" s="67" t="s">
        <v>1511</v>
      </c>
      <c r="E3470" s="67" t="s">
        <v>1470</v>
      </c>
      <c r="F3470" s="67" t="s">
        <v>1462</v>
      </c>
      <c r="G3470" s="69">
        <v>468</v>
      </c>
    </row>
    <row r="3471" spans="1:7">
      <c r="A3471" s="67" t="s">
        <v>4954</v>
      </c>
      <c r="B3471" s="70">
        <v>46287</v>
      </c>
      <c r="C3471" s="67" t="s">
        <v>1444</v>
      </c>
      <c r="D3471" s="67" t="s">
        <v>1551</v>
      </c>
      <c r="E3471" s="67" t="s">
        <v>1362</v>
      </c>
      <c r="F3471" s="67" t="s">
        <v>1460</v>
      </c>
      <c r="G3471" s="69">
        <v>26</v>
      </c>
    </row>
    <row r="3472" spans="1:7">
      <c r="A3472" s="67" t="s">
        <v>4955</v>
      </c>
      <c r="B3472" s="70">
        <v>46287</v>
      </c>
      <c r="C3472" s="67" t="s">
        <v>1444</v>
      </c>
      <c r="D3472" s="67" t="s">
        <v>1551</v>
      </c>
      <c r="E3472" s="67" t="s">
        <v>1362</v>
      </c>
      <c r="F3472" s="67" t="s">
        <v>1460</v>
      </c>
      <c r="G3472" s="69">
        <v>17</v>
      </c>
    </row>
    <row r="3473" spans="1:7">
      <c r="A3473" s="67" t="s">
        <v>4956</v>
      </c>
      <c r="B3473" s="70">
        <v>46287</v>
      </c>
      <c r="C3473" s="67" t="s">
        <v>1444</v>
      </c>
      <c r="D3473" s="67" t="s">
        <v>1459</v>
      </c>
      <c r="E3473" s="67" t="s">
        <v>1362</v>
      </c>
      <c r="F3473" s="67" t="s">
        <v>1460</v>
      </c>
      <c r="G3473" s="69">
        <v>15</v>
      </c>
    </row>
    <row r="3474" spans="1:7">
      <c r="A3474" s="67" t="s">
        <v>4957</v>
      </c>
      <c r="B3474" s="70">
        <v>46288</v>
      </c>
      <c r="C3474" s="67" t="s">
        <v>1359</v>
      </c>
      <c r="D3474" s="67" t="s">
        <v>1476</v>
      </c>
      <c r="E3474" s="67" t="s">
        <v>1362</v>
      </c>
      <c r="F3474" s="67" t="s">
        <v>1462</v>
      </c>
      <c r="G3474" s="69">
        <v>106</v>
      </c>
    </row>
    <row r="3475" spans="1:7">
      <c r="A3475" s="67" t="s">
        <v>4958</v>
      </c>
      <c r="B3475" s="70">
        <v>46288</v>
      </c>
      <c r="C3475" s="67" t="s">
        <v>1366</v>
      </c>
      <c r="D3475" s="67" t="s">
        <v>1476</v>
      </c>
      <c r="E3475" s="67" t="s">
        <v>1362</v>
      </c>
      <c r="F3475" s="67" t="s">
        <v>1462</v>
      </c>
      <c r="G3475" s="69">
        <v>231</v>
      </c>
    </row>
    <row r="3476" spans="1:7">
      <c r="A3476" s="67" t="s">
        <v>4959</v>
      </c>
      <c r="B3476" s="70">
        <v>46288</v>
      </c>
      <c r="C3476" s="67" t="s">
        <v>1378</v>
      </c>
      <c r="D3476" s="67" t="s">
        <v>1511</v>
      </c>
      <c r="E3476" s="67" t="s">
        <v>1470</v>
      </c>
      <c r="F3476" s="67" t="s">
        <v>1462</v>
      </c>
      <c r="G3476" s="69">
        <v>557</v>
      </c>
    </row>
    <row r="3477" spans="1:7">
      <c r="A3477" s="67" t="s">
        <v>4960</v>
      </c>
      <c r="B3477" s="70">
        <v>46288</v>
      </c>
      <c r="C3477" s="67" t="s">
        <v>1381</v>
      </c>
      <c r="D3477" s="67" t="s">
        <v>367</v>
      </c>
      <c r="E3477" s="67" t="s">
        <v>1368</v>
      </c>
      <c r="F3477" s="67" t="s">
        <v>1462</v>
      </c>
      <c r="G3477" s="69">
        <v>592</v>
      </c>
    </row>
    <row r="3478" spans="1:7">
      <c r="A3478" s="67" t="s">
        <v>4961</v>
      </c>
      <c r="B3478" s="70">
        <v>46288</v>
      </c>
      <c r="C3478" s="67" t="s">
        <v>1381</v>
      </c>
      <c r="D3478" s="67" t="s">
        <v>367</v>
      </c>
      <c r="E3478" s="67" t="s">
        <v>1368</v>
      </c>
      <c r="F3478" s="67" t="s">
        <v>1462</v>
      </c>
      <c r="G3478" s="69">
        <v>167</v>
      </c>
    </row>
    <row r="3479" spans="1:7">
      <c r="A3479" s="67" t="s">
        <v>4962</v>
      </c>
      <c r="B3479" s="70">
        <v>46288</v>
      </c>
      <c r="C3479" s="67" t="s">
        <v>1381</v>
      </c>
      <c r="D3479" s="67" t="s">
        <v>367</v>
      </c>
      <c r="E3479" s="67" t="s">
        <v>1368</v>
      </c>
      <c r="F3479" s="67" t="s">
        <v>1462</v>
      </c>
      <c r="G3479" s="69">
        <v>155</v>
      </c>
    </row>
    <row r="3480" spans="1:7">
      <c r="A3480" s="67" t="s">
        <v>4963</v>
      </c>
      <c r="B3480" s="70">
        <v>46288</v>
      </c>
      <c r="C3480" s="67" t="s">
        <v>1399</v>
      </c>
      <c r="D3480" s="67" t="s">
        <v>1551</v>
      </c>
      <c r="E3480" s="67" t="s">
        <v>1362</v>
      </c>
      <c r="F3480" s="67" t="s">
        <v>1460</v>
      </c>
      <c r="G3480" s="69">
        <v>12</v>
      </c>
    </row>
    <row r="3481" spans="1:7">
      <c r="A3481" s="67" t="s">
        <v>4964</v>
      </c>
      <c r="B3481" s="70">
        <v>46288</v>
      </c>
      <c r="C3481" s="67" t="s">
        <v>1406</v>
      </c>
      <c r="D3481" s="67" t="s">
        <v>1484</v>
      </c>
      <c r="E3481" s="67" t="s">
        <v>1470</v>
      </c>
      <c r="F3481" s="67" t="s">
        <v>1462</v>
      </c>
      <c r="G3481" s="69">
        <v>536</v>
      </c>
    </row>
    <row r="3482" spans="1:7">
      <c r="A3482" s="67" t="s">
        <v>4965</v>
      </c>
      <c r="B3482" s="70">
        <v>46288</v>
      </c>
      <c r="C3482" s="67" t="s">
        <v>1406</v>
      </c>
      <c r="D3482" s="67" t="s">
        <v>358</v>
      </c>
      <c r="E3482" s="67" t="s">
        <v>1368</v>
      </c>
      <c r="F3482" s="67" t="s">
        <v>1462</v>
      </c>
      <c r="G3482" s="69">
        <v>506</v>
      </c>
    </row>
    <row r="3483" spans="1:7">
      <c r="A3483" s="67" t="s">
        <v>4966</v>
      </c>
      <c r="B3483" s="70">
        <v>46288</v>
      </c>
      <c r="C3483" s="67" t="s">
        <v>1411</v>
      </c>
      <c r="D3483" s="67" t="s">
        <v>1506</v>
      </c>
      <c r="E3483" s="67" t="s">
        <v>1482</v>
      </c>
      <c r="F3483" s="67" t="s">
        <v>1462</v>
      </c>
      <c r="G3483" s="69">
        <v>146</v>
      </c>
    </row>
    <row r="3484" spans="1:7">
      <c r="A3484" s="67" t="s">
        <v>4967</v>
      </c>
      <c r="B3484" s="70">
        <v>46288</v>
      </c>
      <c r="C3484" s="67" t="s">
        <v>1411</v>
      </c>
      <c r="D3484" s="67" t="s">
        <v>1481</v>
      </c>
      <c r="E3484" s="67" t="s">
        <v>1482</v>
      </c>
      <c r="F3484" s="67" t="s">
        <v>1462</v>
      </c>
      <c r="G3484" s="69">
        <v>484</v>
      </c>
    </row>
    <row r="3485" spans="1:7">
      <c r="A3485" s="67" t="s">
        <v>4968</v>
      </c>
      <c r="B3485" s="70">
        <v>46288</v>
      </c>
      <c r="C3485" s="67" t="s">
        <v>1411</v>
      </c>
      <c r="D3485" s="67" t="s">
        <v>1481</v>
      </c>
      <c r="E3485" s="67" t="s">
        <v>1482</v>
      </c>
      <c r="F3485" s="67" t="s">
        <v>1462</v>
      </c>
      <c r="G3485" s="69">
        <v>487</v>
      </c>
    </row>
    <row r="3486" spans="1:7">
      <c r="A3486" s="67" t="s">
        <v>4969</v>
      </c>
      <c r="B3486" s="70">
        <v>46288</v>
      </c>
      <c r="C3486" s="67" t="s">
        <v>1414</v>
      </c>
      <c r="D3486" s="67" t="s">
        <v>1511</v>
      </c>
      <c r="E3486" s="67" t="s">
        <v>1470</v>
      </c>
      <c r="F3486" s="67" t="s">
        <v>1462</v>
      </c>
      <c r="G3486" s="69">
        <v>559</v>
      </c>
    </row>
    <row r="3487" spans="1:7">
      <c r="A3487" s="67" t="s">
        <v>4970</v>
      </c>
      <c r="B3487" s="70">
        <v>46288</v>
      </c>
      <c r="C3487" s="67" t="s">
        <v>1414</v>
      </c>
      <c r="D3487" s="67" t="s">
        <v>1484</v>
      </c>
      <c r="E3487" s="67" t="s">
        <v>1470</v>
      </c>
      <c r="F3487" s="67" t="s">
        <v>1462</v>
      </c>
      <c r="G3487" s="69">
        <v>255</v>
      </c>
    </row>
    <row r="3488" spans="1:7">
      <c r="A3488" s="67" t="s">
        <v>4971</v>
      </c>
      <c r="B3488" s="70">
        <v>46288</v>
      </c>
      <c r="C3488" s="67" t="s">
        <v>1414</v>
      </c>
      <c r="D3488" s="67" t="s">
        <v>1469</v>
      </c>
      <c r="E3488" s="67" t="s">
        <v>1470</v>
      </c>
      <c r="F3488" s="67" t="s">
        <v>1462</v>
      </c>
      <c r="G3488" s="69">
        <v>151</v>
      </c>
    </row>
    <row r="3489" spans="1:7">
      <c r="A3489" s="67" t="s">
        <v>4972</v>
      </c>
      <c r="B3489" s="70">
        <v>46289</v>
      </c>
      <c r="C3489" s="67" t="s">
        <v>1366</v>
      </c>
      <c r="D3489" s="67" t="s">
        <v>353</v>
      </c>
      <c r="E3489" s="67" t="s">
        <v>1368</v>
      </c>
      <c r="F3489" s="67" t="s">
        <v>1462</v>
      </c>
      <c r="G3489" s="69">
        <v>327</v>
      </c>
    </row>
    <row r="3490" spans="1:7">
      <c r="A3490" s="67" t="s">
        <v>4973</v>
      </c>
      <c r="B3490" s="70">
        <v>46289</v>
      </c>
      <c r="C3490" s="67" t="s">
        <v>1381</v>
      </c>
      <c r="D3490" s="67" t="s">
        <v>369</v>
      </c>
      <c r="E3490" s="67" t="s">
        <v>1368</v>
      </c>
      <c r="F3490" s="67" t="s">
        <v>1460</v>
      </c>
      <c r="G3490" s="69">
        <v>5</v>
      </c>
    </row>
    <row r="3491" spans="1:7">
      <c r="A3491" s="67" t="s">
        <v>4974</v>
      </c>
      <c r="B3491" s="70">
        <v>46289</v>
      </c>
      <c r="C3491" s="67" t="s">
        <v>1384</v>
      </c>
      <c r="D3491" s="67" t="s">
        <v>1466</v>
      </c>
      <c r="E3491" s="67" t="s">
        <v>1386</v>
      </c>
      <c r="F3491" s="67" t="s">
        <v>1462</v>
      </c>
      <c r="G3491" s="69">
        <v>572</v>
      </c>
    </row>
    <row r="3492" spans="1:7">
      <c r="A3492" s="67" t="s">
        <v>4975</v>
      </c>
      <c r="B3492" s="70">
        <v>46289</v>
      </c>
      <c r="C3492" s="67" t="s">
        <v>1384</v>
      </c>
      <c r="D3492" s="67" t="s">
        <v>1466</v>
      </c>
      <c r="E3492" s="67" t="s">
        <v>1386</v>
      </c>
      <c r="F3492" s="67" t="s">
        <v>1462</v>
      </c>
      <c r="G3492" s="69">
        <v>324</v>
      </c>
    </row>
    <row r="3493" spans="1:7">
      <c r="A3493" s="67" t="s">
        <v>4976</v>
      </c>
      <c r="B3493" s="70">
        <v>46289</v>
      </c>
      <c r="C3493" s="67" t="s">
        <v>1399</v>
      </c>
      <c r="D3493" s="67" t="s">
        <v>1602</v>
      </c>
      <c r="E3493" s="67" t="s">
        <v>1386</v>
      </c>
      <c r="F3493" s="67" t="s">
        <v>1462</v>
      </c>
      <c r="G3493" s="69">
        <v>454</v>
      </c>
    </row>
    <row r="3494" spans="1:7">
      <c r="A3494" s="67" t="s">
        <v>4977</v>
      </c>
      <c r="B3494" s="70">
        <v>46289</v>
      </c>
      <c r="C3494" s="67" t="s">
        <v>1404</v>
      </c>
      <c r="D3494" s="67" t="s">
        <v>367</v>
      </c>
      <c r="E3494" s="67" t="s">
        <v>1368</v>
      </c>
      <c r="F3494" s="67" t="s">
        <v>1462</v>
      </c>
      <c r="G3494" s="69">
        <v>478</v>
      </c>
    </row>
    <row r="3495" spans="1:7">
      <c r="A3495" s="67" t="s">
        <v>4978</v>
      </c>
      <c r="B3495" s="70">
        <v>46289</v>
      </c>
      <c r="C3495" s="67" t="s">
        <v>1404</v>
      </c>
      <c r="D3495" s="67" t="s">
        <v>1491</v>
      </c>
      <c r="E3495" s="67" t="s">
        <v>1470</v>
      </c>
      <c r="F3495" s="67" t="s">
        <v>1462</v>
      </c>
      <c r="G3495" s="69">
        <v>474</v>
      </c>
    </row>
    <row r="3496" spans="1:7">
      <c r="A3496" s="67" t="s">
        <v>4979</v>
      </c>
      <c r="B3496" s="70">
        <v>46289</v>
      </c>
      <c r="C3496" s="67" t="s">
        <v>1406</v>
      </c>
      <c r="D3496" s="67" t="s">
        <v>363</v>
      </c>
      <c r="E3496" s="67" t="s">
        <v>1368</v>
      </c>
      <c r="F3496" s="67" t="s">
        <v>1462</v>
      </c>
      <c r="G3496" s="69">
        <v>76</v>
      </c>
    </row>
    <row r="3497" spans="1:7">
      <c r="A3497" s="67" t="s">
        <v>4980</v>
      </c>
      <c r="B3497" s="70">
        <v>46289</v>
      </c>
      <c r="C3497" s="67" t="s">
        <v>1411</v>
      </c>
      <c r="D3497" s="67" t="s">
        <v>356</v>
      </c>
      <c r="E3497" s="67" t="s">
        <v>1368</v>
      </c>
      <c r="F3497" s="67" t="s">
        <v>1462</v>
      </c>
      <c r="G3497" s="69">
        <v>465</v>
      </c>
    </row>
    <row r="3498" spans="1:7">
      <c r="A3498" s="67" t="s">
        <v>4981</v>
      </c>
      <c r="B3498" s="70">
        <v>46289</v>
      </c>
      <c r="C3498" s="67" t="s">
        <v>1411</v>
      </c>
      <c r="D3498" s="67" t="s">
        <v>1481</v>
      </c>
      <c r="E3498" s="67" t="s">
        <v>1482</v>
      </c>
      <c r="F3498" s="67" t="s">
        <v>1462</v>
      </c>
      <c r="G3498" s="69">
        <v>499</v>
      </c>
    </row>
    <row r="3499" spans="1:7">
      <c r="A3499" s="67" t="s">
        <v>4982</v>
      </c>
      <c r="B3499" s="70">
        <v>46289</v>
      </c>
      <c r="C3499" s="67" t="s">
        <v>1411</v>
      </c>
      <c r="D3499" s="67" t="s">
        <v>1481</v>
      </c>
      <c r="E3499" s="67" t="s">
        <v>1482</v>
      </c>
      <c r="F3499" s="67" t="s">
        <v>1462</v>
      </c>
      <c r="G3499" s="69">
        <v>154</v>
      </c>
    </row>
    <row r="3500" spans="1:7">
      <c r="A3500" s="67" t="s">
        <v>4983</v>
      </c>
      <c r="B3500" s="70">
        <v>46289</v>
      </c>
      <c r="C3500" s="67" t="s">
        <v>1414</v>
      </c>
      <c r="D3500" s="67" t="s">
        <v>1511</v>
      </c>
      <c r="E3500" s="67" t="s">
        <v>1470</v>
      </c>
      <c r="F3500" s="67" t="s">
        <v>1460</v>
      </c>
      <c r="G3500" s="69">
        <v>18</v>
      </c>
    </row>
    <row r="3501" spans="1:7">
      <c r="A3501" s="67" t="s">
        <v>4984</v>
      </c>
      <c r="B3501" s="70">
        <v>46289</v>
      </c>
      <c r="C3501" s="67" t="s">
        <v>1414</v>
      </c>
      <c r="D3501" s="67" t="s">
        <v>1484</v>
      </c>
      <c r="E3501" s="67" t="s">
        <v>1470</v>
      </c>
      <c r="F3501" s="67" t="s">
        <v>1460</v>
      </c>
      <c r="G3501" s="69">
        <v>6</v>
      </c>
    </row>
    <row r="3502" spans="1:7">
      <c r="A3502" s="67" t="s">
        <v>4985</v>
      </c>
      <c r="B3502" s="70">
        <v>46289</v>
      </c>
      <c r="C3502" s="67" t="s">
        <v>1414</v>
      </c>
      <c r="D3502" s="67" t="s">
        <v>1484</v>
      </c>
      <c r="E3502" s="67" t="s">
        <v>1470</v>
      </c>
      <c r="F3502" s="67" t="s">
        <v>1460</v>
      </c>
      <c r="G3502" s="69">
        <v>24</v>
      </c>
    </row>
    <row r="3503" spans="1:7">
      <c r="A3503" s="67" t="s">
        <v>4986</v>
      </c>
      <c r="B3503" s="70">
        <v>46289</v>
      </c>
      <c r="C3503" s="67" t="s">
        <v>1414</v>
      </c>
      <c r="D3503" s="67" t="s">
        <v>1469</v>
      </c>
      <c r="E3503" s="67" t="s">
        <v>1470</v>
      </c>
      <c r="F3503" s="67" t="s">
        <v>1462</v>
      </c>
      <c r="G3503" s="69">
        <v>170</v>
      </c>
    </row>
    <row r="3504" spans="1:7">
      <c r="A3504" s="67" t="s">
        <v>4987</v>
      </c>
      <c r="B3504" s="70">
        <v>46289</v>
      </c>
      <c r="C3504" s="67" t="s">
        <v>1444</v>
      </c>
      <c r="D3504" s="67" t="s">
        <v>1459</v>
      </c>
      <c r="E3504" s="67" t="s">
        <v>1362</v>
      </c>
      <c r="F3504" s="67" t="s">
        <v>1462</v>
      </c>
      <c r="G3504" s="69">
        <v>292</v>
      </c>
    </row>
    <row r="3505" spans="1:7">
      <c r="A3505" s="67" t="s">
        <v>4988</v>
      </c>
      <c r="B3505" s="70">
        <v>46289</v>
      </c>
      <c r="C3505" s="67" t="s">
        <v>1450</v>
      </c>
      <c r="D3505" s="67" t="s">
        <v>1481</v>
      </c>
      <c r="E3505" s="67" t="s">
        <v>1482</v>
      </c>
      <c r="F3505" s="67" t="s">
        <v>1462</v>
      </c>
      <c r="G3505" s="69">
        <v>356</v>
      </c>
    </row>
    <row r="3506" spans="1:7">
      <c r="A3506" s="67" t="s">
        <v>4989</v>
      </c>
      <c r="B3506" s="70">
        <v>46290</v>
      </c>
      <c r="C3506" s="67" t="s">
        <v>1359</v>
      </c>
      <c r="D3506" s="67" t="s">
        <v>356</v>
      </c>
      <c r="E3506" s="67" t="s">
        <v>1368</v>
      </c>
      <c r="F3506" s="67" t="s">
        <v>1460</v>
      </c>
      <c r="G3506" s="69">
        <v>22</v>
      </c>
    </row>
    <row r="3507" spans="1:7">
      <c r="A3507" s="67" t="s">
        <v>4990</v>
      </c>
      <c r="B3507" s="70">
        <v>46290</v>
      </c>
      <c r="C3507" s="67" t="s">
        <v>1359</v>
      </c>
      <c r="D3507" s="67" t="s">
        <v>356</v>
      </c>
      <c r="E3507" s="67" t="s">
        <v>1368</v>
      </c>
      <c r="F3507" s="67" t="s">
        <v>1462</v>
      </c>
      <c r="G3507" s="69">
        <v>294</v>
      </c>
    </row>
    <row r="3508" spans="1:7">
      <c r="A3508" s="67" t="s">
        <v>4991</v>
      </c>
      <c r="B3508" s="70">
        <v>46290</v>
      </c>
      <c r="C3508" s="67" t="s">
        <v>1371</v>
      </c>
      <c r="D3508" s="67" t="s">
        <v>1459</v>
      </c>
      <c r="E3508" s="67" t="s">
        <v>1362</v>
      </c>
      <c r="F3508" s="67" t="s">
        <v>1462</v>
      </c>
      <c r="G3508" s="69">
        <v>476</v>
      </c>
    </row>
    <row r="3509" spans="1:7">
      <c r="A3509" s="67" t="s">
        <v>4992</v>
      </c>
      <c r="B3509" s="70">
        <v>46290</v>
      </c>
      <c r="C3509" s="67" t="s">
        <v>1381</v>
      </c>
      <c r="D3509" s="67" t="s">
        <v>1484</v>
      </c>
      <c r="E3509" s="67" t="s">
        <v>1470</v>
      </c>
      <c r="F3509" s="67" t="s">
        <v>1462</v>
      </c>
      <c r="G3509" s="69">
        <v>174</v>
      </c>
    </row>
    <row r="3510" spans="1:7">
      <c r="A3510" s="67" t="s">
        <v>4993</v>
      </c>
      <c r="B3510" s="70">
        <v>46290</v>
      </c>
      <c r="C3510" s="67" t="s">
        <v>1384</v>
      </c>
      <c r="D3510" s="67" t="s">
        <v>1476</v>
      </c>
      <c r="E3510" s="67" t="s">
        <v>1362</v>
      </c>
      <c r="F3510" s="67" t="s">
        <v>1488</v>
      </c>
      <c r="G3510" s="69">
        <v>8</v>
      </c>
    </row>
    <row r="3511" spans="1:7">
      <c r="A3511" s="67" t="s">
        <v>4994</v>
      </c>
      <c r="B3511" s="70">
        <v>46290</v>
      </c>
      <c r="C3511" s="67" t="s">
        <v>1389</v>
      </c>
      <c r="D3511" s="67" t="s">
        <v>369</v>
      </c>
      <c r="E3511" s="67" t="s">
        <v>1368</v>
      </c>
      <c r="F3511" s="67" t="s">
        <v>1462</v>
      </c>
      <c r="G3511" s="69">
        <v>240</v>
      </c>
    </row>
    <row r="3512" spans="1:7">
      <c r="A3512" s="67" t="s">
        <v>4995</v>
      </c>
      <c r="B3512" s="70">
        <v>46290</v>
      </c>
      <c r="C3512" s="67" t="s">
        <v>1399</v>
      </c>
      <c r="D3512" s="67" t="s">
        <v>1466</v>
      </c>
      <c r="E3512" s="67" t="s">
        <v>1386</v>
      </c>
      <c r="F3512" s="67" t="s">
        <v>1462</v>
      </c>
      <c r="G3512" s="69">
        <v>284</v>
      </c>
    </row>
    <row r="3513" spans="1:7">
      <c r="A3513" s="67" t="s">
        <v>4996</v>
      </c>
      <c r="B3513" s="70">
        <v>46290</v>
      </c>
      <c r="C3513" s="67" t="s">
        <v>1399</v>
      </c>
      <c r="D3513" s="67" t="s">
        <v>1459</v>
      </c>
      <c r="E3513" s="67" t="s">
        <v>1362</v>
      </c>
      <c r="F3513" s="67" t="s">
        <v>1462</v>
      </c>
      <c r="G3513" s="69">
        <v>137</v>
      </c>
    </row>
    <row r="3514" spans="1:7">
      <c r="A3514" s="67" t="s">
        <v>4997</v>
      </c>
      <c r="B3514" s="70">
        <v>46290</v>
      </c>
      <c r="C3514" s="67" t="s">
        <v>1411</v>
      </c>
      <c r="D3514" s="67" t="s">
        <v>1506</v>
      </c>
      <c r="E3514" s="67" t="s">
        <v>1482</v>
      </c>
      <c r="F3514" s="67" t="s">
        <v>1462</v>
      </c>
      <c r="G3514" s="69">
        <v>510</v>
      </c>
    </row>
    <row r="3515" spans="1:7">
      <c r="A3515" s="67" t="s">
        <v>4998</v>
      </c>
      <c r="B3515" s="70">
        <v>46290</v>
      </c>
      <c r="C3515" s="67" t="s">
        <v>1411</v>
      </c>
      <c r="D3515" s="67" t="s">
        <v>1506</v>
      </c>
      <c r="E3515" s="67" t="s">
        <v>1482</v>
      </c>
      <c r="F3515" s="67" t="s">
        <v>1462</v>
      </c>
      <c r="G3515" s="69">
        <v>27</v>
      </c>
    </row>
    <row r="3516" spans="1:7">
      <c r="A3516" s="67" t="s">
        <v>4999</v>
      </c>
      <c r="B3516" s="70">
        <v>46290</v>
      </c>
      <c r="C3516" s="67" t="s">
        <v>1411</v>
      </c>
      <c r="D3516" s="67" t="s">
        <v>1506</v>
      </c>
      <c r="E3516" s="67" t="s">
        <v>1482</v>
      </c>
      <c r="F3516" s="67" t="s">
        <v>1462</v>
      </c>
      <c r="G3516" s="69">
        <v>514</v>
      </c>
    </row>
    <row r="3517" spans="1:7">
      <c r="A3517" s="67" t="s">
        <v>5000</v>
      </c>
      <c r="B3517" s="70">
        <v>46290</v>
      </c>
      <c r="C3517" s="67" t="s">
        <v>1411</v>
      </c>
      <c r="D3517" s="67" t="s">
        <v>1481</v>
      </c>
      <c r="E3517" s="67" t="s">
        <v>1482</v>
      </c>
      <c r="F3517" s="67" t="s">
        <v>1462</v>
      </c>
      <c r="G3517" s="69">
        <v>391</v>
      </c>
    </row>
    <row r="3518" spans="1:7">
      <c r="A3518" s="67" t="s">
        <v>5001</v>
      </c>
      <c r="B3518" s="70">
        <v>46290</v>
      </c>
      <c r="C3518" s="67" t="s">
        <v>1411</v>
      </c>
      <c r="D3518" s="67" t="s">
        <v>1481</v>
      </c>
      <c r="E3518" s="67" t="s">
        <v>1482</v>
      </c>
      <c r="F3518" s="67" t="s">
        <v>1462</v>
      </c>
      <c r="G3518" s="69">
        <v>355</v>
      </c>
    </row>
    <row r="3519" spans="1:7">
      <c r="A3519" s="67" t="s">
        <v>5002</v>
      </c>
      <c r="B3519" s="70">
        <v>46290</v>
      </c>
      <c r="C3519" s="67" t="s">
        <v>1429</v>
      </c>
      <c r="D3519" s="67" t="s">
        <v>356</v>
      </c>
      <c r="E3519" s="67" t="s">
        <v>1368</v>
      </c>
      <c r="F3519" s="67" t="s">
        <v>1460</v>
      </c>
      <c r="G3519" s="69">
        <v>10</v>
      </c>
    </row>
    <row r="3520" spans="1:7">
      <c r="A3520" s="67" t="s">
        <v>5003</v>
      </c>
      <c r="B3520" s="70">
        <v>46290</v>
      </c>
      <c r="C3520" s="67" t="s">
        <v>1429</v>
      </c>
      <c r="D3520" s="67" t="s">
        <v>365</v>
      </c>
      <c r="E3520" s="67" t="s">
        <v>1368</v>
      </c>
      <c r="F3520" s="67" t="s">
        <v>1462</v>
      </c>
      <c r="G3520" s="69">
        <v>265</v>
      </c>
    </row>
    <row r="3521" spans="1:7">
      <c r="A3521" s="67" t="s">
        <v>5004</v>
      </c>
      <c r="B3521" s="70">
        <v>46291</v>
      </c>
      <c r="C3521" s="67" t="s">
        <v>1359</v>
      </c>
      <c r="D3521" s="67" t="s">
        <v>367</v>
      </c>
      <c r="E3521" s="67" t="s">
        <v>1368</v>
      </c>
      <c r="F3521" s="67" t="s">
        <v>1462</v>
      </c>
      <c r="G3521" s="69">
        <v>51</v>
      </c>
    </row>
    <row r="3522" spans="1:7">
      <c r="A3522" s="67" t="s">
        <v>5005</v>
      </c>
      <c r="B3522" s="70">
        <v>46291</v>
      </c>
      <c r="C3522" s="67" t="s">
        <v>1359</v>
      </c>
      <c r="D3522" s="67" t="s">
        <v>1466</v>
      </c>
      <c r="E3522" s="67" t="s">
        <v>1386</v>
      </c>
      <c r="F3522" s="67" t="s">
        <v>1462</v>
      </c>
      <c r="G3522" s="69">
        <v>501</v>
      </c>
    </row>
    <row r="3523" spans="1:7">
      <c r="A3523" s="67" t="s">
        <v>5006</v>
      </c>
      <c r="B3523" s="70">
        <v>46291</v>
      </c>
      <c r="C3523" s="67" t="s">
        <v>1359</v>
      </c>
      <c r="D3523" s="67" t="s">
        <v>1466</v>
      </c>
      <c r="E3523" s="67" t="s">
        <v>1386</v>
      </c>
      <c r="F3523" s="67" t="s">
        <v>1462</v>
      </c>
      <c r="G3523" s="69">
        <v>105</v>
      </c>
    </row>
    <row r="3524" spans="1:7">
      <c r="A3524" s="67" t="s">
        <v>5007</v>
      </c>
      <c r="B3524" s="70">
        <v>46291</v>
      </c>
      <c r="C3524" s="67" t="s">
        <v>1359</v>
      </c>
      <c r="D3524" s="67" t="s">
        <v>1551</v>
      </c>
      <c r="E3524" s="67" t="s">
        <v>1362</v>
      </c>
      <c r="F3524" s="67" t="s">
        <v>1462</v>
      </c>
      <c r="G3524" s="69">
        <v>249</v>
      </c>
    </row>
    <row r="3525" spans="1:7">
      <c r="A3525" s="67" t="s">
        <v>5008</v>
      </c>
      <c r="B3525" s="70">
        <v>46291</v>
      </c>
      <c r="C3525" s="67" t="s">
        <v>1366</v>
      </c>
      <c r="D3525" s="67" t="s">
        <v>353</v>
      </c>
      <c r="E3525" s="67" t="s">
        <v>1368</v>
      </c>
      <c r="F3525" s="67" t="s">
        <v>1462</v>
      </c>
      <c r="G3525" s="69">
        <v>190</v>
      </c>
    </row>
    <row r="3526" spans="1:7">
      <c r="A3526" s="67" t="s">
        <v>5009</v>
      </c>
      <c r="B3526" s="70">
        <v>46291</v>
      </c>
      <c r="C3526" s="67" t="s">
        <v>1371</v>
      </c>
      <c r="D3526" s="67" t="s">
        <v>1476</v>
      </c>
      <c r="E3526" s="67" t="s">
        <v>1362</v>
      </c>
      <c r="F3526" s="67" t="s">
        <v>1462</v>
      </c>
      <c r="G3526" s="69">
        <v>417</v>
      </c>
    </row>
    <row r="3527" spans="1:7">
      <c r="A3527" s="67" t="s">
        <v>5010</v>
      </c>
      <c r="B3527" s="70">
        <v>46291</v>
      </c>
      <c r="C3527" s="67" t="s">
        <v>1371</v>
      </c>
      <c r="D3527" s="67" t="s">
        <v>1476</v>
      </c>
      <c r="E3527" s="67" t="s">
        <v>1362</v>
      </c>
      <c r="F3527" s="67" t="s">
        <v>1462</v>
      </c>
      <c r="G3527" s="69">
        <v>360</v>
      </c>
    </row>
    <row r="3528" spans="1:7">
      <c r="A3528" s="67" t="s">
        <v>5011</v>
      </c>
      <c r="B3528" s="70">
        <v>46291</v>
      </c>
      <c r="C3528" s="67" t="s">
        <v>1384</v>
      </c>
      <c r="D3528" s="67" t="s">
        <v>1466</v>
      </c>
      <c r="E3528" s="67" t="s">
        <v>1386</v>
      </c>
      <c r="F3528" s="67" t="s">
        <v>1462</v>
      </c>
      <c r="G3528" s="69">
        <v>261</v>
      </c>
    </row>
    <row r="3529" spans="1:7">
      <c r="A3529" s="67" t="s">
        <v>5012</v>
      </c>
      <c r="B3529" s="70">
        <v>46291</v>
      </c>
      <c r="C3529" s="67" t="s">
        <v>1393</v>
      </c>
      <c r="D3529" s="67" t="s">
        <v>365</v>
      </c>
      <c r="E3529" s="67" t="s">
        <v>1368</v>
      </c>
      <c r="F3529" s="67" t="s">
        <v>1462</v>
      </c>
      <c r="G3529" s="69">
        <v>509</v>
      </c>
    </row>
    <row r="3530" spans="1:7">
      <c r="A3530" s="67" t="s">
        <v>5013</v>
      </c>
      <c r="B3530" s="70">
        <v>46291</v>
      </c>
      <c r="C3530" s="67" t="s">
        <v>1399</v>
      </c>
      <c r="D3530" s="67" t="s">
        <v>1476</v>
      </c>
      <c r="E3530" s="67" t="s">
        <v>1362</v>
      </c>
      <c r="F3530" s="67" t="s">
        <v>1460</v>
      </c>
      <c r="G3530" s="69">
        <v>24</v>
      </c>
    </row>
    <row r="3531" spans="1:7">
      <c r="A3531" s="67" t="s">
        <v>5014</v>
      </c>
      <c r="B3531" s="70">
        <v>46291</v>
      </c>
      <c r="C3531" s="67" t="s">
        <v>1404</v>
      </c>
      <c r="D3531" s="67" t="s">
        <v>353</v>
      </c>
      <c r="E3531" s="67" t="s">
        <v>1368</v>
      </c>
      <c r="F3531" s="67" t="s">
        <v>1462</v>
      </c>
      <c r="G3531" s="69">
        <v>598</v>
      </c>
    </row>
    <row r="3532" spans="1:7">
      <c r="A3532" s="67" t="s">
        <v>5015</v>
      </c>
      <c r="B3532" s="70">
        <v>46291</v>
      </c>
      <c r="C3532" s="67" t="s">
        <v>1404</v>
      </c>
      <c r="D3532" s="67" t="s">
        <v>365</v>
      </c>
      <c r="E3532" s="67" t="s">
        <v>1368</v>
      </c>
      <c r="F3532" s="67" t="s">
        <v>1462</v>
      </c>
      <c r="G3532" s="69">
        <v>99</v>
      </c>
    </row>
    <row r="3533" spans="1:7">
      <c r="A3533" s="67" t="s">
        <v>5016</v>
      </c>
      <c r="B3533" s="70">
        <v>46291</v>
      </c>
      <c r="C3533" s="67" t="s">
        <v>1404</v>
      </c>
      <c r="D3533" s="67" t="s">
        <v>1551</v>
      </c>
      <c r="E3533" s="67" t="s">
        <v>1362</v>
      </c>
      <c r="F3533" s="67" t="s">
        <v>1462</v>
      </c>
      <c r="G3533" s="69">
        <v>473</v>
      </c>
    </row>
    <row r="3534" spans="1:7">
      <c r="A3534" s="67" t="s">
        <v>5017</v>
      </c>
      <c r="B3534" s="70">
        <v>46291</v>
      </c>
      <c r="C3534" s="67" t="s">
        <v>1406</v>
      </c>
      <c r="D3534" s="67" t="s">
        <v>358</v>
      </c>
      <c r="E3534" s="67" t="s">
        <v>1368</v>
      </c>
      <c r="F3534" s="67" t="s">
        <v>1462</v>
      </c>
      <c r="G3534" s="69">
        <v>573</v>
      </c>
    </row>
    <row r="3535" spans="1:7">
      <c r="A3535" s="67" t="s">
        <v>5018</v>
      </c>
      <c r="B3535" s="70">
        <v>46291</v>
      </c>
      <c r="C3535" s="67" t="s">
        <v>1411</v>
      </c>
      <c r="D3535" s="67" t="s">
        <v>1506</v>
      </c>
      <c r="E3535" s="67" t="s">
        <v>1482</v>
      </c>
      <c r="F3535" s="67" t="s">
        <v>1462</v>
      </c>
      <c r="G3535" s="69">
        <v>462</v>
      </c>
    </row>
    <row r="3536" spans="1:7">
      <c r="A3536" s="67" t="s">
        <v>5019</v>
      </c>
      <c r="B3536" s="70">
        <v>46291</v>
      </c>
      <c r="C3536" s="67" t="s">
        <v>1411</v>
      </c>
      <c r="D3536" s="67" t="s">
        <v>1506</v>
      </c>
      <c r="E3536" s="67" t="s">
        <v>1482</v>
      </c>
      <c r="F3536" s="67" t="s">
        <v>1460</v>
      </c>
      <c r="G3536" s="69">
        <v>23</v>
      </c>
    </row>
    <row r="3537" spans="1:7">
      <c r="A3537" s="67" t="s">
        <v>5020</v>
      </c>
      <c r="B3537" s="70">
        <v>46291</v>
      </c>
      <c r="C3537" s="67" t="s">
        <v>1411</v>
      </c>
      <c r="D3537" s="67" t="s">
        <v>1481</v>
      </c>
      <c r="E3537" s="67" t="s">
        <v>1482</v>
      </c>
      <c r="F3537" s="67" t="s">
        <v>1462</v>
      </c>
      <c r="G3537" s="69">
        <v>134</v>
      </c>
    </row>
    <row r="3538" spans="1:7">
      <c r="A3538" s="67" t="s">
        <v>5021</v>
      </c>
      <c r="B3538" s="70">
        <v>46291</v>
      </c>
      <c r="C3538" s="67" t="s">
        <v>1411</v>
      </c>
      <c r="D3538" s="67" t="s">
        <v>1481</v>
      </c>
      <c r="E3538" s="67" t="s">
        <v>1482</v>
      </c>
      <c r="F3538" s="67" t="s">
        <v>1462</v>
      </c>
      <c r="G3538" s="69">
        <v>181</v>
      </c>
    </row>
    <row r="3539" spans="1:7">
      <c r="A3539" s="67" t="s">
        <v>5022</v>
      </c>
      <c r="B3539" s="70">
        <v>46291</v>
      </c>
      <c r="C3539" s="67" t="s">
        <v>1414</v>
      </c>
      <c r="D3539" s="67" t="s">
        <v>1511</v>
      </c>
      <c r="E3539" s="67" t="s">
        <v>1470</v>
      </c>
      <c r="F3539" s="67" t="s">
        <v>1462</v>
      </c>
      <c r="G3539" s="69">
        <v>368</v>
      </c>
    </row>
    <row r="3540" spans="1:7">
      <c r="A3540" s="67" t="s">
        <v>5023</v>
      </c>
      <c r="B3540" s="70">
        <v>46291</v>
      </c>
      <c r="C3540" s="67" t="s">
        <v>1425</v>
      </c>
      <c r="D3540" s="67" t="s">
        <v>1491</v>
      </c>
      <c r="E3540" s="67" t="s">
        <v>1470</v>
      </c>
      <c r="F3540" s="67" t="s">
        <v>1462</v>
      </c>
      <c r="G3540" s="69">
        <v>519</v>
      </c>
    </row>
    <row r="3541" spans="1:7">
      <c r="A3541" s="67" t="s">
        <v>5024</v>
      </c>
      <c r="B3541" s="70">
        <v>46291</v>
      </c>
      <c r="C3541" s="67" t="s">
        <v>1429</v>
      </c>
      <c r="D3541" s="67" t="s">
        <v>358</v>
      </c>
      <c r="E3541" s="67" t="s">
        <v>1368</v>
      </c>
      <c r="F3541" s="67" t="s">
        <v>1460</v>
      </c>
      <c r="G3541" s="69">
        <v>26</v>
      </c>
    </row>
    <row r="3542" spans="1:7">
      <c r="A3542" s="67" t="s">
        <v>5025</v>
      </c>
      <c r="B3542" s="70">
        <v>46291</v>
      </c>
      <c r="C3542" s="67" t="s">
        <v>1444</v>
      </c>
      <c r="D3542" s="67" t="s">
        <v>1551</v>
      </c>
      <c r="E3542" s="67" t="s">
        <v>1362</v>
      </c>
      <c r="F3542" s="67" t="s">
        <v>1462</v>
      </c>
      <c r="G3542" s="69">
        <v>180</v>
      </c>
    </row>
    <row r="3543" spans="1:7">
      <c r="A3543" s="67" t="s">
        <v>5026</v>
      </c>
      <c r="B3543" s="70">
        <v>46292</v>
      </c>
      <c r="C3543" s="67" t="s">
        <v>1359</v>
      </c>
      <c r="D3543" s="67" t="s">
        <v>1476</v>
      </c>
      <c r="E3543" s="67" t="s">
        <v>1362</v>
      </c>
      <c r="F3543" s="67" t="s">
        <v>1462</v>
      </c>
      <c r="G3543" s="69">
        <v>340</v>
      </c>
    </row>
    <row r="3544" spans="1:7">
      <c r="A3544" s="67" t="s">
        <v>5027</v>
      </c>
      <c r="B3544" s="70">
        <v>46292</v>
      </c>
      <c r="C3544" s="67" t="s">
        <v>1359</v>
      </c>
      <c r="D3544" s="67" t="s">
        <v>1466</v>
      </c>
      <c r="E3544" s="67" t="s">
        <v>1386</v>
      </c>
      <c r="F3544" s="67" t="s">
        <v>1462</v>
      </c>
      <c r="G3544" s="69">
        <v>522</v>
      </c>
    </row>
    <row r="3545" spans="1:7">
      <c r="A3545" s="67" t="s">
        <v>5028</v>
      </c>
      <c r="B3545" s="70">
        <v>46292</v>
      </c>
      <c r="C3545" s="67" t="s">
        <v>1359</v>
      </c>
      <c r="D3545" s="67" t="s">
        <v>1551</v>
      </c>
      <c r="E3545" s="67" t="s">
        <v>1362</v>
      </c>
      <c r="F3545" s="67" t="s">
        <v>1460</v>
      </c>
      <c r="G3545" s="69">
        <v>10</v>
      </c>
    </row>
    <row r="3546" spans="1:7">
      <c r="A3546" s="67" t="s">
        <v>5029</v>
      </c>
      <c r="B3546" s="70">
        <v>46292</v>
      </c>
      <c r="C3546" s="67" t="s">
        <v>1359</v>
      </c>
      <c r="D3546" s="67" t="s">
        <v>1551</v>
      </c>
      <c r="E3546" s="67" t="s">
        <v>1362</v>
      </c>
      <c r="F3546" s="67" t="s">
        <v>1462</v>
      </c>
      <c r="G3546" s="69">
        <v>498</v>
      </c>
    </row>
    <row r="3547" spans="1:7">
      <c r="A3547" s="67" t="s">
        <v>5030</v>
      </c>
      <c r="B3547" s="70">
        <v>46292</v>
      </c>
      <c r="C3547" s="67" t="s">
        <v>1359</v>
      </c>
      <c r="D3547" s="67" t="s">
        <v>1459</v>
      </c>
      <c r="E3547" s="67" t="s">
        <v>1362</v>
      </c>
      <c r="F3547" s="67" t="s">
        <v>1462</v>
      </c>
      <c r="G3547" s="69">
        <v>546</v>
      </c>
    </row>
    <row r="3548" spans="1:7">
      <c r="A3548" s="67" t="s">
        <v>5031</v>
      </c>
      <c r="B3548" s="70">
        <v>46292</v>
      </c>
      <c r="C3548" s="67" t="s">
        <v>1366</v>
      </c>
      <c r="D3548" s="67" t="s">
        <v>353</v>
      </c>
      <c r="E3548" s="67" t="s">
        <v>1368</v>
      </c>
      <c r="F3548" s="67" t="s">
        <v>1462</v>
      </c>
      <c r="G3548" s="69">
        <v>476</v>
      </c>
    </row>
    <row r="3549" spans="1:7">
      <c r="A3549" s="67" t="s">
        <v>5032</v>
      </c>
      <c r="B3549" s="70">
        <v>46292</v>
      </c>
      <c r="C3549" s="67" t="s">
        <v>1371</v>
      </c>
      <c r="D3549" s="67" t="s">
        <v>1459</v>
      </c>
      <c r="E3549" s="67" t="s">
        <v>1362</v>
      </c>
      <c r="F3549" s="67" t="s">
        <v>1462</v>
      </c>
      <c r="G3549" s="69">
        <v>91</v>
      </c>
    </row>
    <row r="3550" spans="1:7">
      <c r="A3550" s="67" t="s">
        <v>5033</v>
      </c>
      <c r="B3550" s="70">
        <v>46292</v>
      </c>
      <c r="C3550" s="67" t="s">
        <v>1375</v>
      </c>
      <c r="D3550" s="67" t="s">
        <v>356</v>
      </c>
      <c r="E3550" s="67" t="s">
        <v>1368</v>
      </c>
      <c r="F3550" s="67" t="s">
        <v>1462</v>
      </c>
      <c r="G3550" s="69">
        <v>288</v>
      </c>
    </row>
    <row r="3551" spans="1:7">
      <c r="A3551" s="67" t="s">
        <v>5034</v>
      </c>
      <c r="B3551" s="70">
        <v>46292</v>
      </c>
      <c r="C3551" s="67" t="s">
        <v>1375</v>
      </c>
      <c r="D3551" s="67" t="s">
        <v>356</v>
      </c>
      <c r="E3551" s="67" t="s">
        <v>1368</v>
      </c>
      <c r="F3551" s="67" t="s">
        <v>1462</v>
      </c>
      <c r="G3551" s="69">
        <v>242</v>
      </c>
    </row>
    <row r="3552" spans="1:7">
      <c r="A3552" s="67" t="s">
        <v>5035</v>
      </c>
      <c r="B3552" s="70">
        <v>46292</v>
      </c>
      <c r="C3552" s="67" t="s">
        <v>1375</v>
      </c>
      <c r="D3552" s="67" t="s">
        <v>367</v>
      </c>
      <c r="E3552" s="67" t="s">
        <v>1368</v>
      </c>
      <c r="F3552" s="67" t="s">
        <v>1462</v>
      </c>
      <c r="G3552" s="69">
        <v>502</v>
      </c>
    </row>
    <row r="3553" spans="1:7">
      <c r="A3553" s="67" t="s">
        <v>5036</v>
      </c>
      <c r="B3553" s="70">
        <v>46292</v>
      </c>
      <c r="C3553" s="67" t="s">
        <v>1378</v>
      </c>
      <c r="D3553" s="67" t="s">
        <v>356</v>
      </c>
      <c r="E3553" s="67" t="s">
        <v>1368</v>
      </c>
      <c r="F3553" s="67" t="s">
        <v>1462</v>
      </c>
      <c r="G3553" s="69">
        <v>229</v>
      </c>
    </row>
    <row r="3554" spans="1:7">
      <c r="A3554" s="67" t="s">
        <v>5037</v>
      </c>
      <c r="B3554" s="70">
        <v>46292</v>
      </c>
      <c r="C3554" s="67" t="s">
        <v>1381</v>
      </c>
      <c r="D3554" s="67" t="s">
        <v>367</v>
      </c>
      <c r="E3554" s="67" t="s">
        <v>1368</v>
      </c>
      <c r="F3554" s="67" t="s">
        <v>1462</v>
      </c>
      <c r="G3554" s="69">
        <v>408</v>
      </c>
    </row>
    <row r="3555" spans="1:7">
      <c r="A3555" s="67" t="s">
        <v>5038</v>
      </c>
      <c r="B3555" s="70">
        <v>46292</v>
      </c>
      <c r="C3555" s="67" t="s">
        <v>1381</v>
      </c>
      <c r="D3555" s="67" t="s">
        <v>367</v>
      </c>
      <c r="E3555" s="67" t="s">
        <v>1368</v>
      </c>
      <c r="F3555" s="67" t="s">
        <v>1460</v>
      </c>
      <c r="G3555" s="69">
        <v>23</v>
      </c>
    </row>
    <row r="3556" spans="1:7">
      <c r="A3556" s="67" t="s">
        <v>5039</v>
      </c>
      <c r="B3556" s="70">
        <v>46292</v>
      </c>
      <c r="C3556" s="67" t="s">
        <v>1381</v>
      </c>
      <c r="D3556" s="67" t="s">
        <v>1491</v>
      </c>
      <c r="E3556" s="67" t="s">
        <v>1470</v>
      </c>
      <c r="F3556" s="67" t="s">
        <v>1460</v>
      </c>
      <c r="G3556" s="69">
        <v>5</v>
      </c>
    </row>
    <row r="3557" spans="1:7">
      <c r="A3557" s="67" t="s">
        <v>5040</v>
      </c>
      <c r="B3557" s="70">
        <v>46292</v>
      </c>
      <c r="C3557" s="67" t="s">
        <v>1384</v>
      </c>
      <c r="D3557" s="67" t="s">
        <v>1466</v>
      </c>
      <c r="E3557" s="67" t="s">
        <v>1386</v>
      </c>
      <c r="F3557" s="67" t="s">
        <v>1462</v>
      </c>
      <c r="G3557" s="69">
        <v>59</v>
      </c>
    </row>
    <row r="3558" spans="1:7">
      <c r="A3558" s="67" t="s">
        <v>5041</v>
      </c>
      <c r="B3558" s="70">
        <v>46292</v>
      </c>
      <c r="C3558" s="67" t="s">
        <v>1404</v>
      </c>
      <c r="D3558" s="67" t="s">
        <v>356</v>
      </c>
      <c r="E3558" s="67" t="s">
        <v>1368</v>
      </c>
      <c r="F3558" s="67" t="s">
        <v>1462</v>
      </c>
      <c r="G3558" s="69">
        <v>459</v>
      </c>
    </row>
    <row r="3559" spans="1:7">
      <c r="A3559" s="67" t="s">
        <v>5042</v>
      </c>
      <c r="B3559" s="70">
        <v>46292</v>
      </c>
      <c r="C3559" s="67" t="s">
        <v>1404</v>
      </c>
      <c r="D3559" s="67" t="s">
        <v>1484</v>
      </c>
      <c r="E3559" s="67" t="s">
        <v>1470</v>
      </c>
      <c r="F3559" s="67" t="s">
        <v>1462</v>
      </c>
      <c r="G3559" s="69">
        <v>137</v>
      </c>
    </row>
    <row r="3560" spans="1:7">
      <c r="A3560" s="67" t="s">
        <v>5043</v>
      </c>
      <c r="B3560" s="70">
        <v>46292</v>
      </c>
      <c r="C3560" s="67" t="s">
        <v>1411</v>
      </c>
      <c r="D3560" s="67" t="s">
        <v>1506</v>
      </c>
      <c r="E3560" s="67" t="s">
        <v>1482</v>
      </c>
      <c r="F3560" s="67" t="s">
        <v>1462</v>
      </c>
      <c r="G3560" s="69">
        <v>116</v>
      </c>
    </row>
    <row r="3561" spans="1:7">
      <c r="A3561" s="67" t="s">
        <v>5044</v>
      </c>
      <c r="B3561" s="70">
        <v>46292</v>
      </c>
      <c r="C3561" s="67" t="s">
        <v>1411</v>
      </c>
      <c r="D3561" s="67" t="s">
        <v>1506</v>
      </c>
      <c r="E3561" s="67" t="s">
        <v>1482</v>
      </c>
      <c r="F3561" s="67" t="s">
        <v>1462</v>
      </c>
      <c r="G3561" s="69">
        <v>221</v>
      </c>
    </row>
    <row r="3562" spans="1:7">
      <c r="A3562" s="67" t="s">
        <v>5045</v>
      </c>
      <c r="B3562" s="70">
        <v>46292</v>
      </c>
      <c r="C3562" s="67" t="s">
        <v>1411</v>
      </c>
      <c r="D3562" s="67" t="s">
        <v>1481</v>
      </c>
      <c r="E3562" s="67" t="s">
        <v>1482</v>
      </c>
      <c r="F3562" s="67" t="s">
        <v>1462</v>
      </c>
      <c r="G3562" s="69">
        <v>356</v>
      </c>
    </row>
    <row r="3563" spans="1:7">
      <c r="A3563" s="67" t="s">
        <v>5046</v>
      </c>
      <c r="B3563" s="70">
        <v>46292</v>
      </c>
      <c r="C3563" s="67" t="s">
        <v>1414</v>
      </c>
      <c r="D3563" s="67" t="s">
        <v>1491</v>
      </c>
      <c r="E3563" s="67" t="s">
        <v>1470</v>
      </c>
      <c r="F3563" s="67" t="s">
        <v>1462</v>
      </c>
      <c r="G3563" s="69">
        <v>399</v>
      </c>
    </row>
    <row r="3564" spans="1:7">
      <c r="A3564" s="67" t="s">
        <v>5047</v>
      </c>
      <c r="B3564" s="70">
        <v>46292</v>
      </c>
      <c r="C3564" s="67" t="s">
        <v>1427</v>
      </c>
      <c r="D3564" s="67" t="s">
        <v>1466</v>
      </c>
      <c r="E3564" s="67" t="s">
        <v>1386</v>
      </c>
      <c r="F3564" s="67" t="s">
        <v>1462</v>
      </c>
      <c r="G3564" s="69">
        <v>372</v>
      </c>
    </row>
    <row r="3565" spans="1:7">
      <c r="A3565" s="67" t="s">
        <v>5048</v>
      </c>
      <c r="B3565" s="70">
        <v>46292</v>
      </c>
      <c r="C3565" s="67" t="s">
        <v>1429</v>
      </c>
      <c r="D3565" s="67" t="s">
        <v>367</v>
      </c>
      <c r="E3565" s="67" t="s">
        <v>1368</v>
      </c>
      <c r="F3565" s="67" t="s">
        <v>1462</v>
      </c>
      <c r="G3565" s="69">
        <v>471</v>
      </c>
    </row>
    <row r="3566" spans="1:7">
      <c r="A3566" s="67" t="s">
        <v>5049</v>
      </c>
      <c r="B3566" s="70">
        <v>46292</v>
      </c>
      <c r="C3566" s="67" t="s">
        <v>1444</v>
      </c>
      <c r="D3566" s="67" t="s">
        <v>356</v>
      </c>
      <c r="E3566" s="67" t="s">
        <v>1368</v>
      </c>
      <c r="F3566" s="67" t="s">
        <v>1462</v>
      </c>
      <c r="G3566" s="69">
        <v>342</v>
      </c>
    </row>
    <row r="3567" spans="1:7">
      <c r="A3567" s="67" t="s">
        <v>5050</v>
      </c>
      <c r="B3567" s="70">
        <v>46292</v>
      </c>
      <c r="C3567" s="67" t="s">
        <v>1444</v>
      </c>
      <c r="D3567" s="67" t="s">
        <v>1466</v>
      </c>
      <c r="E3567" s="67" t="s">
        <v>1386</v>
      </c>
      <c r="F3567" s="67" t="s">
        <v>1462</v>
      </c>
      <c r="G3567" s="69">
        <v>392</v>
      </c>
    </row>
    <row r="3568" spans="1:7">
      <c r="A3568" s="67" t="s">
        <v>5051</v>
      </c>
      <c r="B3568" s="70">
        <v>46293</v>
      </c>
      <c r="C3568" s="67" t="s">
        <v>1359</v>
      </c>
      <c r="D3568" s="67" t="s">
        <v>1466</v>
      </c>
      <c r="E3568" s="67" t="s">
        <v>1386</v>
      </c>
      <c r="F3568" s="67" t="s">
        <v>1488</v>
      </c>
      <c r="G3568" s="69">
        <v>9</v>
      </c>
    </row>
    <row r="3569" spans="1:7">
      <c r="A3569" s="67" t="s">
        <v>5052</v>
      </c>
      <c r="B3569" s="70">
        <v>46293</v>
      </c>
      <c r="C3569" s="67" t="s">
        <v>1359</v>
      </c>
      <c r="D3569" s="67" t="s">
        <v>1459</v>
      </c>
      <c r="E3569" s="67" t="s">
        <v>1362</v>
      </c>
      <c r="F3569" s="67" t="s">
        <v>1462</v>
      </c>
      <c r="G3569" s="69">
        <v>267</v>
      </c>
    </row>
    <row r="3570" spans="1:7">
      <c r="A3570" s="67" t="s">
        <v>5053</v>
      </c>
      <c r="B3570" s="70">
        <v>46293</v>
      </c>
      <c r="C3570" s="67" t="s">
        <v>1359</v>
      </c>
      <c r="D3570" s="67" t="s">
        <v>1602</v>
      </c>
      <c r="E3570" s="67" t="s">
        <v>1386</v>
      </c>
      <c r="F3570" s="67" t="s">
        <v>1462</v>
      </c>
      <c r="G3570" s="69">
        <v>203</v>
      </c>
    </row>
    <row r="3571" spans="1:7">
      <c r="A3571" s="67" t="s">
        <v>5054</v>
      </c>
      <c r="B3571" s="70">
        <v>46293</v>
      </c>
      <c r="C3571" s="67" t="s">
        <v>1366</v>
      </c>
      <c r="D3571" s="67" t="s">
        <v>363</v>
      </c>
      <c r="E3571" s="67" t="s">
        <v>1368</v>
      </c>
      <c r="F3571" s="67" t="s">
        <v>1462</v>
      </c>
      <c r="G3571" s="69">
        <v>527</v>
      </c>
    </row>
    <row r="3572" spans="1:7">
      <c r="A3572" s="67" t="s">
        <v>5055</v>
      </c>
      <c r="B3572" s="70">
        <v>46293</v>
      </c>
      <c r="C3572" s="67" t="s">
        <v>1371</v>
      </c>
      <c r="D3572" s="67" t="s">
        <v>1466</v>
      </c>
      <c r="E3572" s="67" t="s">
        <v>1386</v>
      </c>
      <c r="F3572" s="67" t="s">
        <v>1462</v>
      </c>
      <c r="G3572" s="69">
        <v>588</v>
      </c>
    </row>
    <row r="3573" spans="1:7">
      <c r="A3573" s="67" t="s">
        <v>5056</v>
      </c>
      <c r="B3573" s="70">
        <v>46293</v>
      </c>
      <c r="C3573" s="67" t="s">
        <v>1371</v>
      </c>
      <c r="D3573" s="67" t="s">
        <v>1551</v>
      </c>
      <c r="E3573" s="67" t="s">
        <v>1362</v>
      </c>
      <c r="F3573" s="67" t="s">
        <v>1460</v>
      </c>
      <c r="G3573" s="69">
        <v>17</v>
      </c>
    </row>
    <row r="3574" spans="1:7">
      <c r="A3574" s="67" t="s">
        <v>5057</v>
      </c>
      <c r="B3574" s="70">
        <v>46293</v>
      </c>
      <c r="C3574" s="67" t="s">
        <v>1375</v>
      </c>
      <c r="D3574" s="67" t="s">
        <v>353</v>
      </c>
      <c r="E3574" s="67" t="s">
        <v>1368</v>
      </c>
      <c r="F3574" s="67" t="s">
        <v>1462</v>
      </c>
      <c r="G3574" s="69">
        <v>203</v>
      </c>
    </row>
    <row r="3575" spans="1:7">
      <c r="A3575" s="67" t="s">
        <v>5058</v>
      </c>
      <c r="B3575" s="70">
        <v>46293</v>
      </c>
      <c r="C3575" s="67" t="s">
        <v>1375</v>
      </c>
      <c r="D3575" s="67" t="s">
        <v>353</v>
      </c>
      <c r="E3575" s="67" t="s">
        <v>1368</v>
      </c>
      <c r="F3575" s="67" t="s">
        <v>1462</v>
      </c>
      <c r="G3575" s="69">
        <v>112</v>
      </c>
    </row>
    <row r="3576" spans="1:7">
      <c r="A3576" s="67" t="s">
        <v>5059</v>
      </c>
      <c r="B3576" s="70">
        <v>46293</v>
      </c>
      <c r="C3576" s="67" t="s">
        <v>1389</v>
      </c>
      <c r="D3576" s="67" t="s">
        <v>363</v>
      </c>
      <c r="E3576" s="67" t="s">
        <v>1368</v>
      </c>
      <c r="F3576" s="67" t="s">
        <v>1462</v>
      </c>
      <c r="G3576" s="69">
        <v>205</v>
      </c>
    </row>
    <row r="3577" spans="1:7">
      <c r="A3577" s="67" t="s">
        <v>5060</v>
      </c>
      <c r="B3577" s="70">
        <v>46293</v>
      </c>
      <c r="C3577" s="67" t="s">
        <v>1391</v>
      </c>
      <c r="D3577" s="67" t="s">
        <v>1582</v>
      </c>
      <c r="E3577" s="67" t="s">
        <v>5</v>
      </c>
      <c r="F3577" s="67" t="s">
        <v>1462</v>
      </c>
      <c r="G3577" s="69">
        <v>188</v>
      </c>
    </row>
    <row r="3578" spans="1:7">
      <c r="A3578" s="67" t="s">
        <v>5061</v>
      </c>
      <c r="B3578" s="70">
        <v>46293</v>
      </c>
      <c r="C3578" s="67" t="s">
        <v>1393</v>
      </c>
      <c r="D3578" s="67" t="s">
        <v>367</v>
      </c>
      <c r="E3578" s="67" t="s">
        <v>1368</v>
      </c>
      <c r="F3578" s="67" t="s">
        <v>1462</v>
      </c>
      <c r="G3578" s="69">
        <v>75</v>
      </c>
    </row>
    <row r="3579" spans="1:7">
      <c r="A3579" s="67" t="s">
        <v>5062</v>
      </c>
      <c r="B3579" s="70">
        <v>46293</v>
      </c>
      <c r="C3579" s="67" t="s">
        <v>1399</v>
      </c>
      <c r="D3579" s="67" t="s">
        <v>1476</v>
      </c>
      <c r="E3579" s="67" t="s">
        <v>1362</v>
      </c>
      <c r="F3579" s="67" t="s">
        <v>1462</v>
      </c>
      <c r="G3579" s="69">
        <v>101</v>
      </c>
    </row>
    <row r="3580" spans="1:7">
      <c r="A3580" s="67" t="s">
        <v>5063</v>
      </c>
      <c r="B3580" s="70">
        <v>46293</v>
      </c>
      <c r="C3580" s="67" t="s">
        <v>1404</v>
      </c>
      <c r="D3580" s="67" t="s">
        <v>353</v>
      </c>
      <c r="E3580" s="67" t="s">
        <v>1368</v>
      </c>
      <c r="F3580" s="67" t="s">
        <v>1462</v>
      </c>
      <c r="G3580" s="69">
        <v>250</v>
      </c>
    </row>
    <row r="3581" spans="1:7">
      <c r="A3581" s="67" t="s">
        <v>5064</v>
      </c>
      <c r="B3581" s="70">
        <v>46293</v>
      </c>
      <c r="C3581" s="67" t="s">
        <v>1404</v>
      </c>
      <c r="D3581" s="67" t="s">
        <v>358</v>
      </c>
      <c r="E3581" s="67" t="s">
        <v>1368</v>
      </c>
      <c r="F3581" s="67" t="s">
        <v>1460</v>
      </c>
      <c r="G3581" s="69">
        <v>20</v>
      </c>
    </row>
    <row r="3582" spans="1:7">
      <c r="A3582" s="67" t="s">
        <v>5065</v>
      </c>
      <c r="B3582" s="70">
        <v>46293</v>
      </c>
      <c r="C3582" s="67" t="s">
        <v>1411</v>
      </c>
      <c r="D3582" s="67" t="s">
        <v>1506</v>
      </c>
      <c r="E3582" s="67" t="s">
        <v>1482</v>
      </c>
      <c r="F3582" s="67" t="s">
        <v>1462</v>
      </c>
      <c r="G3582" s="69">
        <v>63</v>
      </c>
    </row>
    <row r="3583" spans="1:7">
      <c r="A3583" s="67" t="s">
        <v>5066</v>
      </c>
      <c r="B3583" s="70">
        <v>46293</v>
      </c>
      <c r="C3583" s="67" t="s">
        <v>1414</v>
      </c>
      <c r="D3583" s="67" t="s">
        <v>1511</v>
      </c>
      <c r="E3583" s="67" t="s">
        <v>1470</v>
      </c>
      <c r="F3583" s="67" t="s">
        <v>1462</v>
      </c>
      <c r="G3583" s="69">
        <v>255</v>
      </c>
    </row>
    <row r="3584" spans="1:7">
      <c r="A3584" s="67" t="s">
        <v>5067</v>
      </c>
      <c r="B3584" s="70">
        <v>46293</v>
      </c>
      <c r="C3584" s="67" t="s">
        <v>1444</v>
      </c>
      <c r="D3584" s="67" t="s">
        <v>1551</v>
      </c>
      <c r="E3584" s="67" t="s">
        <v>1362</v>
      </c>
      <c r="F3584" s="67" t="s">
        <v>1460</v>
      </c>
      <c r="G3584" s="69">
        <v>7</v>
      </c>
    </row>
    <row r="3585" spans="1:7">
      <c r="A3585" s="67" t="s">
        <v>5068</v>
      </c>
      <c r="B3585" s="70">
        <v>46293</v>
      </c>
      <c r="C3585" s="67" t="s">
        <v>1446</v>
      </c>
      <c r="D3585" s="67" t="s">
        <v>1476</v>
      </c>
      <c r="E3585" s="67" t="s">
        <v>1362</v>
      </c>
      <c r="F3585" s="67" t="s">
        <v>1462</v>
      </c>
      <c r="G3585" s="69">
        <v>230</v>
      </c>
    </row>
    <row r="3586" spans="1:7">
      <c r="A3586" s="67" t="s">
        <v>5069</v>
      </c>
      <c r="B3586" s="70">
        <v>46293</v>
      </c>
      <c r="C3586" s="67" t="s">
        <v>1446</v>
      </c>
      <c r="D3586" s="67" t="s">
        <v>1476</v>
      </c>
      <c r="E3586" s="67" t="s">
        <v>1362</v>
      </c>
      <c r="F3586" s="67" t="s">
        <v>1462</v>
      </c>
      <c r="G3586" s="69">
        <v>527</v>
      </c>
    </row>
    <row r="3587" spans="1:7">
      <c r="A3587" s="67" t="s">
        <v>5070</v>
      </c>
      <c r="B3587" s="70">
        <v>46294</v>
      </c>
      <c r="C3587" s="67" t="s">
        <v>1359</v>
      </c>
      <c r="D3587" s="67" t="s">
        <v>369</v>
      </c>
      <c r="E3587" s="67" t="s">
        <v>1368</v>
      </c>
      <c r="F3587" s="67" t="s">
        <v>1462</v>
      </c>
      <c r="G3587" s="69">
        <v>571</v>
      </c>
    </row>
    <row r="3588" spans="1:7">
      <c r="A3588" s="67" t="s">
        <v>5071</v>
      </c>
      <c r="B3588" s="70">
        <v>46294</v>
      </c>
      <c r="C3588" s="67" t="s">
        <v>1378</v>
      </c>
      <c r="D3588" s="67" t="s">
        <v>363</v>
      </c>
      <c r="E3588" s="67" t="s">
        <v>1368</v>
      </c>
      <c r="F3588" s="67" t="s">
        <v>1462</v>
      </c>
      <c r="G3588" s="69">
        <v>347</v>
      </c>
    </row>
    <row r="3589" spans="1:7">
      <c r="A3589" s="67" t="s">
        <v>5072</v>
      </c>
      <c r="B3589" s="70">
        <v>46294</v>
      </c>
      <c r="C3589" s="67" t="s">
        <v>1381</v>
      </c>
      <c r="D3589" s="67" t="s">
        <v>353</v>
      </c>
      <c r="E3589" s="67" t="s">
        <v>1368</v>
      </c>
      <c r="F3589" s="67" t="s">
        <v>1488</v>
      </c>
      <c r="G3589" s="69">
        <v>8</v>
      </c>
    </row>
    <row r="3590" spans="1:7">
      <c r="A3590" s="67" t="s">
        <v>5073</v>
      </c>
      <c r="B3590" s="70">
        <v>46294</v>
      </c>
      <c r="C3590" s="67" t="s">
        <v>1389</v>
      </c>
      <c r="D3590" s="67" t="s">
        <v>365</v>
      </c>
      <c r="E3590" s="67" t="s">
        <v>1368</v>
      </c>
      <c r="F3590" s="67" t="s">
        <v>1462</v>
      </c>
      <c r="G3590" s="69">
        <v>67</v>
      </c>
    </row>
    <row r="3591" spans="1:7">
      <c r="A3591" s="67" t="s">
        <v>5074</v>
      </c>
      <c r="B3591" s="70">
        <v>46294</v>
      </c>
      <c r="C3591" s="67" t="s">
        <v>1389</v>
      </c>
      <c r="D3591" s="67" t="s">
        <v>369</v>
      </c>
      <c r="E3591" s="67" t="s">
        <v>1368</v>
      </c>
      <c r="F3591" s="67" t="s">
        <v>1462</v>
      </c>
      <c r="G3591" s="69">
        <v>421</v>
      </c>
    </row>
    <row r="3592" spans="1:7">
      <c r="A3592" s="67" t="s">
        <v>5075</v>
      </c>
      <c r="B3592" s="70">
        <v>46294</v>
      </c>
      <c r="C3592" s="67" t="s">
        <v>1389</v>
      </c>
      <c r="D3592" s="67" t="s">
        <v>1551</v>
      </c>
      <c r="E3592" s="67" t="s">
        <v>1362</v>
      </c>
      <c r="F3592" s="67" t="s">
        <v>1462</v>
      </c>
      <c r="G3592" s="69">
        <v>74</v>
      </c>
    </row>
    <row r="3593" spans="1:7">
      <c r="A3593" s="67" t="s">
        <v>5076</v>
      </c>
      <c r="B3593" s="70">
        <v>46294</v>
      </c>
      <c r="C3593" s="67" t="s">
        <v>1393</v>
      </c>
      <c r="D3593" s="67" t="s">
        <v>360</v>
      </c>
      <c r="E3593" s="67" t="s">
        <v>1368</v>
      </c>
      <c r="F3593" s="67" t="s">
        <v>1462</v>
      </c>
      <c r="G3593" s="69">
        <v>410</v>
      </c>
    </row>
    <row r="3594" spans="1:7">
      <c r="A3594" s="67" t="s">
        <v>5077</v>
      </c>
      <c r="B3594" s="70">
        <v>46294</v>
      </c>
      <c r="C3594" s="67" t="s">
        <v>1399</v>
      </c>
      <c r="D3594" s="67" t="s">
        <v>1476</v>
      </c>
      <c r="E3594" s="67" t="s">
        <v>1362</v>
      </c>
      <c r="F3594" s="67" t="s">
        <v>1460</v>
      </c>
      <c r="G3594" s="69">
        <v>19</v>
      </c>
    </row>
    <row r="3595" spans="1:7">
      <c r="A3595" s="67" t="s">
        <v>5078</v>
      </c>
      <c r="B3595" s="70">
        <v>46294</v>
      </c>
      <c r="C3595" s="67" t="s">
        <v>1404</v>
      </c>
      <c r="D3595" s="67" t="s">
        <v>356</v>
      </c>
      <c r="E3595" s="67" t="s">
        <v>1368</v>
      </c>
      <c r="F3595" s="67" t="s">
        <v>1462</v>
      </c>
      <c r="G3595" s="69">
        <v>95</v>
      </c>
    </row>
    <row r="3596" spans="1:7">
      <c r="A3596" s="67" t="s">
        <v>5079</v>
      </c>
      <c r="B3596" s="70">
        <v>46294</v>
      </c>
      <c r="C3596" s="67" t="s">
        <v>1404</v>
      </c>
      <c r="D3596" s="67" t="s">
        <v>356</v>
      </c>
      <c r="E3596" s="67" t="s">
        <v>1368</v>
      </c>
      <c r="F3596" s="67" t="s">
        <v>1462</v>
      </c>
      <c r="G3596" s="69">
        <v>77</v>
      </c>
    </row>
    <row r="3597" spans="1:7">
      <c r="A3597" s="67" t="s">
        <v>5080</v>
      </c>
      <c r="B3597" s="70">
        <v>46294</v>
      </c>
      <c r="C3597" s="67" t="s">
        <v>1406</v>
      </c>
      <c r="D3597" s="67" t="s">
        <v>358</v>
      </c>
      <c r="E3597" s="67" t="s">
        <v>1368</v>
      </c>
      <c r="F3597" s="67" t="s">
        <v>1462</v>
      </c>
      <c r="G3597" s="69">
        <v>492</v>
      </c>
    </row>
    <row r="3598" spans="1:7">
      <c r="A3598" s="67" t="s">
        <v>5081</v>
      </c>
      <c r="B3598" s="70">
        <v>46294</v>
      </c>
      <c r="C3598" s="67" t="s">
        <v>1408</v>
      </c>
      <c r="D3598" s="67" t="s">
        <v>1930</v>
      </c>
      <c r="E3598" s="67" t="s">
        <v>1410</v>
      </c>
      <c r="F3598" s="67" t="s">
        <v>1462</v>
      </c>
      <c r="G3598" s="69">
        <v>173</v>
      </c>
    </row>
    <row r="3599" spans="1:7">
      <c r="A3599" s="67" t="s">
        <v>5082</v>
      </c>
      <c r="B3599" s="70">
        <v>46294</v>
      </c>
      <c r="C3599" s="67" t="s">
        <v>1411</v>
      </c>
      <c r="D3599" s="67" t="s">
        <v>1481</v>
      </c>
      <c r="E3599" s="67" t="s">
        <v>1482</v>
      </c>
      <c r="F3599" s="67" t="s">
        <v>1462</v>
      </c>
      <c r="G3599" s="69">
        <v>408</v>
      </c>
    </row>
    <row r="3600" spans="1:7">
      <c r="A3600" s="67" t="s">
        <v>5083</v>
      </c>
      <c r="B3600" s="70">
        <v>46294</v>
      </c>
      <c r="C3600" s="67" t="s">
        <v>1414</v>
      </c>
      <c r="D3600" s="67" t="s">
        <v>1484</v>
      </c>
      <c r="E3600" s="67" t="s">
        <v>1470</v>
      </c>
      <c r="F3600" s="67" t="s">
        <v>1462</v>
      </c>
      <c r="G3600" s="69">
        <v>88</v>
      </c>
    </row>
    <row r="3601" spans="1:7">
      <c r="A3601" s="67" t="s">
        <v>5084</v>
      </c>
      <c r="B3601" s="70">
        <v>46294</v>
      </c>
      <c r="C3601" s="67" t="s">
        <v>1423</v>
      </c>
      <c r="D3601" s="67" t="s">
        <v>1515</v>
      </c>
      <c r="E3601" s="67" t="s">
        <v>1410</v>
      </c>
      <c r="F3601" s="67" t="s">
        <v>1462</v>
      </c>
      <c r="G3601" s="69">
        <v>239</v>
      </c>
    </row>
    <row r="3602" spans="1:7">
      <c r="A3602" s="67" t="s">
        <v>5085</v>
      </c>
      <c r="B3602" s="70">
        <v>46294</v>
      </c>
      <c r="C3602" s="67" t="s">
        <v>1423</v>
      </c>
      <c r="D3602" s="67" t="s">
        <v>1743</v>
      </c>
      <c r="E3602" s="67" t="s">
        <v>1410</v>
      </c>
      <c r="F3602" s="67" t="s">
        <v>1462</v>
      </c>
      <c r="G3602" s="69">
        <v>351</v>
      </c>
    </row>
    <row r="3603" spans="1:7">
      <c r="A3603" s="67" t="s">
        <v>5086</v>
      </c>
      <c r="B3603" s="70">
        <v>46294</v>
      </c>
      <c r="C3603" s="67" t="s">
        <v>1427</v>
      </c>
      <c r="D3603" s="67" t="s">
        <v>1551</v>
      </c>
      <c r="E3603" s="67" t="s">
        <v>1362</v>
      </c>
      <c r="F3603" s="67" t="s">
        <v>1462</v>
      </c>
      <c r="G3603" s="69">
        <v>444</v>
      </c>
    </row>
    <row r="3604" spans="1:7">
      <c r="A3604" s="67" t="s">
        <v>5087</v>
      </c>
      <c r="B3604" s="70">
        <v>46294</v>
      </c>
      <c r="C3604" s="67" t="s">
        <v>1438</v>
      </c>
      <c r="D3604" s="67" t="s">
        <v>367</v>
      </c>
      <c r="E3604" s="67" t="s">
        <v>1368</v>
      </c>
      <c r="F3604" s="67" t="s">
        <v>1462</v>
      </c>
      <c r="G3604" s="69">
        <v>304</v>
      </c>
    </row>
    <row r="3605" spans="1:7">
      <c r="A3605" s="67" t="s">
        <v>5088</v>
      </c>
      <c r="B3605" s="70">
        <v>46294</v>
      </c>
      <c r="C3605" s="67" t="s">
        <v>1444</v>
      </c>
      <c r="D3605" s="67" t="s">
        <v>356</v>
      </c>
      <c r="E3605" s="67" t="s">
        <v>1368</v>
      </c>
      <c r="F3605" s="67" t="s">
        <v>1462</v>
      </c>
      <c r="G3605" s="69">
        <v>467</v>
      </c>
    </row>
    <row r="3606" spans="1:7">
      <c r="A3606" s="67" t="s">
        <v>5089</v>
      </c>
      <c r="B3606" s="70">
        <v>46294</v>
      </c>
      <c r="C3606" s="67" t="s">
        <v>1444</v>
      </c>
      <c r="D3606" s="67" t="s">
        <v>1476</v>
      </c>
      <c r="E3606" s="67" t="s">
        <v>1362</v>
      </c>
      <c r="F3606" s="67" t="s">
        <v>1462</v>
      </c>
      <c r="G3606" s="69">
        <v>399</v>
      </c>
    </row>
    <row r="3607" spans="1:7">
      <c r="A3607" s="67" t="s">
        <v>5090</v>
      </c>
      <c r="B3607" s="70">
        <v>46294</v>
      </c>
      <c r="C3607" s="67" t="s">
        <v>1448</v>
      </c>
      <c r="D3607" s="67" t="s">
        <v>1520</v>
      </c>
      <c r="E3607" s="67" t="s">
        <v>1433</v>
      </c>
      <c r="F3607" s="67" t="s">
        <v>1462</v>
      </c>
      <c r="G3607" s="69">
        <v>34</v>
      </c>
    </row>
    <row r="3608" spans="1:7">
      <c r="A3608" s="67" t="s">
        <v>5091</v>
      </c>
      <c r="B3608" s="70">
        <v>46295</v>
      </c>
      <c r="C3608" s="67" t="s">
        <v>1359</v>
      </c>
      <c r="D3608" s="67" t="s">
        <v>356</v>
      </c>
      <c r="E3608" s="67" t="s">
        <v>1368</v>
      </c>
      <c r="F3608" s="67" t="s">
        <v>1460</v>
      </c>
      <c r="G3608" s="69">
        <v>5</v>
      </c>
    </row>
    <row r="3609" spans="1:7">
      <c r="A3609" s="67" t="s">
        <v>5092</v>
      </c>
      <c r="B3609" s="70">
        <v>46295</v>
      </c>
      <c r="C3609" s="67" t="s">
        <v>1359</v>
      </c>
      <c r="D3609" s="67" t="s">
        <v>1476</v>
      </c>
      <c r="E3609" s="67" t="s">
        <v>1362</v>
      </c>
      <c r="F3609" s="67" t="s">
        <v>1462</v>
      </c>
      <c r="G3609" s="69">
        <v>116</v>
      </c>
    </row>
    <row r="3610" spans="1:7">
      <c r="A3610" s="67" t="s">
        <v>5093</v>
      </c>
      <c r="B3610" s="70">
        <v>46295</v>
      </c>
      <c r="C3610" s="67" t="s">
        <v>1359</v>
      </c>
      <c r="D3610" s="67" t="s">
        <v>1551</v>
      </c>
      <c r="E3610" s="67" t="s">
        <v>1362</v>
      </c>
      <c r="F3610" s="67" t="s">
        <v>1462</v>
      </c>
      <c r="G3610" s="69">
        <v>190</v>
      </c>
    </row>
    <row r="3611" spans="1:7">
      <c r="A3611" s="67" t="s">
        <v>5094</v>
      </c>
      <c r="B3611" s="70">
        <v>46295</v>
      </c>
      <c r="C3611" s="67" t="s">
        <v>1359</v>
      </c>
      <c r="D3611" s="67" t="s">
        <v>358</v>
      </c>
      <c r="E3611" s="67" t="s">
        <v>1368</v>
      </c>
      <c r="F3611" s="67" t="s">
        <v>1460</v>
      </c>
      <c r="G3611" s="69">
        <v>29</v>
      </c>
    </row>
    <row r="3612" spans="1:7">
      <c r="A3612" s="67" t="s">
        <v>5095</v>
      </c>
      <c r="B3612" s="70">
        <v>46295</v>
      </c>
      <c r="C3612" s="67" t="s">
        <v>1366</v>
      </c>
      <c r="D3612" s="67" t="s">
        <v>356</v>
      </c>
      <c r="E3612" s="67" t="s">
        <v>1368</v>
      </c>
      <c r="F3612" s="67" t="s">
        <v>1462</v>
      </c>
      <c r="G3612" s="69">
        <v>37</v>
      </c>
    </row>
    <row r="3613" spans="1:7">
      <c r="A3613" s="67" t="s">
        <v>5096</v>
      </c>
      <c r="B3613" s="70">
        <v>46295</v>
      </c>
      <c r="C3613" s="67" t="s">
        <v>1371</v>
      </c>
      <c r="D3613" s="67" t="s">
        <v>1476</v>
      </c>
      <c r="E3613" s="67" t="s">
        <v>1362</v>
      </c>
      <c r="F3613" s="67" t="s">
        <v>1462</v>
      </c>
      <c r="G3613" s="69">
        <v>280</v>
      </c>
    </row>
    <row r="3614" spans="1:7">
      <c r="A3614" s="67" t="s">
        <v>5097</v>
      </c>
      <c r="B3614" s="70">
        <v>46295</v>
      </c>
      <c r="C3614" s="67" t="s">
        <v>1371</v>
      </c>
      <c r="D3614" s="67" t="s">
        <v>1476</v>
      </c>
      <c r="E3614" s="67" t="s">
        <v>1362</v>
      </c>
      <c r="F3614" s="67" t="s">
        <v>1460</v>
      </c>
      <c r="G3614" s="69">
        <v>21</v>
      </c>
    </row>
    <row r="3615" spans="1:7">
      <c r="A3615" s="67" t="s">
        <v>5098</v>
      </c>
      <c r="B3615" s="70">
        <v>46295</v>
      </c>
      <c r="C3615" s="67" t="s">
        <v>1371</v>
      </c>
      <c r="D3615" s="67" t="s">
        <v>1466</v>
      </c>
      <c r="E3615" s="67" t="s">
        <v>1386</v>
      </c>
      <c r="F3615" s="67" t="s">
        <v>1462</v>
      </c>
      <c r="G3615" s="69">
        <v>412</v>
      </c>
    </row>
    <row r="3616" spans="1:7">
      <c r="A3616" s="67" t="s">
        <v>5099</v>
      </c>
      <c r="B3616" s="70">
        <v>46295</v>
      </c>
      <c r="C3616" s="67" t="s">
        <v>1371</v>
      </c>
      <c r="D3616" s="67" t="s">
        <v>1551</v>
      </c>
      <c r="E3616" s="67" t="s">
        <v>1362</v>
      </c>
      <c r="F3616" s="67" t="s">
        <v>1462</v>
      </c>
      <c r="G3616" s="69">
        <v>80</v>
      </c>
    </row>
    <row r="3617" spans="1:7">
      <c r="A3617" s="67" t="s">
        <v>5100</v>
      </c>
      <c r="B3617" s="70">
        <v>46295</v>
      </c>
      <c r="C3617" s="67" t="s">
        <v>1378</v>
      </c>
      <c r="D3617" s="67" t="s">
        <v>363</v>
      </c>
      <c r="E3617" s="67" t="s">
        <v>1368</v>
      </c>
      <c r="F3617" s="67" t="s">
        <v>1462</v>
      </c>
      <c r="G3617" s="69">
        <v>277</v>
      </c>
    </row>
    <row r="3618" spans="1:7">
      <c r="A3618" s="67" t="s">
        <v>5101</v>
      </c>
      <c r="B3618" s="70">
        <v>46295</v>
      </c>
      <c r="C3618" s="67" t="s">
        <v>1381</v>
      </c>
      <c r="D3618" s="67" t="s">
        <v>369</v>
      </c>
      <c r="E3618" s="67" t="s">
        <v>1368</v>
      </c>
      <c r="F3618" s="67" t="s">
        <v>1462</v>
      </c>
      <c r="G3618" s="69">
        <v>132</v>
      </c>
    </row>
    <row r="3619" spans="1:7">
      <c r="A3619" s="67" t="s">
        <v>5102</v>
      </c>
      <c r="B3619" s="70">
        <v>46295</v>
      </c>
      <c r="C3619" s="67" t="s">
        <v>1397</v>
      </c>
      <c r="D3619" s="67" t="s">
        <v>367</v>
      </c>
      <c r="E3619" s="67" t="s">
        <v>1368</v>
      </c>
      <c r="F3619" s="67" t="s">
        <v>1462</v>
      </c>
      <c r="G3619" s="69">
        <v>54</v>
      </c>
    </row>
    <row r="3620" spans="1:7">
      <c r="A3620" s="67" t="s">
        <v>5103</v>
      </c>
      <c r="B3620" s="70">
        <v>46295</v>
      </c>
      <c r="C3620" s="67" t="s">
        <v>1399</v>
      </c>
      <c r="D3620" s="67" t="s">
        <v>1459</v>
      </c>
      <c r="E3620" s="67" t="s">
        <v>1362</v>
      </c>
      <c r="F3620" s="67" t="s">
        <v>1460</v>
      </c>
      <c r="G3620" s="69">
        <v>20</v>
      </c>
    </row>
    <row r="3621" spans="1:7">
      <c r="A3621" s="67" t="s">
        <v>5104</v>
      </c>
      <c r="B3621" s="70">
        <v>46295</v>
      </c>
      <c r="C3621" s="67" t="s">
        <v>1404</v>
      </c>
      <c r="D3621" s="67" t="s">
        <v>1511</v>
      </c>
      <c r="E3621" s="67" t="s">
        <v>1470</v>
      </c>
      <c r="F3621" s="67" t="s">
        <v>1460</v>
      </c>
      <c r="G3621" s="69">
        <v>27</v>
      </c>
    </row>
    <row r="3622" spans="1:7">
      <c r="A3622" s="67" t="s">
        <v>5105</v>
      </c>
      <c r="B3622" s="70">
        <v>46295</v>
      </c>
      <c r="C3622" s="67" t="s">
        <v>1411</v>
      </c>
      <c r="D3622" s="67" t="s">
        <v>369</v>
      </c>
      <c r="E3622" s="67" t="s">
        <v>1368</v>
      </c>
      <c r="F3622" s="67" t="s">
        <v>1460</v>
      </c>
      <c r="G3622" s="69">
        <v>5</v>
      </c>
    </row>
    <row r="3623" spans="1:7">
      <c r="A3623" s="67" t="s">
        <v>5106</v>
      </c>
      <c r="B3623" s="70">
        <v>46295</v>
      </c>
      <c r="C3623" s="67" t="s">
        <v>1411</v>
      </c>
      <c r="D3623" s="67" t="s">
        <v>1506</v>
      </c>
      <c r="E3623" s="67" t="s">
        <v>1482</v>
      </c>
      <c r="F3623" s="67" t="s">
        <v>1462</v>
      </c>
      <c r="G3623" s="69">
        <v>553</v>
      </c>
    </row>
    <row r="3624" spans="1:7">
      <c r="A3624" s="67" t="s">
        <v>5107</v>
      </c>
      <c r="B3624" s="70">
        <v>46295</v>
      </c>
      <c r="C3624" s="67" t="s">
        <v>1411</v>
      </c>
      <c r="D3624" s="67" t="s">
        <v>1506</v>
      </c>
      <c r="E3624" s="67" t="s">
        <v>1482</v>
      </c>
      <c r="F3624" s="67" t="s">
        <v>1462</v>
      </c>
      <c r="G3624" s="69">
        <v>329</v>
      </c>
    </row>
    <row r="3625" spans="1:7">
      <c r="A3625" s="67" t="s">
        <v>5108</v>
      </c>
      <c r="B3625" s="70">
        <v>46295</v>
      </c>
      <c r="C3625" s="67" t="s">
        <v>1411</v>
      </c>
      <c r="D3625" s="67" t="s">
        <v>1506</v>
      </c>
      <c r="E3625" s="67" t="s">
        <v>1482</v>
      </c>
      <c r="F3625" s="67" t="s">
        <v>1462</v>
      </c>
      <c r="G3625" s="69">
        <v>133</v>
      </c>
    </row>
    <row r="3626" spans="1:7">
      <c r="A3626" s="67" t="s">
        <v>5109</v>
      </c>
      <c r="B3626" s="70">
        <v>46295</v>
      </c>
      <c r="C3626" s="67" t="s">
        <v>1414</v>
      </c>
      <c r="D3626" s="67" t="s">
        <v>1511</v>
      </c>
      <c r="E3626" s="67" t="s">
        <v>1470</v>
      </c>
      <c r="F3626" s="67" t="s">
        <v>1462</v>
      </c>
      <c r="G3626" s="69">
        <v>198</v>
      </c>
    </row>
    <row r="3627" spans="1:7">
      <c r="A3627" s="67" t="s">
        <v>5110</v>
      </c>
      <c r="B3627" s="70">
        <v>46295</v>
      </c>
      <c r="C3627" s="67" t="s">
        <v>1414</v>
      </c>
      <c r="D3627" s="67" t="s">
        <v>1476</v>
      </c>
      <c r="E3627" s="67" t="s">
        <v>1362</v>
      </c>
      <c r="F3627" s="67" t="s">
        <v>1462</v>
      </c>
      <c r="G3627" s="69">
        <v>538</v>
      </c>
    </row>
    <row r="3628" spans="1:7">
      <c r="A3628" s="67" t="s">
        <v>5111</v>
      </c>
      <c r="B3628" s="70">
        <v>46295</v>
      </c>
      <c r="C3628" s="67" t="s">
        <v>1414</v>
      </c>
      <c r="D3628" s="67" t="s">
        <v>1459</v>
      </c>
      <c r="E3628" s="67" t="s">
        <v>1362</v>
      </c>
      <c r="F3628" s="67" t="s">
        <v>1462</v>
      </c>
      <c r="G3628" s="69">
        <v>259</v>
      </c>
    </row>
    <row r="3629" spans="1:7">
      <c r="A3629" s="67" t="s">
        <v>5112</v>
      </c>
      <c r="B3629" s="70">
        <v>46295</v>
      </c>
      <c r="C3629" s="67" t="s">
        <v>1423</v>
      </c>
      <c r="D3629" s="67" t="s">
        <v>369</v>
      </c>
      <c r="E3629" s="67" t="s">
        <v>1368</v>
      </c>
      <c r="F3629" s="67" t="s">
        <v>1462</v>
      </c>
      <c r="G3629" s="69">
        <v>214</v>
      </c>
    </row>
    <row r="3630" spans="1:7">
      <c r="A3630" s="67" t="s">
        <v>5113</v>
      </c>
      <c r="B3630" s="70">
        <v>46295</v>
      </c>
      <c r="C3630" s="67" t="s">
        <v>1429</v>
      </c>
      <c r="D3630" s="67" t="s">
        <v>353</v>
      </c>
      <c r="E3630" s="67" t="s">
        <v>1368</v>
      </c>
      <c r="F3630" s="67" t="s">
        <v>1460</v>
      </c>
      <c r="G3630" s="69">
        <v>13</v>
      </c>
    </row>
    <row r="3631" spans="1:7">
      <c r="A3631" s="67" t="s">
        <v>5114</v>
      </c>
      <c r="B3631" s="70">
        <v>46295</v>
      </c>
      <c r="C3631" s="67" t="s">
        <v>1429</v>
      </c>
      <c r="D3631" s="67" t="s">
        <v>369</v>
      </c>
      <c r="E3631" s="67" t="s">
        <v>1368</v>
      </c>
      <c r="F3631" s="67" t="s">
        <v>1462</v>
      </c>
      <c r="G3631" s="69">
        <v>34</v>
      </c>
    </row>
    <row r="3632" spans="1:7">
      <c r="A3632" s="67" t="s">
        <v>5115</v>
      </c>
      <c r="B3632" s="70">
        <v>46295</v>
      </c>
      <c r="C3632" s="67" t="s">
        <v>1444</v>
      </c>
      <c r="D3632" s="67" t="s">
        <v>1551</v>
      </c>
      <c r="E3632" s="67" t="s">
        <v>1362</v>
      </c>
      <c r="F3632" s="67" t="s">
        <v>1462</v>
      </c>
      <c r="G3632" s="69">
        <v>536</v>
      </c>
    </row>
  </sheetData>
  <pageMargins left="0.7" right="0.7" top="0.75" bottom="0.75" header="0.3" footer="0.3"/>
  <tableParts count="1">
    <tablePart r:id="rId1"/>
  </tableParts>
</worksheet>
</file>

<file path=xl/worksheets/sheet21.xml><?xml version="1.0" encoding="utf-8"?>
<worksheet xmlns="http://schemas.openxmlformats.org/spreadsheetml/2006/main" xmlns:r="http://schemas.openxmlformats.org/officeDocument/2006/relationships">
  <dimension ref="A1:A2314"/>
  <sheetViews>
    <sheetView workbookViewId="0"/>
  </sheetViews>
  <sheetFormatPr defaultRowHeight="15"/>
  <sheetData>
    <row r="1" spans="1:1">
      <c r="A1" t="s">
        <v>58</v>
      </c>
    </row>
    <row r="2" spans="1:1">
      <c r="A2" t="s">
        <v>16</v>
      </c>
    </row>
    <row r="3" spans="1:1">
      <c r="A3" t="s">
        <v>352</v>
      </c>
    </row>
    <row r="4" spans="1:1">
      <c r="A4">
        <v>428700</v>
      </c>
    </row>
    <row r="5" spans="1:1">
      <c r="A5" t="s">
        <v>5356</v>
      </c>
    </row>
    <row r="6" spans="1:1">
      <c r="A6" t="s">
        <v>5356</v>
      </c>
    </row>
    <row r="7" spans="1:1">
      <c r="A7">
        <v>869</v>
      </c>
    </row>
    <row r="8" spans="1:1">
      <c r="A8">
        <v>123</v>
      </c>
    </row>
    <row r="9" spans="1:1">
      <c r="A9" t="s">
        <v>195</v>
      </c>
    </row>
    <row r="10" spans="1:1">
      <c r="A10" t="s">
        <v>25</v>
      </c>
    </row>
    <row r="11" spans="1:1">
      <c r="A11" t="s">
        <v>359</v>
      </c>
    </row>
    <row r="12" spans="1:1">
      <c r="A12">
        <v>77500</v>
      </c>
    </row>
    <row r="13" spans="1:1">
      <c r="A13" t="s">
        <v>5357</v>
      </c>
    </row>
    <row r="14" spans="1:1">
      <c r="A14" t="s">
        <v>5357</v>
      </c>
    </row>
    <row r="15" spans="1:1">
      <c r="A15">
        <v>12</v>
      </c>
    </row>
    <row r="16" spans="1:1">
      <c r="A16">
        <v>-20</v>
      </c>
    </row>
    <row r="17" spans="1:1">
      <c r="A17" t="s">
        <v>121</v>
      </c>
    </row>
    <row r="18" spans="1:1">
      <c r="A18" t="s">
        <v>25</v>
      </c>
    </row>
    <row r="19" spans="1:1">
      <c r="A19" t="s">
        <v>362</v>
      </c>
    </row>
    <row r="20" spans="1:1">
      <c r="A20">
        <v>89900</v>
      </c>
    </row>
    <row r="21" spans="1:1">
      <c r="A21" t="s">
        <v>5357</v>
      </c>
    </row>
    <row r="22" spans="1:1">
      <c r="A22" t="s">
        <v>5357</v>
      </c>
    </row>
    <row r="23" spans="1:1">
      <c r="A23">
        <v>10</v>
      </c>
    </row>
    <row r="24" spans="1:1">
      <c r="A24">
        <v>245</v>
      </c>
    </row>
    <row r="25" spans="1:1">
      <c r="A25" t="s">
        <v>239</v>
      </c>
    </row>
    <row r="26" spans="1:1">
      <c r="A26" t="s">
        <v>37</v>
      </c>
    </row>
    <row r="27" spans="1:1">
      <c r="A27" t="s">
        <v>364</v>
      </c>
    </row>
    <row r="28" spans="1:1">
      <c r="A28">
        <v>18100</v>
      </c>
    </row>
    <row r="29" spans="1:1">
      <c r="A29" t="s">
        <v>5359</v>
      </c>
    </row>
    <row r="30" spans="1:1">
      <c r="A30" t="s">
        <v>5359</v>
      </c>
    </row>
    <row r="31" spans="1:1">
      <c r="A31">
        <v>25</v>
      </c>
    </row>
    <row r="32" spans="1:1">
      <c r="A32">
        <v>21</v>
      </c>
    </row>
    <row r="33" spans="1:1">
      <c r="A33" t="s">
        <v>285</v>
      </c>
    </row>
    <row r="34" spans="1:1">
      <c r="A34" t="s">
        <v>25</v>
      </c>
    </row>
    <row r="35" spans="1:1">
      <c r="A35" t="s">
        <v>359</v>
      </c>
    </row>
    <row r="36" spans="1:1">
      <c r="A36">
        <v>124800</v>
      </c>
    </row>
    <row r="37" spans="1:1">
      <c r="A37" t="s">
        <v>5360</v>
      </c>
    </row>
    <row r="38" spans="1:1">
      <c r="A38" t="s">
        <v>5360</v>
      </c>
    </row>
    <row r="39" spans="1:1">
      <c r="A39">
        <v>130</v>
      </c>
    </row>
    <row r="40" spans="1:1">
      <c r="A40">
        <v>250</v>
      </c>
    </row>
    <row r="41" spans="1:1">
      <c r="A41" t="s">
        <v>237</v>
      </c>
    </row>
    <row r="42" spans="1:1">
      <c r="A42" t="s">
        <v>25</v>
      </c>
    </row>
    <row r="43" spans="1:1">
      <c r="A43" t="s">
        <v>357</v>
      </c>
    </row>
    <row r="44" spans="1:1">
      <c r="A44">
        <v>131300</v>
      </c>
    </row>
    <row r="45" spans="1:1">
      <c r="A45" t="s">
        <v>5360</v>
      </c>
    </row>
    <row r="46" spans="1:1">
      <c r="A46" t="s">
        <v>5360</v>
      </c>
    </row>
    <row r="47" spans="1:1">
      <c r="A47">
        <v>46</v>
      </c>
    </row>
    <row r="48" spans="1:1">
      <c r="A48">
        <v>173</v>
      </c>
    </row>
    <row r="49" spans="1:1">
      <c r="A49" t="s">
        <v>97</v>
      </c>
    </row>
    <row r="50" spans="1:1">
      <c r="A50" t="s">
        <v>16</v>
      </c>
    </row>
    <row r="51" spans="1:1">
      <c r="A51" t="s">
        <v>355</v>
      </c>
    </row>
    <row r="52" spans="1:1">
      <c r="A52">
        <v>523800</v>
      </c>
    </row>
    <row r="53" spans="1:1">
      <c r="A53" t="s">
        <v>5356</v>
      </c>
    </row>
    <row r="54" spans="1:1">
      <c r="A54" t="s">
        <v>5356</v>
      </c>
    </row>
    <row r="55" spans="1:1">
      <c r="A55">
        <v>746</v>
      </c>
    </row>
    <row r="56" spans="1:1">
      <c r="A56">
        <v>274</v>
      </c>
    </row>
    <row r="57" spans="1:1">
      <c r="A57" t="s">
        <v>5362</v>
      </c>
    </row>
    <row r="58" spans="1:1">
      <c r="A58" t="s">
        <v>5362</v>
      </c>
    </row>
    <row r="59" spans="1:1">
      <c r="A59" t="s">
        <v>5362</v>
      </c>
    </row>
    <row r="60" spans="1:1">
      <c r="A60">
        <v>0</v>
      </c>
    </row>
    <row r="63" spans="1:1">
      <c r="A63" t="s">
        <v>5362</v>
      </c>
    </row>
    <row r="65" spans="1:1">
      <c r="A65" t="s">
        <v>281</v>
      </c>
    </row>
    <row r="66" spans="1:1">
      <c r="A66" t="s">
        <v>37</v>
      </c>
    </row>
    <row r="67" spans="1:1">
      <c r="A67" t="s">
        <v>364</v>
      </c>
    </row>
    <row r="68" spans="1:1">
      <c r="A68">
        <v>21200</v>
      </c>
    </row>
    <row r="69" spans="1:1">
      <c r="A69" t="s">
        <v>5359</v>
      </c>
    </row>
    <row r="70" spans="1:1">
      <c r="A70" t="s">
        <v>5359</v>
      </c>
    </row>
    <row r="71" spans="1:1">
      <c r="A71">
        <v>15</v>
      </c>
    </row>
    <row r="72" spans="1:1">
      <c r="A72">
        <v>100</v>
      </c>
    </row>
    <row r="73" spans="1:1">
      <c r="A73" t="s">
        <v>303</v>
      </c>
    </row>
    <row r="74" spans="1:1">
      <c r="A74" t="s">
        <v>37</v>
      </c>
    </row>
    <row r="75" spans="1:1">
      <c r="A75" t="s">
        <v>366</v>
      </c>
    </row>
    <row r="76" spans="1:1">
      <c r="A76">
        <v>24900</v>
      </c>
    </row>
    <row r="77" spans="1:1">
      <c r="A77" t="s">
        <v>5359</v>
      </c>
    </row>
    <row r="78" spans="1:1">
      <c r="A78" t="s">
        <v>5359</v>
      </c>
    </row>
    <row r="79" spans="1:1">
      <c r="A79">
        <v>19</v>
      </c>
    </row>
    <row r="80" spans="1:1">
      <c r="A80">
        <v>351</v>
      </c>
    </row>
    <row r="81" spans="1:1">
      <c r="A81" t="s">
        <v>42</v>
      </c>
    </row>
    <row r="82" spans="1:1">
      <c r="A82" t="s">
        <v>25</v>
      </c>
    </row>
    <row r="83" spans="1:1">
      <c r="A83" t="s">
        <v>357</v>
      </c>
    </row>
    <row r="84" spans="1:1">
      <c r="A84">
        <v>64700</v>
      </c>
    </row>
    <row r="85" spans="1:1">
      <c r="A85" t="s">
        <v>5357</v>
      </c>
    </row>
    <row r="86" spans="1:1">
      <c r="A86" t="s">
        <v>5357</v>
      </c>
    </row>
    <row r="87" spans="1:1">
      <c r="A87">
        <v>80</v>
      </c>
    </row>
    <row r="88" spans="1:1">
      <c r="A88">
        <v>346</v>
      </c>
    </row>
    <row r="89" spans="1:1">
      <c r="A89" t="s">
        <v>329</v>
      </c>
    </row>
    <row r="90" spans="1:1">
      <c r="A90" t="s">
        <v>25</v>
      </c>
    </row>
    <row r="91" spans="1:1">
      <c r="A91" t="s">
        <v>359</v>
      </c>
    </row>
    <row r="92" spans="1:1">
      <c r="A92">
        <v>146300</v>
      </c>
    </row>
    <row r="93" spans="1:1">
      <c r="A93" t="s">
        <v>5360</v>
      </c>
    </row>
    <row r="94" spans="1:1">
      <c r="A94" t="s">
        <v>5360</v>
      </c>
    </row>
    <row r="95" spans="1:1">
      <c r="A95">
        <v>153</v>
      </c>
    </row>
    <row r="96" spans="1:1">
      <c r="A96">
        <v>258</v>
      </c>
    </row>
    <row r="97" spans="1:1">
      <c r="A97" t="s">
        <v>311</v>
      </c>
    </row>
    <row r="98" spans="1:1">
      <c r="A98" t="s">
        <v>25</v>
      </c>
    </row>
    <row r="99" spans="1:1">
      <c r="A99" t="s">
        <v>357</v>
      </c>
    </row>
    <row r="100" spans="1:1">
      <c r="A100">
        <v>131800</v>
      </c>
    </row>
    <row r="101" spans="1:1">
      <c r="A101" t="s">
        <v>5360</v>
      </c>
    </row>
    <row r="102" spans="1:1">
      <c r="A102" t="s">
        <v>5360</v>
      </c>
    </row>
    <row r="103" spans="1:1">
      <c r="A103">
        <v>156</v>
      </c>
    </row>
    <row r="104" spans="1:1">
      <c r="A104">
        <v>63</v>
      </c>
    </row>
    <row r="105" spans="1:1">
      <c r="A105" t="s">
        <v>269</v>
      </c>
    </row>
    <row r="106" spans="1:1">
      <c r="A106" t="s">
        <v>25</v>
      </c>
    </row>
    <row r="107" spans="1:1">
      <c r="A107" t="s">
        <v>362</v>
      </c>
    </row>
    <row r="108" spans="1:1">
      <c r="A108">
        <v>40900</v>
      </c>
    </row>
    <row r="109" spans="1:1">
      <c r="A109" t="s">
        <v>5357</v>
      </c>
    </row>
    <row r="110" spans="1:1">
      <c r="A110" t="s">
        <v>5357</v>
      </c>
    </row>
    <row r="111" spans="1:1">
      <c r="A111">
        <v>12</v>
      </c>
    </row>
    <row r="112" spans="1:1">
      <c r="A112">
        <v>-29</v>
      </c>
    </row>
    <row r="113" spans="1:1">
      <c r="A113" t="s">
        <v>343</v>
      </c>
    </row>
    <row r="114" spans="1:1">
      <c r="A114" t="s">
        <v>37</v>
      </c>
    </row>
    <row r="115" spans="1:1">
      <c r="A115" t="s">
        <v>364</v>
      </c>
    </row>
    <row r="116" spans="1:1">
      <c r="A116">
        <v>22000</v>
      </c>
    </row>
    <row r="117" spans="1:1">
      <c r="A117" t="s">
        <v>5359</v>
      </c>
    </row>
    <row r="118" spans="1:1">
      <c r="A118" t="s">
        <v>5359</v>
      </c>
    </row>
    <row r="119" spans="1:1">
      <c r="A119">
        <v>10</v>
      </c>
    </row>
    <row r="120" spans="1:1">
      <c r="A120">
        <v>259</v>
      </c>
    </row>
    <row r="121" spans="1:1">
      <c r="A121">
        <v>2956000</v>
      </c>
    </row>
    <row r="122" spans="1:1">
      <c r="A122">
        <v>2911200</v>
      </c>
    </row>
    <row r="123" spans="1:1">
      <c r="A123">
        <v>1569400</v>
      </c>
    </row>
    <row r="124" spans="1:1">
      <c r="A124">
        <v>1419800</v>
      </c>
    </row>
    <row r="125" spans="1:1">
      <c r="A125">
        <v>8856400</v>
      </c>
    </row>
    <row r="126" spans="1:1">
      <c r="A126">
        <v>2829000</v>
      </c>
    </row>
    <row r="127" spans="1:1">
      <c r="A127">
        <v>1300300</v>
      </c>
    </row>
    <row r="128" spans="1:1">
      <c r="A128">
        <v>912800</v>
      </c>
    </row>
    <row r="129" spans="1:1">
      <c r="A129">
        <v>379500</v>
      </c>
    </row>
    <row r="130" spans="1:1">
      <c r="A130">
        <v>5421600</v>
      </c>
    </row>
    <row r="131" spans="1:1">
      <c r="A131">
        <v>615700</v>
      </c>
    </row>
    <row r="132" spans="1:1">
      <c r="A132">
        <v>286900</v>
      </c>
    </row>
    <row r="133" spans="1:1">
      <c r="A133">
        <v>254600</v>
      </c>
    </row>
    <row r="134" spans="1:1">
      <c r="A134">
        <v>84900</v>
      </c>
    </row>
    <row r="135" spans="1:1">
      <c r="A135">
        <v>1242100</v>
      </c>
    </row>
    <row r="136" spans="1:1">
      <c r="A136">
        <v>6400700</v>
      </c>
    </row>
    <row r="137" spans="1:1">
      <c r="A137">
        <v>4498400</v>
      </c>
    </row>
    <row r="138" spans="1:1">
      <c r="A138">
        <v>2736800</v>
      </c>
    </row>
    <row r="139" spans="1:1">
      <c r="A139">
        <v>1884200</v>
      </c>
    </row>
    <row r="140" spans="1:1">
      <c r="A140">
        <v>15520100</v>
      </c>
    </row>
    <row r="141" spans="1:1">
      <c r="A141" t="s">
        <v>352</v>
      </c>
    </row>
    <row r="142" spans="1:1">
      <c r="A142">
        <v>11</v>
      </c>
    </row>
    <row r="143" spans="1:1">
      <c r="A143">
        <v>3903800</v>
      </c>
    </row>
    <row r="144" spans="1:1">
      <c r="A144">
        <v>354890.9090909091</v>
      </c>
    </row>
    <row r="145" spans="1:1">
      <c r="A145">
        <v>535500</v>
      </c>
    </row>
    <row r="146" spans="1:1">
      <c r="A146">
        <v>46348</v>
      </c>
    </row>
    <row r="147" spans="1:1">
      <c r="A147">
        <v>0.2515318844595074</v>
      </c>
    </row>
    <row r="148" spans="1:1">
      <c r="A148" t="s">
        <v>355</v>
      </c>
    </row>
    <row r="149" spans="1:1">
      <c r="A149">
        <v>14</v>
      </c>
    </row>
    <row r="150" spans="1:1">
      <c r="A150">
        <v>4952600</v>
      </c>
    </row>
    <row r="151" spans="1:1">
      <c r="A151">
        <v>353757.1428571428</v>
      </c>
    </row>
    <row r="152" spans="1:1">
      <c r="A152">
        <v>595800</v>
      </c>
    </row>
    <row r="153" spans="1:1">
      <c r="A153">
        <v>46350</v>
      </c>
    </row>
    <row r="154" spans="1:1">
      <c r="A154">
        <v>0.3191087686290681</v>
      </c>
    </row>
    <row r="155" spans="1:1">
      <c r="A155" t="s">
        <v>357</v>
      </c>
    </row>
    <row r="156" spans="1:1">
      <c r="A156">
        <v>22</v>
      </c>
    </row>
    <row r="157" spans="1:1">
      <c r="A157">
        <v>2069200</v>
      </c>
    </row>
    <row r="158" spans="1:1">
      <c r="A158">
        <v>94054.54545454546</v>
      </c>
    </row>
    <row r="159" spans="1:1">
      <c r="A159">
        <v>149100</v>
      </c>
    </row>
    <row r="160" spans="1:1">
      <c r="A160">
        <v>46299</v>
      </c>
    </row>
    <row r="161" spans="1:1">
      <c r="A161">
        <v>0.1333238832224019</v>
      </c>
    </row>
    <row r="162" spans="1:1">
      <c r="A162" t="s">
        <v>359</v>
      </c>
    </row>
    <row r="163" spans="1:1">
      <c r="A163">
        <v>18</v>
      </c>
    </row>
    <row r="164" spans="1:1">
      <c r="A164">
        <v>1819300</v>
      </c>
    </row>
    <row r="165" spans="1:1">
      <c r="A165">
        <v>101072.2222222222</v>
      </c>
    </row>
    <row r="166" spans="1:1">
      <c r="A166">
        <v>149600</v>
      </c>
    </row>
    <row r="167" spans="1:1">
      <c r="A167">
        <v>46306</v>
      </c>
    </row>
    <row r="168" spans="1:1">
      <c r="A168">
        <v>0.11722218284676</v>
      </c>
    </row>
    <row r="169" spans="1:1">
      <c r="A169" t="s">
        <v>362</v>
      </c>
    </row>
    <row r="170" spans="1:1">
      <c r="A170">
        <v>17</v>
      </c>
    </row>
    <row r="171" spans="1:1">
      <c r="A171">
        <v>1533100</v>
      </c>
    </row>
    <row r="172" spans="1:1">
      <c r="A172">
        <v>90182.35294117648</v>
      </c>
    </row>
    <row r="173" spans="1:1">
      <c r="A173">
        <v>146700</v>
      </c>
    </row>
    <row r="174" spans="1:1">
      <c r="A174">
        <v>46320</v>
      </c>
    </row>
    <row r="175" spans="1:1">
      <c r="A175">
        <v>0.09878158001559269</v>
      </c>
    </row>
    <row r="176" spans="1:1">
      <c r="A176" t="s">
        <v>364</v>
      </c>
    </row>
    <row r="177" spans="1:1">
      <c r="A177">
        <v>23</v>
      </c>
    </row>
    <row r="178" spans="1:1">
      <c r="A178">
        <v>480800</v>
      </c>
    </row>
    <row r="179" spans="1:1">
      <c r="A179">
        <v>20904.34782608696</v>
      </c>
    </row>
    <row r="180" spans="1:1">
      <c r="A180">
        <v>37500</v>
      </c>
    </row>
    <row r="181" spans="1:1">
      <c r="A181">
        <v>46316</v>
      </c>
    </row>
    <row r="182" spans="1:1">
      <c r="A182">
        <v>0.03097918183516859</v>
      </c>
    </row>
    <row r="183" spans="1:1">
      <c r="A183" t="s">
        <v>366</v>
      </c>
    </row>
    <row r="184" spans="1:1">
      <c r="A184">
        <v>13</v>
      </c>
    </row>
    <row r="185" spans="1:1">
      <c r="A185">
        <v>302800</v>
      </c>
    </row>
    <row r="186" spans="1:1">
      <c r="A186">
        <v>23292.30769230769</v>
      </c>
    </row>
    <row r="187" spans="1:1">
      <c r="A187">
        <v>37400</v>
      </c>
    </row>
    <row r="188" spans="1:1">
      <c r="A188">
        <v>46308</v>
      </c>
    </row>
    <row r="189" spans="1:1">
      <c r="A189">
        <v>0.01951018356840484</v>
      </c>
    </row>
    <row r="190" spans="1:1">
      <c r="A190" t="s">
        <v>368</v>
      </c>
    </row>
    <row r="191" spans="1:1">
      <c r="A191">
        <v>20</v>
      </c>
    </row>
    <row r="192" spans="1:1">
      <c r="A192">
        <v>458500</v>
      </c>
    </row>
    <row r="193" spans="1:1">
      <c r="A193">
        <v>22925</v>
      </c>
    </row>
    <row r="194" spans="1:1">
      <c r="A194">
        <v>39500</v>
      </c>
    </row>
    <row r="195" spans="1:1">
      <c r="A195">
        <v>46311</v>
      </c>
    </row>
    <row r="196" spans="1:1">
      <c r="A196">
        <v>0.0295423354230965</v>
      </c>
    </row>
    <row r="197" spans="1:1">
      <c r="A197">
        <v>58</v>
      </c>
    </row>
    <row r="198" spans="1:1">
      <c r="A198">
        <v>0</v>
      </c>
    </row>
    <row r="199" spans="1:1">
      <c r="A199">
        <v>0</v>
      </c>
    </row>
    <row r="200" spans="1:1">
      <c r="A200">
        <v>0.9655172413793104</v>
      </c>
    </row>
    <row r="201" spans="1:1">
      <c r="A201">
        <v>3.294117647058823</v>
      </c>
    </row>
    <row r="202" spans="1:1">
      <c r="A202">
        <v>154</v>
      </c>
    </row>
    <row r="203" spans="1:1">
      <c r="A203">
        <v>1</v>
      </c>
    </row>
    <row r="204" spans="1:1">
      <c r="A204">
        <v>0.006493506493506494</v>
      </c>
    </row>
    <row r="205" spans="1:1">
      <c r="A205">
        <v>4.359477124183006</v>
      </c>
    </row>
    <row r="206" spans="1:1">
      <c r="A206">
        <v>3.488636363636364</v>
      </c>
    </row>
    <row r="207" spans="1:1">
      <c r="A207">
        <v>343</v>
      </c>
    </row>
    <row r="208" spans="1:1">
      <c r="A208">
        <v>6</v>
      </c>
    </row>
    <row r="209" spans="1:1">
      <c r="A209">
        <v>0.01749271137026239</v>
      </c>
    </row>
    <row r="210" spans="1:1">
      <c r="A210">
        <v>9.062314540059347</v>
      </c>
    </row>
    <row r="211" spans="1:1">
      <c r="A211">
        <v>3.709302325581395</v>
      </c>
    </row>
    <row r="212" spans="1:1">
      <c r="A212">
        <v>219</v>
      </c>
    </row>
    <row r="213" spans="1:1">
      <c r="A213">
        <v>7</v>
      </c>
    </row>
    <row r="214" spans="1:1">
      <c r="A214">
        <v>0.0319634703196347</v>
      </c>
    </row>
    <row r="215" spans="1:1">
      <c r="A215">
        <v>14.00943396226415</v>
      </c>
    </row>
    <row r="216" spans="1:1">
      <c r="A216">
        <v>3.648148148148148</v>
      </c>
    </row>
    <row r="217" spans="1:1">
      <c r="A217">
        <v>46</v>
      </c>
    </row>
    <row r="218" spans="1:1">
      <c r="A218">
        <v>68</v>
      </c>
    </row>
    <row r="219" spans="1:1">
      <c r="A219">
        <v>64</v>
      </c>
    </row>
    <row r="220" spans="1:1">
      <c r="A220">
        <v>178</v>
      </c>
    </row>
    <row r="221" spans="1:1">
      <c r="A221">
        <v>-10.1123595505618</v>
      </c>
    </row>
    <row r="222" spans="1:1">
      <c r="A222">
        <v>0.7792</v>
      </c>
    </row>
    <row r="223" spans="1:1">
      <c r="A223">
        <v>-0.1168</v>
      </c>
    </row>
    <row r="224" spans="1:1">
      <c r="A224">
        <v>0</v>
      </c>
    </row>
    <row r="225" spans="1:1">
      <c r="A225">
        <v>7</v>
      </c>
    </row>
    <row r="226" spans="1:1">
      <c r="A226">
        <v>66.5</v>
      </c>
    </row>
    <row r="227" spans="1:1">
      <c r="A227" t="s">
        <v>5455</v>
      </c>
    </row>
    <row r="228" spans="1:1">
      <c r="A228">
        <v>54</v>
      </c>
    </row>
    <row r="229" spans="1:1">
      <c r="A229">
        <v>0.8832</v>
      </c>
    </row>
    <row r="230" spans="1:1">
      <c r="A230">
        <v>-0.2439</v>
      </c>
    </row>
    <row r="231" spans="1:1">
      <c r="A231">
        <v>0</v>
      </c>
    </row>
    <row r="232" spans="1:1">
      <c r="A232">
        <v>10</v>
      </c>
    </row>
    <row r="233" spans="1:1">
      <c r="A233">
        <v>81.3</v>
      </c>
    </row>
    <row r="234" spans="1:1">
      <c r="A234" t="s">
        <v>5456</v>
      </c>
    </row>
    <row r="235" spans="1:1">
      <c r="A235">
        <v>106</v>
      </c>
    </row>
    <row r="236" spans="1:1">
      <c r="A236">
        <v>0.2667</v>
      </c>
    </row>
    <row r="237" spans="1:1">
      <c r="A237">
        <v>-0.2573</v>
      </c>
    </row>
    <row r="238" spans="1:1">
      <c r="A238">
        <v>0</v>
      </c>
    </row>
    <row r="239" spans="1:1">
      <c r="A239">
        <v>8</v>
      </c>
    </row>
    <row r="240" spans="1:1">
      <c r="A240">
        <v>42.8</v>
      </c>
    </row>
    <row r="241" spans="1:1">
      <c r="A241" t="s">
        <v>5457</v>
      </c>
    </row>
    <row r="242" spans="1:1">
      <c r="A242">
        <v>13</v>
      </c>
    </row>
    <row r="243" spans="1:1">
      <c r="A243">
        <v>0.5881999999999999</v>
      </c>
    </row>
    <row r="244" spans="1:1">
      <c r="A244">
        <v>-0.4823</v>
      </c>
    </row>
    <row r="245" spans="1:1">
      <c r="A245">
        <v>0</v>
      </c>
    </row>
    <row r="246" spans="1:1">
      <c r="A246">
        <v>7</v>
      </c>
    </row>
    <row r="247" spans="1:1">
      <c r="A247">
        <v>51.5</v>
      </c>
    </row>
    <row r="248" spans="1:1">
      <c r="A248" t="s">
        <v>5455</v>
      </c>
    </row>
    <row r="249" spans="1:1">
      <c r="A249">
        <v>23</v>
      </c>
    </row>
    <row r="250" spans="1:1">
      <c r="A250">
        <v>0.5816</v>
      </c>
    </row>
    <row r="251" spans="1:1">
      <c r="A251">
        <v>0.2912</v>
      </c>
    </row>
    <row r="252" spans="1:1">
      <c r="A252">
        <v>0</v>
      </c>
    </row>
    <row r="253" spans="1:1">
      <c r="A253">
        <v>8</v>
      </c>
    </row>
    <row r="254" spans="1:1">
      <c r="A254">
        <v>76.5</v>
      </c>
    </row>
    <row r="255" spans="1:1">
      <c r="A255" t="s">
        <v>5456</v>
      </c>
    </row>
    <row r="256" spans="1:1">
      <c r="A256">
        <v>95</v>
      </c>
    </row>
    <row r="257" spans="1:1">
      <c r="A257">
        <v>0.2632</v>
      </c>
    </row>
    <row r="258" spans="1:1">
      <c r="A258">
        <v>-0.1049</v>
      </c>
    </row>
    <row r="259" spans="1:1">
      <c r="A259">
        <v>0</v>
      </c>
    </row>
    <row r="260" spans="1:1">
      <c r="A260">
        <v>5</v>
      </c>
    </row>
    <row r="261" spans="1:1">
      <c r="A261">
        <v>43</v>
      </c>
    </row>
    <row r="262" spans="1:1">
      <c r="A262" t="s">
        <v>5457</v>
      </c>
    </row>
    <row r="263" spans="1:1">
      <c r="A263">
        <v>15</v>
      </c>
    </row>
    <row r="264" spans="1:1">
      <c r="A264">
        <v>0.8375</v>
      </c>
    </row>
    <row r="265" spans="1:1">
      <c r="A265">
        <v>0.4789</v>
      </c>
    </row>
    <row r="266" spans="1:1">
      <c r="A266">
        <v>0</v>
      </c>
    </row>
    <row r="268" spans="1:1">
      <c r="A268">
        <v>90</v>
      </c>
    </row>
    <row r="269" spans="1:1">
      <c r="A269" t="s">
        <v>5456</v>
      </c>
    </row>
    <row r="270" spans="1:1">
      <c r="A270">
        <v>123</v>
      </c>
    </row>
    <row r="271" spans="1:1">
      <c r="A271">
        <v>0.3077</v>
      </c>
    </row>
    <row r="272" spans="1:1">
      <c r="A272">
        <v>-0.2082</v>
      </c>
    </row>
    <row r="273" spans="1:1">
      <c r="A273">
        <v>0</v>
      </c>
    </row>
    <row r="274" spans="1:1">
      <c r="A274">
        <v>4</v>
      </c>
    </row>
    <row r="275" spans="1:1">
      <c r="A275">
        <v>37</v>
      </c>
    </row>
    <row r="276" spans="1:1">
      <c r="A276" t="s">
        <v>5457</v>
      </c>
    </row>
    <row r="277" spans="1:1">
      <c r="A277">
        <v>8</v>
      </c>
    </row>
    <row r="278" spans="1:1">
      <c r="A278">
        <v>0.8214</v>
      </c>
    </row>
    <row r="279" spans="1:1">
      <c r="A279">
        <v>-0.2551</v>
      </c>
    </row>
    <row r="280" spans="1:1">
      <c r="A280">
        <v>0</v>
      </c>
    </row>
    <row r="281" spans="1:1">
      <c r="A281">
        <v>9.5</v>
      </c>
    </row>
    <row r="282" spans="1:1">
      <c r="A282">
        <v>75</v>
      </c>
    </row>
    <row r="283" spans="1:1">
      <c r="A283" t="s">
        <v>5456</v>
      </c>
    </row>
    <row r="284" spans="1:1">
      <c r="A284">
        <v>84</v>
      </c>
    </row>
    <row r="285" spans="1:1">
      <c r="A285">
        <v>0.3589</v>
      </c>
    </row>
    <row r="286" spans="1:1">
      <c r="A286">
        <v>0.0987</v>
      </c>
    </row>
    <row r="287" spans="1:1">
      <c r="A287">
        <v>0</v>
      </c>
    </row>
    <row r="289" spans="1:1">
      <c r="A289">
        <v>57.5</v>
      </c>
    </row>
    <row r="290" spans="1:1">
      <c r="A290" t="s">
        <v>5455</v>
      </c>
    </row>
    <row r="291" spans="1:1">
      <c r="A291">
        <v>35</v>
      </c>
    </row>
    <row r="292" spans="1:1">
      <c r="A292">
        <v>0.5918</v>
      </c>
    </row>
    <row r="293" spans="1:1">
      <c r="A293">
        <v>0.3777</v>
      </c>
    </row>
    <row r="294" spans="1:1">
      <c r="A294">
        <v>0</v>
      </c>
    </row>
    <row r="295" spans="1:1">
      <c r="A295">
        <v>4.5</v>
      </c>
    </row>
    <row r="296" spans="1:1">
      <c r="A296">
        <v>64.5</v>
      </c>
    </row>
    <row r="297" spans="1:1">
      <c r="A297" t="s">
        <v>5455</v>
      </c>
    </row>
    <row r="298" spans="1:1">
      <c r="A298">
        <v>49</v>
      </c>
    </row>
    <row r="299" spans="1:1">
      <c r="A299">
        <v>0.6071</v>
      </c>
    </row>
    <row r="300" spans="1:1">
      <c r="A300">
        <v>-0.2266</v>
      </c>
    </row>
    <row r="301" spans="1:1">
      <c r="A301">
        <v>0</v>
      </c>
    </row>
    <row r="303" spans="1:1">
      <c r="A303">
        <v>62.5</v>
      </c>
    </row>
    <row r="304" spans="1:1">
      <c r="A304" t="s">
        <v>5455</v>
      </c>
    </row>
    <row r="305" spans="1:1">
      <c r="A305">
        <v>42</v>
      </c>
    </row>
    <row r="306" spans="1:1">
      <c r="A306">
        <v>0.7222</v>
      </c>
    </row>
    <row r="307" spans="1:1">
      <c r="A307">
        <v>-0.0447</v>
      </c>
    </row>
    <row r="308" spans="1:1">
      <c r="A308">
        <v>0</v>
      </c>
    </row>
    <row r="309" spans="1:1">
      <c r="A309">
        <v>6</v>
      </c>
    </row>
    <row r="310" spans="1:1">
      <c r="A310">
        <v>66.8</v>
      </c>
    </row>
    <row r="311" spans="1:1">
      <c r="A311" t="s">
        <v>5455</v>
      </c>
    </row>
    <row r="312" spans="1:1">
      <c r="A312">
        <v>59</v>
      </c>
    </row>
    <row r="313" spans="1:1">
      <c r="A313">
        <v>0.6707</v>
      </c>
    </row>
    <row r="314" spans="1:1">
      <c r="A314">
        <v>-0.1232</v>
      </c>
    </row>
    <row r="315" spans="1:1">
      <c r="A315">
        <v>0</v>
      </c>
    </row>
    <row r="316" spans="1:1">
      <c r="A316">
        <v>8</v>
      </c>
    </row>
    <row r="317" spans="1:1">
      <c r="A317">
        <v>66.5</v>
      </c>
    </row>
    <row r="318" spans="1:1">
      <c r="A318" t="s">
        <v>5455</v>
      </c>
    </row>
    <row r="319" spans="1:1">
      <c r="A319">
        <v>54</v>
      </c>
    </row>
    <row r="320" spans="1:1">
      <c r="A320">
        <v>0.8993</v>
      </c>
    </row>
    <row r="321" spans="1:1">
      <c r="A321">
        <v>-0.1097</v>
      </c>
    </row>
    <row r="322" spans="1:1">
      <c r="A322">
        <v>0</v>
      </c>
    </row>
    <row r="323" spans="1:1">
      <c r="A323">
        <v>10</v>
      </c>
    </row>
    <row r="324" spans="1:1">
      <c r="A324">
        <v>81.3</v>
      </c>
    </row>
    <row r="325" spans="1:1">
      <c r="A325" t="s">
        <v>5456</v>
      </c>
    </row>
    <row r="326" spans="1:1">
      <c r="A326">
        <v>106</v>
      </c>
    </row>
    <row r="327" spans="1:1">
      <c r="A327">
        <v>0.5919</v>
      </c>
    </row>
    <row r="328" spans="1:1">
      <c r="A328">
        <v>-0.157</v>
      </c>
    </row>
    <row r="329" spans="1:1">
      <c r="A329">
        <v>0</v>
      </c>
    </row>
    <row r="330" spans="1:1">
      <c r="A330">
        <v>9</v>
      </c>
    </row>
    <row r="331" spans="1:1">
      <c r="A331">
        <v>63.8</v>
      </c>
    </row>
    <row r="332" spans="1:1">
      <c r="A332" t="s">
        <v>5455</v>
      </c>
    </row>
    <row r="333" spans="1:1">
      <c r="A333">
        <v>45</v>
      </c>
    </row>
    <row r="334" spans="1:1">
      <c r="A334">
        <v>0.7272999999999999</v>
      </c>
    </row>
    <row r="335" spans="1:1">
      <c r="A335">
        <v>-0.1893</v>
      </c>
    </row>
    <row r="336" spans="1:1">
      <c r="A336">
        <v>0</v>
      </c>
    </row>
    <row r="337" spans="1:1">
      <c r="A337">
        <v>10</v>
      </c>
    </row>
    <row r="338" spans="1:1">
      <c r="A338">
        <v>72.5</v>
      </c>
    </row>
    <row r="339" spans="1:1">
      <c r="A339" t="s">
        <v>5455</v>
      </c>
    </row>
    <row r="340" spans="1:1">
      <c r="A340">
        <v>72</v>
      </c>
    </row>
    <row r="341" spans="1:1">
      <c r="A341">
        <v>0.5294</v>
      </c>
    </row>
    <row r="342" spans="1:1">
      <c r="A342">
        <v>0.0767</v>
      </c>
    </row>
    <row r="343" spans="1:1">
      <c r="A343">
        <v>0</v>
      </c>
    </row>
    <row r="344" spans="1:1">
      <c r="A344">
        <v>6</v>
      </c>
    </row>
    <row r="345" spans="1:1">
      <c r="A345">
        <v>64.3</v>
      </c>
    </row>
    <row r="346" spans="1:1">
      <c r="A346" t="s">
        <v>5455</v>
      </c>
    </row>
    <row r="347" spans="1:1">
      <c r="A347">
        <v>48</v>
      </c>
    </row>
    <row r="348" spans="1:1">
      <c r="A348">
        <v>0.9455</v>
      </c>
    </row>
    <row r="349" spans="1:1">
      <c r="A349">
        <v>0.4883</v>
      </c>
    </row>
    <row r="350" spans="1:1">
      <c r="A350">
        <v>0</v>
      </c>
    </row>
    <row r="352" spans="1:1">
      <c r="A352">
        <v>90</v>
      </c>
    </row>
    <row r="353" spans="1:1">
      <c r="A353" t="s">
        <v>5456</v>
      </c>
    </row>
    <row r="354" spans="1:1">
      <c r="A354">
        <v>123</v>
      </c>
    </row>
    <row r="355" spans="1:1">
      <c r="A355">
        <v>0.6667</v>
      </c>
    </row>
    <row r="356" spans="1:1">
      <c r="A356">
        <v>0.4265</v>
      </c>
    </row>
    <row r="357" spans="1:1">
      <c r="A357">
        <v>1</v>
      </c>
    </row>
    <row r="358" spans="1:1">
      <c r="A358">
        <v>10</v>
      </c>
    </row>
    <row r="359" spans="1:1">
      <c r="A359">
        <v>83.3</v>
      </c>
    </row>
    <row r="360" spans="1:1">
      <c r="A360" t="s">
        <v>5456</v>
      </c>
    </row>
    <row r="361" spans="1:1">
      <c r="A361">
        <v>116</v>
      </c>
    </row>
    <row r="362" spans="1:1">
      <c r="A362">
        <v>0.5</v>
      </c>
    </row>
    <row r="363" spans="1:1">
      <c r="A363">
        <v>-0.1415</v>
      </c>
    </row>
    <row r="364" spans="1:1">
      <c r="A364">
        <v>0</v>
      </c>
    </row>
    <row r="365" spans="1:1">
      <c r="A365">
        <v>6</v>
      </c>
    </row>
    <row r="366" spans="1:1">
      <c r="A366">
        <v>51.8</v>
      </c>
    </row>
    <row r="367" spans="1:1">
      <c r="A367" t="s">
        <v>5455</v>
      </c>
    </row>
    <row r="368" spans="1:1">
      <c r="A368">
        <v>25</v>
      </c>
    </row>
    <row r="369" spans="1:1">
      <c r="A369">
        <v>0.7037</v>
      </c>
    </row>
    <row r="370" spans="1:1">
      <c r="A370">
        <v>0.0798</v>
      </c>
    </row>
    <row r="371" spans="1:1">
      <c r="A371">
        <v>0</v>
      </c>
    </row>
    <row r="372" spans="1:1">
      <c r="A372">
        <v>8</v>
      </c>
    </row>
    <row r="373" spans="1:1">
      <c r="A373">
        <v>79</v>
      </c>
    </row>
    <row r="374" spans="1:1">
      <c r="A374" t="s">
        <v>5456</v>
      </c>
    </row>
    <row r="375" spans="1:1">
      <c r="A375">
        <v>99</v>
      </c>
    </row>
    <row r="376" spans="1:1">
      <c r="A376">
        <v>0.5643</v>
      </c>
    </row>
    <row r="377" spans="1:1">
      <c r="A377">
        <v>0.1955</v>
      </c>
    </row>
    <row r="378" spans="1:1">
      <c r="A378">
        <v>0</v>
      </c>
    </row>
    <row r="379" spans="1:1">
      <c r="A379">
        <v>7</v>
      </c>
    </row>
    <row r="380" spans="1:1">
      <c r="A380">
        <v>76.5</v>
      </c>
    </row>
    <row r="381" spans="1:1">
      <c r="A381" t="s">
        <v>5456</v>
      </c>
    </row>
    <row r="382" spans="1:1">
      <c r="A382">
        <v>95</v>
      </c>
    </row>
    <row r="383" spans="1:1">
      <c r="A383">
        <v>0.7020999999999999</v>
      </c>
    </row>
    <row r="384" spans="1:1">
      <c r="A384">
        <v>0.1706</v>
      </c>
    </row>
    <row r="385" spans="1:1">
      <c r="A385">
        <v>0</v>
      </c>
    </row>
    <row r="386" spans="1:1">
      <c r="A386">
        <v>9</v>
      </c>
    </row>
    <row r="387" spans="1:1">
      <c r="A387">
        <v>91.3</v>
      </c>
    </row>
    <row r="388" spans="1:1">
      <c r="A388" t="s">
        <v>5456</v>
      </c>
    </row>
    <row r="389" spans="1:1">
      <c r="A389">
        <v>128</v>
      </c>
    </row>
    <row r="390" spans="1:1">
      <c r="A390">
        <v>0.678</v>
      </c>
    </row>
    <row r="391" spans="1:1">
      <c r="A391">
        <v>0.0891</v>
      </c>
    </row>
    <row r="392" spans="1:1">
      <c r="A392">
        <v>0</v>
      </c>
    </row>
    <row r="394" spans="1:1">
      <c r="A394">
        <v>75</v>
      </c>
    </row>
    <row r="395" spans="1:1">
      <c r="A395" t="s">
        <v>5456</v>
      </c>
    </row>
    <row r="396" spans="1:1">
      <c r="A396">
        <v>84</v>
      </c>
    </row>
    <row r="397" spans="1:1">
      <c r="A397">
        <v>0.2308</v>
      </c>
    </row>
    <row r="398" spans="1:1">
      <c r="A398">
        <v>0.0024</v>
      </c>
    </row>
    <row r="399" spans="1:1">
      <c r="A399">
        <v>0</v>
      </c>
    </row>
    <row r="400" spans="1:1">
      <c r="A400">
        <v>3</v>
      </c>
    </row>
    <row r="401" spans="1:1">
      <c r="A401">
        <v>49.5</v>
      </c>
    </row>
    <row r="402" spans="1:1">
      <c r="A402" t="s">
        <v>5457</v>
      </c>
    </row>
    <row r="403" spans="1:1">
      <c r="A403">
        <v>22</v>
      </c>
    </row>
    <row r="404" spans="1:1">
      <c r="A404">
        <v>0.529</v>
      </c>
    </row>
    <row r="405" spans="1:1">
      <c r="A405">
        <v>-0.0461</v>
      </c>
    </row>
    <row r="406" spans="1:1">
      <c r="A406">
        <v>0</v>
      </c>
    </row>
    <row r="407" spans="1:1">
      <c r="A407">
        <v>8</v>
      </c>
    </row>
    <row r="408" spans="1:1">
      <c r="A408">
        <v>64</v>
      </c>
    </row>
    <row r="409" spans="1:1">
      <c r="A409" t="s">
        <v>5455</v>
      </c>
    </row>
    <row r="410" spans="1:1">
      <c r="A410">
        <v>47</v>
      </c>
    </row>
    <row r="411" spans="1:1">
      <c r="A411">
        <v>0.7174</v>
      </c>
    </row>
    <row r="412" spans="1:1">
      <c r="A412">
        <v>-0.3128</v>
      </c>
    </row>
    <row r="413" spans="1:1">
      <c r="A413">
        <v>0</v>
      </c>
    </row>
    <row r="415" spans="1:1">
      <c r="A415">
        <v>56.3</v>
      </c>
    </row>
    <row r="416" spans="1:1">
      <c r="A416" t="s">
        <v>5455</v>
      </c>
    </row>
    <row r="417" spans="1:1">
      <c r="A417">
        <v>31</v>
      </c>
    </row>
    <row r="418" spans="1:1">
      <c r="A418">
        <v>0.2644</v>
      </c>
    </row>
    <row r="419" spans="1:1">
      <c r="A419">
        <v>-0.3646</v>
      </c>
    </row>
    <row r="420" spans="1:1">
      <c r="A420">
        <v>0</v>
      </c>
    </row>
    <row r="421" spans="1:1">
      <c r="A421">
        <v>6</v>
      </c>
    </row>
    <row r="422" spans="1:1">
      <c r="A422">
        <v>36.8</v>
      </c>
    </row>
    <row r="423" spans="1:1">
      <c r="A423" t="s">
        <v>5457</v>
      </c>
    </row>
    <row r="424" spans="1:1">
      <c r="A424">
        <v>6</v>
      </c>
    </row>
    <row r="425" spans="1:1">
      <c r="A425">
        <v>0.2857</v>
      </c>
    </row>
    <row r="426" spans="1:1">
      <c r="A426">
        <v>-0.4262</v>
      </c>
    </row>
    <row r="427" spans="1:1">
      <c r="A427">
        <v>0</v>
      </c>
    </row>
    <row r="429" spans="1:1">
      <c r="A429">
        <v>38.8</v>
      </c>
    </row>
    <row r="430" spans="1:1">
      <c r="A430" t="s">
        <v>5457</v>
      </c>
    </row>
    <row r="431" spans="1:1">
      <c r="A431">
        <v>10</v>
      </c>
    </row>
    <row r="432" spans="1:1">
      <c r="A432">
        <v>0.8639</v>
      </c>
    </row>
    <row r="433" spans="1:1">
      <c r="A433">
        <v>0.8673</v>
      </c>
    </row>
    <row r="434" spans="1:1">
      <c r="A434">
        <v>0</v>
      </c>
    </row>
    <row r="435" spans="1:1">
      <c r="A435">
        <v>8</v>
      </c>
    </row>
    <row r="436" spans="1:1">
      <c r="A436">
        <v>94</v>
      </c>
    </row>
    <row r="437" spans="1:1">
      <c r="A437" t="s">
        <v>5456</v>
      </c>
    </row>
    <row r="438" spans="1:1">
      <c r="A438">
        <v>135</v>
      </c>
    </row>
    <row r="439" spans="1:1">
      <c r="A439">
        <v>0.5769</v>
      </c>
    </row>
    <row r="440" spans="1:1">
      <c r="A440">
        <v>0.6493</v>
      </c>
    </row>
    <row r="441" spans="1:1">
      <c r="A441">
        <v>0</v>
      </c>
    </row>
    <row r="443" spans="1:1">
      <c r="A443">
        <v>72.5</v>
      </c>
    </row>
    <row r="444" spans="1:1">
      <c r="A444" t="s">
        <v>5455</v>
      </c>
    </row>
    <row r="445" spans="1:1">
      <c r="A445">
        <v>72</v>
      </c>
    </row>
    <row r="446" spans="1:1">
      <c r="A446">
        <v>0.9804</v>
      </c>
    </row>
    <row r="447" spans="1:1">
      <c r="A447">
        <v>0.2402</v>
      </c>
    </row>
    <row r="448" spans="1:1">
      <c r="A448">
        <v>0</v>
      </c>
    </row>
    <row r="450" spans="1:1">
      <c r="A450">
        <v>90</v>
      </c>
    </row>
    <row r="451" spans="1:1">
      <c r="A451" t="s">
        <v>5456</v>
      </c>
    </row>
    <row r="452" spans="1:1">
      <c r="A452">
        <v>123</v>
      </c>
    </row>
    <row r="453" spans="1:1">
      <c r="A453">
        <v>0.0781</v>
      </c>
    </row>
    <row r="454" spans="1:1">
      <c r="A454">
        <v>-0.5039</v>
      </c>
    </row>
    <row r="455" spans="1:1">
      <c r="A455">
        <v>0</v>
      </c>
    </row>
    <row r="457" spans="1:1">
      <c r="A457">
        <v>30</v>
      </c>
    </row>
    <row r="458" spans="1:1">
      <c r="A458" t="s">
        <v>5457</v>
      </c>
    </row>
    <row r="459" spans="1:1">
      <c r="A459">
        <v>2</v>
      </c>
    </row>
    <row r="460" spans="1:1">
      <c r="A460">
        <v>0.263</v>
      </c>
    </row>
    <row r="461" spans="1:1">
      <c r="A461">
        <v>0.0844</v>
      </c>
    </row>
    <row r="462" spans="1:1">
      <c r="A462">
        <v>0</v>
      </c>
    </row>
    <row r="463" spans="1:1">
      <c r="A463">
        <v>6</v>
      </c>
    </row>
    <row r="464" spans="1:1">
      <c r="A464">
        <v>55.5</v>
      </c>
    </row>
    <row r="465" spans="1:1">
      <c r="A465" t="s">
        <v>5455</v>
      </c>
    </row>
    <row r="466" spans="1:1">
      <c r="A466">
        <v>29</v>
      </c>
    </row>
    <row r="467" spans="1:1">
      <c r="A467">
        <v>0.5443</v>
      </c>
    </row>
    <row r="468" spans="1:1">
      <c r="A468">
        <v>-0.0482</v>
      </c>
    </row>
    <row r="469" spans="1:1">
      <c r="A469">
        <v>0</v>
      </c>
    </row>
    <row r="470" spans="1:1">
      <c r="A470">
        <v>6</v>
      </c>
    </row>
    <row r="471" spans="1:1">
      <c r="A471">
        <v>58</v>
      </c>
    </row>
    <row r="472" spans="1:1">
      <c r="A472" t="s">
        <v>5455</v>
      </c>
    </row>
    <row r="473" spans="1:1">
      <c r="A473">
        <v>36</v>
      </c>
    </row>
    <row r="474" spans="1:1">
      <c r="A474">
        <v>0.2414</v>
      </c>
    </row>
    <row r="475" spans="1:1">
      <c r="A475">
        <v>-0.3742</v>
      </c>
    </row>
    <row r="476" spans="1:1">
      <c r="A476">
        <v>0</v>
      </c>
    </row>
    <row r="477" spans="1:1">
      <c r="A477">
        <v>6</v>
      </c>
    </row>
    <row r="478" spans="1:1">
      <c r="A478">
        <v>36.8</v>
      </c>
    </row>
    <row r="479" spans="1:1">
      <c r="A479" t="s">
        <v>5457</v>
      </c>
    </row>
    <row r="480" spans="1:1">
      <c r="A480">
        <v>6</v>
      </c>
    </row>
    <row r="481" spans="1:1">
      <c r="A481">
        <v>0.6245000000000001</v>
      </c>
    </row>
    <row r="482" spans="1:1">
      <c r="A482">
        <v>0.1297</v>
      </c>
    </row>
    <row r="483" spans="1:1">
      <c r="A483">
        <v>0</v>
      </c>
    </row>
    <row r="485" spans="1:1">
      <c r="A485">
        <v>81.3</v>
      </c>
    </row>
    <row r="486" spans="1:1">
      <c r="A486" t="s">
        <v>5456</v>
      </c>
    </row>
    <row r="487" spans="1:1">
      <c r="A487">
        <v>106</v>
      </c>
    </row>
    <row r="488" spans="1:1">
      <c r="A488">
        <v>0.9262</v>
      </c>
    </row>
    <row r="489" spans="1:1">
      <c r="A489">
        <v>0.0235</v>
      </c>
    </row>
    <row r="490" spans="1:1">
      <c r="A490">
        <v>0</v>
      </c>
    </row>
    <row r="492" spans="1:1">
      <c r="A492">
        <v>83.8</v>
      </c>
    </row>
    <row r="493" spans="1:1">
      <c r="A493" t="s">
        <v>5456</v>
      </c>
    </row>
    <row r="494" spans="1:1">
      <c r="A494">
        <v>117</v>
      </c>
    </row>
    <row r="495" spans="1:1">
      <c r="A495">
        <v>0.5435</v>
      </c>
    </row>
    <row r="496" spans="1:1">
      <c r="A496">
        <v>0.5775</v>
      </c>
    </row>
    <row r="497" spans="1:1">
      <c r="A497">
        <v>0</v>
      </c>
    </row>
    <row r="498" spans="1:1">
      <c r="A498">
        <v>5.666666666666667</v>
      </c>
    </row>
    <row r="499" spans="1:1">
      <c r="A499">
        <v>70.5</v>
      </c>
    </row>
    <row r="500" spans="1:1">
      <c r="A500" t="s">
        <v>5455</v>
      </c>
    </row>
    <row r="501" spans="1:1">
      <c r="A501">
        <v>66</v>
      </c>
    </row>
    <row r="502" spans="1:1">
      <c r="A502">
        <v>0.7762</v>
      </c>
    </row>
    <row r="503" spans="1:1">
      <c r="A503">
        <v>-0.28</v>
      </c>
    </row>
    <row r="504" spans="1:1">
      <c r="A504">
        <v>0</v>
      </c>
    </row>
    <row r="505" spans="1:1">
      <c r="A505">
        <v>9</v>
      </c>
    </row>
    <row r="506" spans="1:1">
      <c r="A506">
        <v>66.3</v>
      </c>
    </row>
    <row r="507" spans="1:1">
      <c r="A507" t="s">
        <v>5455</v>
      </c>
    </row>
    <row r="508" spans="1:1">
      <c r="A508">
        <v>53</v>
      </c>
    </row>
    <row r="509" spans="1:1">
      <c r="A509">
        <v>0.2852</v>
      </c>
    </row>
    <row r="510" spans="1:1">
      <c r="A510">
        <v>-0.1455</v>
      </c>
    </row>
    <row r="511" spans="1:1">
      <c r="A511">
        <v>0</v>
      </c>
    </row>
    <row r="512" spans="1:1">
      <c r="A512">
        <v>7</v>
      </c>
    </row>
    <row r="513" spans="1:1">
      <c r="A513">
        <v>49</v>
      </c>
    </row>
    <row r="514" spans="1:1">
      <c r="A514" t="s">
        <v>5457</v>
      </c>
    </row>
    <row r="515" spans="1:1">
      <c r="A515">
        <v>20</v>
      </c>
    </row>
    <row r="516" spans="1:1">
      <c r="A516">
        <v>0.6379</v>
      </c>
    </row>
    <row r="517" spans="1:1">
      <c r="A517">
        <v>0.404</v>
      </c>
    </row>
    <row r="518" spans="1:1">
      <c r="A518">
        <v>0</v>
      </c>
    </row>
    <row r="519" spans="1:1">
      <c r="A519">
        <v>6</v>
      </c>
    </row>
    <row r="520" spans="1:1">
      <c r="A520">
        <v>79.3</v>
      </c>
    </row>
    <row r="521" spans="1:1">
      <c r="A521" t="s">
        <v>5456</v>
      </c>
    </row>
    <row r="522" spans="1:1">
      <c r="A522">
        <v>103</v>
      </c>
    </row>
    <row r="523" spans="1:1">
      <c r="A523">
        <v>0.5205</v>
      </c>
    </row>
    <row r="524" spans="1:1">
      <c r="A524">
        <v>0.5746</v>
      </c>
    </row>
    <row r="525" spans="1:1">
      <c r="A525">
        <v>0</v>
      </c>
    </row>
    <row r="527" spans="1:1">
      <c r="A527">
        <v>72.5</v>
      </c>
    </row>
    <row r="528" spans="1:1">
      <c r="A528" t="s">
        <v>5455</v>
      </c>
    </row>
    <row r="529" spans="1:1">
      <c r="A529">
        <v>72</v>
      </c>
    </row>
    <row r="530" spans="1:1">
      <c r="A530">
        <v>0.7456</v>
      </c>
    </row>
    <row r="531" spans="1:1">
      <c r="A531">
        <v>0.0139</v>
      </c>
    </row>
    <row r="532" spans="1:1">
      <c r="A532">
        <v>0</v>
      </c>
    </row>
    <row r="533" spans="1:1">
      <c r="A533">
        <v>10</v>
      </c>
    </row>
    <row r="534" spans="1:1">
      <c r="A534">
        <v>85</v>
      </c>
    </row>
    <row r="535" spans="1:1">
      <c r="A535" t="s">
        <v>5456</v>
      </c>
    </row>
    <row r="536" spans="1:1">
      <c r="A536">
        <v>118</v>
      </c>
    </row>
    <row r="537" spans="1:1">
      <c r="A537">
        <v>0.5952</v>
      </c>
    </row>
    <row r="538" spans="1:1">
      <c r="A538">
        <v>0.4034</v>
      </c>
    </row>
    <row r="539" spans="1:1">
      <c r="A539">
        <v>0</v>
      </c>
    </row>
    <row r="540" spans="1:1">
      <c r="A540">
        <v>6.5</v>
      </c>
    </row>
    <row r="541" spans="1:1">
      <c r="A541">
        <v>70.5</v>
      </c>
    </row>
    <row r="542" spans="1:1">
      <c r="A542" t="s">
        <v>5455</v>
      </c>
    </row>
    <row r="543" spans="1:1">
      <c r="A543">
        <v>66</v>
      </c>
    </row>
    <row r="544" spans="1:1">
      <c r="A544">
        <v>0.9391</v>
      </c>
    </row>
    <row r="545" spans="1:1">
      <c r="A545">
        <v>-0.2113</v>
      </c>
    </row>
    <row r="546" spans="1:1">
      <c r="A546">
        <v>0</v>
      </c>
    </row>
    <row r="548" spans="1:1">
      <c r="A548">
        <v>71.3</v>
      </c>
    </row>
    <row r="549" spans="1:1">
      <c r="A549" t="s">
        <v>5455</v>
      </c>
    </row>
    <row r="550" spans="1:1">
      <c r="A550">
        <v>70</v>
      </c>
    </row>
    <row r="551" spans="1:1">
      <c r="A551">
        <v>0.963</v>
      </c>
    </row>
    <row r="552" spans="1:1">
      <c r="A552">
        <v>0.0872</v>
      </c>
    </row>
    <row r="553" spans="1:1">
      <c r="A553">
        <v>0</v>
      </c>
    </row>
    <row r="554" spans="1:1">
      <c r="A554">
        <v>10</v>
      </c>
    </row>
    <row r="555" spans="1:1">
      <c r="A555">
        <v>93.8</v>
      </c>
    </row>
    <row r="556" spans="1:1">
      <c r="A556" t="s">
        <v>5456</v>
      </c>
    </row>
    <row r="557" spans="1:1">
      <c r="A557">
        <v>133</v>
      </c>
    </row>
    <row r="558" spans="1:1">
      <c r="A558">
        <v>0.1739</v>
      </c>
    </row>
    <row r="559" spans="1:1">
      <c r="A559">
        <v>-0.4197</v>
      </c>
    </row>
    <row r="560" spans="1:1">
      <c r="A560">
        <v>0</v>
      </c>
    </row>
    <row r="561" spans="1:1">
      <c r="A561">
        <v>4</v>
      </c>
    </row>
    <row r="562" spans="1:1">
      <c r="A562">
        <v>22</v>
      </c>
    </row>
    <row r="563" spans="1:1">
      <c r="A563" t="s">
        <v>5457</v>
      </c>
    </row>
    <row r="564" spans="1:1">
      <c r="A564">
        <v>1</v>
      </c>
    </row>
    <row r="565" spans="1:1">
      <c r="A565">
        <v>0.2927</v>
      </c>
    </row>
    <row r="566" spans="1:1">
      <c r="A566">
        <v>-0.3137</v>
      </c>
    </row>
    <row r="567" spans="1:1">
      <c r="A567">
        <v>0</v>
      </c>
    </row>
    <row r="568" spans="1:1">
      <c r="A568">
        <v>7</v>
      </c>
    </row>
    <row r="569" spans="1:1">
      <c r="A569">
        <v>42.8</v>
      </c>
    </row>
    <row r="570" spans="1:1">
      <c r="A570" t="s">
        <v>5457</v>
      </c>
    </row>
    <row r="571" spans="1:1">
      <c r="A571">
        <v>13</v>
      </c>
    </row>
    <row r="572" spans="1:1">
      <c r="A572">
        <v>0.0309</v>
      </c>
    </row>
    <row r="573" spans="1:1">
      <c r="A573">
        <v>-0.6688</v>
      </c>
    </row>
    <row r="574" spans="1:1">
      <c r="A574">
        <v>0</v>
      </c>
    </row>
    <row r="576" spans="1:1">
      <c r="A576">
        <v>30</v>
      </c>
    </row>
    <row r="577" spans="1:1">
      <c r="A577" t="s">
        <v>5457</v>
      </c>
    </row>
    <row r="578" spans="1:1">
      <c r="A578">
        <v>2</v>
      </c>
    </row>
    <row r="579" spans="1:1">
      <c r="A579">
        <v>0.7647</v>
      </c>
    </row>
    <row r="580" spans="1:1">
      <c r="A580">
        <v>-0.2063</v>
      </c>
    </row>
    <row r="581" spans="1:1">
      <c r="A581">
        <v>0</v>
      </c>
    </row>
    <row r="582" spans="1:1">
      <c r="A582">
        <v>7</v>
      </c>
    </row>
    <row r="583" spans="1:1">
      <c r="A583">
        <v>66.5</v>
      </c>
    </row>
    <row r="584" spans="1:1">
      <c r="A584" t="s">
        <v>5455</v>
      </c>
    </row>
    <row r="585" spans="1:1">
      <c r="A585">
        <v>54</v>
      </c>
    </row>
    <row r="586" spans="1:1">
      <c r="A586">
        <v>0.3434</v>
      </c>
    </row>
    <row r="587" spans="1:1">
      <c r="A587">
        <v>-0.3465</v>
      </c>
    </row>
    <row r="588" spans="1:1">
      <c r="A588">
        <v>0</v>
      </c>
    </row>
    <row r="589" spans="1:1">
      <c r="A589">
        <v>4</v>
      </c>
    </row>
    <row r="590" spans="1:1">
      <c r="A590">
        <v>30.8</v>
      </c>
    </row>
    <row r="591" spans="1:1">
      <c r="A591" t="s">
        <v>5457</v>
      </c>
    </row>
    <row r="592" spans="1:1">
      <c r="A592">
        <v>5</v>
      </c>
    </row>
    <row r="593" spans="1:1">
      <c r="A593">
        <v>0.75</v>
      </c>
    </row>
    <row r="594" spans="1:1">
      <c r="A594">
        <v>-0.314</v>
      </c>
    </row>
    <row r="595" spans="1:1">
      <c r="A595">
        <v>0</v>
      </c>
    </row>
    <row r="597" spans="1:1">
      <c r="A597">
        <v>56.3</v>
      </c>
    </row>
    <row r="598" spans="1:1">
      <c r="A598" t="s">
        <v>5455</v>
      </c>
    </row>
    <row r="599" spans="1:1">
      <c r="A599">
        <v>31</v>
      </c>
    </row>
    <row r="600" spans="1:1">
      <c r="A600">
        <v>0.8</v>
      </c>
    </row>
    <row r="601" spans="1:1">
      <c r="A601">
        <v>-0.0663</v>
      </c>
    </row>
    <row r="602" spans="1:1">
      <c r="A602">
        <v>0</v>
      </c>
    </row>
    <row r="603" spans="1:1">
      <c r="A603">
        <v>9.5</v>
      </c>
    </row>
    <row r="604" spans="1:1">
      <c r="A604">
        <v>87.5</v>
      </c>
    </row>
    <row r="605" spans="1:1">
      <c r="A605" t="s">
        <v>5456</v>
      </c>
    </row>
    <row r="606" spans="1:1">
      <c r="A606">
        <v>121</v>
      </c>
    </row>
    <row r="607" spans="1:1">
      <c r="A607">
        <v>0.8159999999999999</v>
      </c>
    </row>
    <row r="608" spans="1:1">
      <c r="A608">
        <v>0.4011</v>
      </c>
    </row>
    <row r="609" spans="1:1">
      <c r="A609">
        <v>0</v>
      </c>
    </row>
    <row r="610" spans="1:1">
      <c r="A610">
        <v>6</v>
      </c>
    </row>
    <row r="611" spans="1:1">
      <c r="A611">
        <v>88</v>
      </c>
    </row>
    <row r="612" spans="1:1">
      <c r="A612" t="s">
        <v>5456</v>
      </c>
    </row>
    <row r="613" spans="1:1">
      <c r="A613">
        <v>122</v>
      </c>
    </row>
    <row r="614" spans="1:1">
      <c r="A614">
        <v>0.6042999999999999</v>
      </c>
    </row>
    <row r="615" spans="1:1">
      <c r="A615">
        <v>-0.137</v>
      </c>
    </row>
    <row r="616" spans="1:1">
      <c r="A616">
        <v>0</v>
      </c>
    </row>
    <row r="617" spans="1:1">
      <c r="A617">
        <v>7</v>
      </c>
    </row>
    <row r="618" spans="1:1">
      <c r="A618">
        <v>66.5</v>
      </c>
    </row>
    <row r="619" spans="1:1">
      <c r="A619" t="s">
        <v>5455</v>
      </c>
    </row>
    <row r="620" spans="1:1">
      <c r="A620">
        <v>54</v>
      </c>
    </row>
    <row r="621" spans="1:1">
      <c r="A621">
        <v>0.8208</v>
      </c>
    </row>
    <row r="622" spans="1:1">
      <c r="A622">
        <v>-0.1077</v>
      </c>
    </row>
    <row r="623" spans="1:1">
      <c r="A623">
        <v>0</v>
      </c>
    </row>
    <row r="625" spans="1:1">
      <c r="A625">
        <v>71.3</v>
      </c>
    </row>
    <row r="626" spans="1:1">
      <c r="A626" t="s">
        <v>5455</v>
      </c>
    </row>
    <row r="627" spans="1:1">
      <c r="A627">
        <v>70</v>
      </c>
    </row>
    <row r="628" spans="1:1">
      <c r="A628">
        <v>0.8485</v>
      </c>
    </row>
    <row r="629" spans="1:1">
      <c r="A629">
        <v>0.0586</v>
      </c>
    </row>
    <row r="630" spans="1:1">
      <c r="A630">
        <v>0</v>
      </c>
    </row>
    <row r="631" spans="1:1">
      <c r="A631">
        <v>6.5</v>
      </c>
    </row>
    <row r="632" spans="1:1">
      <c r="A632">
        <v>81.8</v>
      </c>
    </row>
    <row r="633" spans="1:1">
      <c r="A633" t="s">
        <v>5456</v>
      </c>
    </row>
    <row r="634" spans="1:1">
      <c r="A634">
        <v>115</v>
      </c>
    </row>
    <row r="635" spans="1:1">
      <c r="A635">
        <v>0.7105</v>
      </c>
    </row>
    <row r="636" spans="1:1">
      <c r="A636">
        <v>0.856</v>
      </c>
    </row>
    <row r="637" spans="1:1">
      <c r="A637">
        <v>0</v>
      </c>
    </row>
    <row r="639" spans="1:1">
      <c r="A639">
        <v>81.3</v>
      </c>
    </row>
    <row r="640" spans="1:1">
      <c r="A640" t="s">
        <v>5456</v>
      </c>
    </row>
    <row r="641" spans="1:1">
      <c r="A641">
        <v>106</v>
      </c>
    </row>
    <row r="642" spans="1:1">
      <c r="A642">
        <v>0.6028</v>
      </c>
    </row>
    <row r="643" spans="1:1">
      <c r="A643">
        <v>-0.08799999999999999</v>
      </c>
    </row>
    <row r="644" spans="1:1">
      <c r="A644">
        <v>0</v>
      </c>
    </row>
    <row r="645" spans="1:1">
      <c r="A645">
        <v>9</v>
      </c>
    </row>
    <row r="646" spans="1:1">
      <c r="A646">
        <v>78.8</v>
      </c>
    </row>
    <row r="647" spans="1:1">
      <c r="A647" t="s">
        <v>5456</v>
      </c>
    </row>
    <row r="648" spans="1:1">
      <c r="A648">
        <v>98</v>
      </c>
    </row>
    <row r="649" spans="1:1">
      <c r="A649">
        <v>0.5</v>
      </c>
    </row>
    <row r="650" spans="1:1">
      <c r="A650">
        <v>-0.1206</v>
      </c>
    </row>
    <row r="651" spans="1:1">
      <c r="A651">
        <v>0</v>
      </c>
    </row>
    <row r="652" spans="1:1">
      <c r="A652">
        <v>9</v>
      </c>
    </row>
    <row r="653" spans="1:1">
      <c r="A653">
        <v>63.8</v>
      </c>
    </row>
    <row r="654" spans="1:1">
      <c r="A654" t="s">
        <v>5455</v>
      </c>
    </row>
    <row r="655" spans="1:1">
      <c r="A655">
        <v>45</v>
      </c>
    </row>
    <row r="656" spans="1:1">
      <c r="A656">
        <v>0.5238</v>
      </c>
    </row>
    <row r="657" spans="1:1">
      <c r="A657">
        <v>0.1122</v>
      </c>
    </row>
    <row r="658" spans="1:1">
      <c r="A658">
        <v>0</v>
      </c>
    </row>
    <row r="660" spans="1:1">
      <c r="A660">
        <v>72.5</v>
      </c>
    </row>
    <row r="661" spans="1:1">
      <c r="A661" t="s">
        <v>5455</v>
      </c>
    </row>
    <row r="662" spans="1:1">
      <c r="A662">
        <v>72</v>
      </c>
    </row>
    <row r="663" spans="1:1">
      <c r="A663">
        <v>0.7096</v>
      </c>
    </row>
    <row r="664" spans="1:1">
      <c r="A664">
        <v>0.1074</v>
      </c>
    </row>
    <row r="665" spans="1:1">
      <c r="A665">
        <v>0</v>
      </c>
    </row>
    <row r="667" spans="1:1">
      <c r="A667">
        <v>81.3</v>
      </c>
    </row>
    <row r="668" spans="1:1">
      <c r="A668" t="s">
        <v>5456</v>
      </c>
    </row>
    <row r="669" spans="1:1">
      <c r="A669">
        <v>106</v>
      </c>
    </row>
    <row r="670" spans="1:1">
      <c r="A670">
        <v>0.5926</v>
      </c>
    </row>
    <row r="671" spans="1:1">
      <c r="A671">
        <v>0.3325</v>
      </c>
    </row>
    <row r="672" spans="1:1">
      <c r="A672">
        <v>0</v>
      </c>
    </row>
    <row r="673" spans="1:1">
      <c r="A673">
        <v>5.5</v>
      </c>
    </row>
    <row r="674" spans="1:1">
      <c r="A674">
        <v>70.5</v>
      </c>
    </row>
    <row r="675" spans="1:1">
      <c r="A675" t="s">
        <v>5455</v>
      </c>
    </row>
    <row r="676" spans="1:1">
      <c r="A676">
        <v>66</v>
      </c>
    </row>
    <row r="677" spans="1:1">
      <c r="A677">
        <v>0.6545</v>
      </c>
    </row>
    <row r="678" spans="1:1">
      <c r="A678">
        <v>-0.1434</v>
      </c>
    </row>
    <row r="679" spans="1:1">
      <c r="A679">
        <v>0</v>
      </c>
    </row>
    <row r="680" spans="1:1">
      <c r="A680">
        <v>7.5</v>
      </c>
    </row>
    <row r="681" spans="1:1">
      <c r="A681">
        <v>66.5</v>
      </c>
    </row>
    <row r="682" spans="1:1">
      <c r="A682" t="s">
        <v>5455</v>
      </c>
    </row>
    <row r="683" spans="1:1">
      <c r="A683">
        <v>54</v>
      </c>
    </row>
    <row r="684" spans="1:1">
      <c r="A684">
        <v>0.6022999999999999</v>
      </c>
    </row>
    <row r="685" spans="1:1">
      <c r="A685">
        <v>-0.0418</v>
      </c>
    </row>
    <row r="686" spans="1:1">
      <c r="A686">
        <v>0</v>
      </c>
    </row>
    <row r="687" spans="1:1">
      <c r="A687">
        <v>7</v>
      </c>
    </row>
    <row r="688" spans="1:1">
      <c r="A688">
        <v>72.8</v>
      </c>
    </row>
    <row r="689" spans="1:1">
      <c r="A689" t="s">
        <v>5455</v>
      </c>
    </row>
    <row r="690" spans="1:1">
      <c r="A690">
        <v>81</v>
      </c>
    </row>
    <row r="691" spans="1:1">
      <c r="A691">
        <v>0.1552</v>
      </c>
    </row>
    <row r="692" spans="1:1">
      <c r="A692">
        <v>0.2326</v>
      </c>
    </row>
    <row r="693" spans="1:1">
      <c r="A693">
        <v>0</v>
      </c>
    </row>
    <row r="694" spans="1:1">
      <c r="A694">
        <v>7</v>
      </c>
    </row>
    <row r="695" spans="1:1">
      <c r="A695">
        <v>59</v>
      </c>
    </row>
    <row r="696" spans="1:1">
      <c r="A696" t="s">
        <v>5455</v>
      </c>
    </row>
    <row r="697" spans="1:1">
      <c r="A697">
        <v>37</v>
      </c>
    </row>
    <row r="698" spans="1:1">
      <c r="A698">
        <v>0.3103</v>
      </c>
    </row>
    <row r="699" spans="1:1">
      <c r="A699">
        <v>0.2204</v>
      </c>
    </row>
    <row r="700" spans="1:1">
      <c r="A700">
        <v>0</v>
      </c>
    </row>
    <row r="701" spans="1:1">
      <c r="A701">
        <v>8</v>
      </c>
    </row>
    <row r="702" spans="1:1">
      <c r="A702">
        <v>67.8</v>
      </c>
    </row>
    <row r="703" spans="1:1">
      <c r="A703" t="s">
        <v>5455</v>
      </c>
    </row>
    <row r="704" spans="1:1">
      <c r="A704">
        <v>60</v>
      </c>
    </row>
    <row r="705" spans="1:1">
      <c r="A705">
        <v>0.2857</v>
      </c>
    </row>
    <row r="706" spans="1:1">
      <c r="A706">
        <v>-0.3322</v>
      </c>
    </row>
    <row r="707" spans="1:1">
      <c r="A707">
        <v>0</v>
      </c>
    </row>
    <row r="709" spans="1:1">
      <c r="A709">
        <v>38.8</v>
      </c>
    </row>
    <row r="710" spans="1:1">
      <c r="A710" t="s">
        <v>5457</v>
      </c>
    </row>
    <row r="711" spans="1:1">
      <c r="A711">
        <v>10</v>
      </c>
    </row>
    <row r="712" spans="1:1">
      <c r="A712">
        <v>0.7478</v>
      </c>
    </row>
    <row r="713" spans="1:1">
      <c r="A713">
        <v>0.3252</v>
      </c>
    </row>
    <row r="714" spans="1:1">
      <c r="A714">
        <v>0</v>
      </c>
    </row>
    <row r="715" spans="1:1">
      <c r="A715">
        <v>10</v>
      </c>
    </row>
    <row r="716" spans="1:1">
      <c r="A716">
        <v>91.3</v>
      </c>
    </row>
    <row r="717" spans="1:1">
      <c r="A717" t="s">
        <v>5456</v>
      </c>
    </row>
    <row r="718" spans="1:1">
      <c r="A718">
        <v>128</v>
      </c>
    </row>
    <row r="719" spans="1:1">
      <c r="A719">
        <v>0.625</v>
      </c>
    </row>
    <row r="720" spans="1:1">
      <c r="A720">
        <v>0.0039</v>
      </c>
    </row>
    <row r="721" spans="1:1">
      <c r="A721">
        <v>0</v>
      </c>
    </row>
    <row r="722" spans="1:1">
      <c r="A722">
        <v>8</v>
      </c>
    </row>
    <row r="723" spans="1:1">
      <c r="A723">
        <v>79</v>
      </c>
    </row>
    <row r="724" spans="1:1">
      <c r="A724" t="s">
        <v>5456</v>
      </c>
    </row>
    <row r="725" spans="1:1">
      <c r="A725">
        <v>99</v>
      </c>
    </row>
    <row r="726" spans="1:1">
      <c r="A726">
        <v>0.6364</v>
      </c>
    </row>
    <row r="727" spans="1:1">
      <c r="A727">
        <v>-0.3125</v>
      </c>
    </row>
    <row r="728" spans="1:1">
      <c r="A728">
        <v>0</v>
      </c>
    </row>
    <row r="729" spans="1:1">
      <c r="A729">
        <v>6</v>
      </c>
    </row>
    <row r="730" spans="1:1">
      <c r="A730">
        <v>54.3</v>
      </c>
    </row>
    <row r="731" spans="1:1">
      <c r="A731" t="s">
        <v>5455</v>
      </c>
    </row>
    <row r="732" spans="1:1">
      <c r="A732">
        <v>27</v>
      </c>
    </row>
    <row r="733" spans="1:1">
      <c r="A733">
        <v>0.6262</v>
      </c>
    </row>
    <row r="734" spans="1:1">
      <c r="A734">
        <v>0.3458</v>
      </c>
    </row>
    <row r="735" spans="1:1">
      <c r="A735">
        <v>0</v>
      </c>
    </row>
    <row r="736" spans="1:1">
      <c r="A736">
        <v>6</v>
      </c>
    </row>
    <row r="737" spans="1:1">
      <c r="A737">
        <v>79.3</v>
      </c>
    </row>
    <row r="738" spans="1:1">
      <c r="A738" t="s">
        <v>5456</v>
      </c>
    </row>
    <row r="739" spans="1:1">
      <c r="A739">
        <v>103</v>
      </c>
    </row>
    <row r="740" spans="1:1">
      <c r="A740">
        <v>0.8667</v>
      </c>
    </row>
    <row r="741" spans="1:1">
      <c r="A741">
        <v>-0.4015</v>
      </c>
    </row>
    <row r="742" spans="1:1">
      <c r="A742">
        <v>0</v>
      </c>
    </row>
    <row r="743" spans="1:1">
      <c r="A743">
        <v>9.5</v>
      </c>
    </row>
    <row r="744" spans="1:1">
      <c r="A744">
        <v>75</v>
      </c>
    </row>
    <row r="745" spans="1:1">
      <c r="A745" t="s">
        <v>5456</v>
      </c>
    </row>
    <row r="746" spans="1:1">
      <c r="A746">
        <v>84</v>
      </c>
    </row>
    <row r="747" spans="1:1">
      <c r="A747">
        <v>0.7647</v>
      </c>
    </row>
    <row r="748" spans="1:1">
      <c r="A748">
        <v>0.6829</v>
      </c>
    </row>
    <row r="749" spans="1:1">
      <c r="A749">
        <v>0</v>
      </c>
    </row>
    <row r="750" spans="1:1">
      <c r="A750">
        <v>9</v>
      </c>
    </row>
    <row r="751" spans="1:1">
      <c r="A751">
        <v>91.3</v>
      </c>
    </row>
    <row r="752" spans="1:1">
      <c r="A752" t="s">
        <v>5456</v>
      </c>
    </row>
    <row r="753" spans="1:1">
      <c r="A753">
        <v>128</v>
      </c>
    </row>
    <row r="754" spans="1:1">
      <c r="A754">
        <v>0.6627999999999999</v>
      </c>
    </row>
    <row r="755" spans="1:1">
      <c r="A755">
        <v>0.2465</v>
      </c>
    </row>
    <row r="756" spans="1:1">
      <c r="A756">
        <v>0</v>
      </c>
    </row>
    <row r="758" spans="1:1">
      <c r="A758">
        <v>81.3</v>
      </c>
    </row>
    <row r="759" spans="1:1">
      <c r="A759" t="s">
        <v>5456</v>
      </c>
    </row>
    <row r="760" spans="1:1">
      <c r="A760">
        <v>106</v>
      </c>
    </row>
    <row r="761" spans="1:1">
      <c r="A761">
        <v>0.8596</v>
      </c>
    </row>
    <row r="762" spans="1:1">
      <c r="A762">
        <v>0.5467</v>
      </c>
    </row>
    <row r="763" spans="1:1">
      <c r="A763">
        <v>0</v>
      </c>
    </row>
    <row r="765" spans="1:1">
      <c r="A765">
        <v>90</v>
      </c>
    </row>
    <row r="766" spans="1:1">
      <c r="A766" t="s">
        <v>5456</v>
      </c>
    </row>
    <row r="767" spans="1:1">
      <c r="A767">
        <v>123</v>
      </c>
    </row>
    <row r="768" spans="1:1">
      <c r="A768">
        <v>0.5556</v>
      </c>
    </row>
    <row r="769" spans="1:1">
      <c r="A769">
        <v>-0.2151</v>
      </c>
    </row>
    <row r="770" spans="1:1">
      <c r="A770">
        <v>0</v>
      </c>
    </row>
    <row r="772" spans="1:1">
      <c r="A772">
        <v>53.8</v>
      </c>
    </row>
    <row r="773" spans="1:1">
      <c r="A773" t="s">
        <v>5455</v>
      </c>
    </row>
    <row r="774" spans="1:1">
      <c r="A774">
        <v>26</v>
      </c>
    </row>
    <row r="775" spans="1:1">
      <c r="A775">
        <v>0.8646</v>
      </c>
    </row>
    <row r="776" spans="1:1">
      <c r="A776">
        <v>-0.4637</v>
      </c>
    </row>
    <row r="777" spans="1:1">
      <c r="A777">
        <v>0</v>
      </c>
    </row>
    <row r="779" spans="1:1">
      <c r="A779">
        <v>65</v>
      </c>
    </row>
    <row r="780" spans="1:1">
      <c r="A780" t="s">
        <v>5455</v>
      </c>
    </row>
    <row r="781" spans="1:1">
      <c r="A781">
        <v>50</v>
      </c>
    </row>
    <row r="782" spans="1:1">
      <c r="A782">
        <v>0.5</v>
      </c>
    </row>
    <row r="783" spans="1:1">
      <c r="A783">
        <v>0.3758</v>
      </c>
    </row>
    <row r="784" spans="1:1">
      <c r="A784">
        <v>0</v>
      </c>
    </row>
    <row r="785" spans="1:1">
      <c r="A785">
        <v>6</v>
      </c>
    </row>
    <row r="786" spans="1:1">
      <c r="A786">
        <v>70.5</v>
      </c>
    </row>
    <row r="787" spans="1:1">
      <c r="A787" t="s">
        <v>5455</v>
      </c>
    </row>
    <row r="788" spans="1:1">
      <c r="A788">
        <v>66</v>
      </c>
    </row>
    <row r="789" spans="1:1">
      <c r="A789">
        <v>0.6923</v>
      </c>
    </row>
    <row r="790" spans="1:1">
      <c r="A790">
        <v>-0.0181</v>
      </c>
    </row>
    <row r="791" spans="1:1">
      <c r="A791">
        <v>0</v>
      </c>
    </row>
    <row r="792" spans="1:1">
      <c r="A792">
        <v>7</v>
      </c>
    </row>
    <row r="793" spans="1:1">
      <c r="A793">
        <v>72.8</v>
      </c>
    </row>
    <row r="794" spans="1:1">
      <c r="A794" t="s">
        <v>5455</v>
      </c>
    </row>
    <row r="795" spans="1:1">
      <c r="A795">
        <v>81</v>
      </c>
    </row>
    <row r="796" spans="1:1">
      <c r="A796">
        <v>0.5263</v>
      </c>
    </row>
    <row r="797" spans="1:1">
      <c r="A797">
        <v>-0.5803</v>
      </c>
    </row>
    <row r="798" spans="1:1">
      <c r="A798">
        <v>0</v>
      </c>
    </row>
    <row r="800" spans="1:1">
      <c r="A800">
        <v>47.5</v>
      </c>
    </row>
    <row r="801" spans="1:1">
      <c r="A801" t="s">
        <v>5457</v>
      </c>
    </row>
    <row r="802" spans="1:1">
      <c r="A802">
        <v>18</v>
      </c>
    </row>
    <row r="803" spans="1:1">
      <c r="A803">
        <v>0.8814</v>
      </c>
    </row>
    <row r="804" spans="1:1">
      <c r="A804">
        <v>0.2724</v>
      </c>
    </row>
    <row r="805" spans="1:1">
      <c r="A805">
        <v>0</v>
      </c>
    </row>
    <row r="806" spans="1:1">
      <c r="A806">
        <v>8</v>
      </c>
    </row>
    <row r="807" spans="1:1">
      <c r="A807">
        <v>94</v>
      </c>
    </row>
    <row r="808" spans="1:1">
      <c r="A808" t="s">
        <v>5456</v>
      </c>
    </row>
    <row r="809" spans="1:1">
      <c r="A809">
        <v>135</v>
      </c>
    </row>
    <row r="810" spans="1:1">
      <c r="A810">
        <v>0.8177</v>
      </c>
    </row>
    <row r="811" spans="1:1">
      <c r="A811">
        <v>-0.4446</v>
      </c>
    </row>
    <row r="812" spans="1:1">
      <c r="A812">
        <v>0</v>
      </c>
    </row>
    <row r="814" spans="1:1">
      <c r="A814">
        <v>65</v>
      </c>
    </row>
    <row r="815" spans="1:1">
      <c r="A815" t="s">
        <v>5455</v>
      </c>
    </row>
    <row r="816" spans="1:1">
      <c r="A816">
        <v>50</v>
      </c>
    </row>
    <row r="817" spans="1:1">
      <c r="A817">
        <v>0.7647</v>
      </c>
    </row>
    <row r="818" spans="1:1">
      <c r="A818">
        <v>0.0614</v>
      </c>
    </row>
    <row r="819" spans="1:1">
      <c r="A819">
        <v>0</v>
      </c>
    </row>
    <row r="820" spans="1:1">
      <c r="A820">
        <v>8</v>
      </c>
    </row>
    <row r="821" spans="1:1">
      <c r="A821">
        <v>79</v>
      </c>
    </row>
    <row r="822" spans="1:1">
      <c r="A822" t="s">
        <v>5456</v>
      </c>
    </row>
    <row r="823" spans="1:1">
      <c r="A823">
        <v>99</v>
      </c>
    </row>
    <row r="824" spans="1:1">
      <c r="A824">
        <v>0.2044</v>
      </c>
    </row>
    <row r="825" spans="1:1">
      <c r="A825">
        <v>-0.0623</v>
      </c>
    </row>
    <row r="826" spans="1:1">
      <c r="A826">
        <v>0</v>
      </c>
    </row>
    <row r="827" spans="1:1">
      <c r="A827">
        <v>5</v>
      </c>
    </row>
    <row r="828" spans="1:1">
      <c r="A828">
        <v>49.3</v>
      </c>
    </row>
    <row r="829" spans="1:1">
      <c r="A829" t="s">
        <v>5457</v>
      </c>
    </row>
    <row r="830" spans="1:1">
      <c r="A830">
        <v>21</v>
      </c>
    </row>
    <row r="831" spans="1:1">
      <c r="A831">
        <v>0.8621</v>
      </c>
    </row>
    <row r="832" spans="1:1">
      <c r="A832">
        <v>-0.2639</v>
      </c>
    </row>
    <row r="833" spans="1:1">
      <c r="A833">
        <v>0</v>
      </c>
    </row>
    <row r="834" spans="1:1">
      <c r="A834">
        <v>10</v>
      </c>
    </row>
    <row r="835" spans="1:1">
      <c r="A835">
        <v>75</v>
      </c>
    </row>
    <row r="836" spans="1:1">
      <c r="A836" t="s">
        <v>5456</v>
      </c>
    </row>
    <row r="837" spans="1:1">
      <c r="A837">
        <v>84</v>
      </c>
    </row>
    <row r="838" spans="1:1">
      <c r="A838">
        <v>0.7353</v>
      </c>
    </row>
    <row r="839" spans="1:1">
      <c r="A839">
        <v>0.3403</v>
      </c>
    </row>
    <row r="840" spans="1:1">
      <c r="A840">
        <v>0</v>
      </c>
    </row>
    <row r="841" spans="1:1">
      <c r="A841">
        <v>10</v>
      </c>
    </row>
    <row r="842" spans="1:1">
      <c r="A842">
        <v>91.3</v>
      </c>
    </row>
    <row r="843" spans="1:1">
      <c r="A843" t="s">
        <v>5456</v>
      </c>
    </row>
    <row r="844" spans="1:1">
      <c r="A844">
        <v>128</v>
      </c>
    </row>
    <row r="845" spans="1:1">
      <c r="A845">
        <v>0.8621</v>
      </c>
    </row>
    <row r="846" spans="1:1">
      <c r="A846">
        <v>0.1822</v>
      </c>
    </row>
    <row r="847" spans="1:1">
      <c r="A847">
        <v>0</v>
      </c>
    </row>
    <row r="848" spans="1:1">
      <c r="A848">
        <v>7</v>
      </c>
    </row>
    <row r="849" spans="1:1">
      <c r="A849">
        <v>94</v>
      </c>
    </row>
    <row r="850" spans="1:1">
      <c r="A850" t="s">
        <v>5456</v>
      </c>
    </row>
    <row r="851" spans="1:1">
      <c r="A851">
        <v>135</v>
      </c>
    </row>
    <row r="852" spans="1:1">
      <c r="A852">
        <v>0.68</v>
      </c>
    </row>
    <row r="853" spans="1:1">
      <c r="A853">
        <v>-0.2947</v>
      </c>
    </row>
    <row r="854" spans="1:1">
      <c r="A854">
        <v>0</v>
      </c>
    </row>
    <row r="856" spans="1:1">
      <c r="A856">
        <v>56.3</v>
      </c>
    </row>
    <row r="857" spans="1:1">
      <c r="A857" t="s">
        <v>5455</v>
      </c>
    </row>
    <row r="858" spans="1:1">
      <c r="A858">
        <v>31</v>
      </c>
    </row>
    <row r="859" spans="1:1">
      <c r="A859">
        <v>0.9655</v>
      </c>
    </row>
    <row r="860" spans="1:1">
      <c r="A860">
        <v>0.1471</v>
      </c>
    </row>
    <row r="861" spans="1:1">
      <c r="A861">
        <v>0</v>
      </c>
    </row>
    <row r="863" spans="1:1">
      <c r="A863">
        <v>90</v>
      </c>
    </row>
    <row r="864" spans="1:1">
      <c r="A864" t="s">
        <v>5456</v>
      </c>
    </row>
    <row r="865" spans="1:1">
      <c r="A865">
        <v>123</v>
      </c>
    </row>
    <row r="866" spans="1:1">
      <c r="A866">
        <v>0.6977</v>
      </c>
    </row>
    <row r="867" spans="1:1">
      <c r="A867">
        <v>-0.1264</v>
      </c>
    </row>
    <row r="868" spans="1:1">
      <c r="A868">
        <v>0</v>
      </c>
    </row>
    <row r="870" spans="1:1">
      <c r="A870">
        <v>62.5</v>
      </c>
    </row>
    <row r="871" spans="1:1">
      <c r="A871" t="s">
        <v>5455</v>
      </c>
    </row>
    <row r="872" spans="1:1">
      <c r="A872">
        <v>42</v>
      </c>
    </row>
    <row r="873" spans="1:1">
      <c r="A873">
        <v>0.55</v>
      </c>
    </row>
    <row r="874" spans="1:1">
      <c r="A874">
        <v>-0.09080000000000001</v>
      </c>
    </row>
    <row r="875" spans="1:1">
      <c r="A875">
        <v>0</v>
      </c>
    </row>
    <row r="876" spans="1:1">
      <c r="A876">
        <v>10</v>
      </c>
    </row>
    <row r="877" spans="1:1">
      <c r="A877">
        <v>70</v>
      </c>
    </row>
    <row r="878" spans="1:1">
      <c r="A878" t="s">
        <v>5455</v>
      </c>
    </row>
    <row r="879" spans="1:1">
      <c r="A879">
        <v>64</v>
      </c>
    </row>
    <row r="880" spans="1:1">
      <c r="A880">
        <v>0.7272999999999999</v>
      </c>
    </row>
    <row r="881" spans="1:1">
      <c r="A881">
        <v>-0.0201</v>
      </c>
    </row>
    <row r="882" spans="1:1">
      <c r="A882">
        <v>0</v>
      </c>
    </row>
    <row r="884" spans="1:1">
      <c r="A884">
        <v>68.8</v>
      </c>
    </row>
    <row r="885" spans="1:1">
      <c r="A885" t="s">
        <v>5455</v>
      </c>
    </row>
    <row r="886" spans="1:1">
      <c r="A886">
        <v>61</v>
      </c>
    </row>
    <row r="887" spans="1:1">
      <c r="A887">
        <v>0.538</v>
      </c>
    </row>
    <row r="888" spans="1:1">
      <c r="A888">
        <v>0.401</v>
      </c>
    </row>
    <row r="889" spans="1:1">
      <c r="A889">
        <v>0</v>
      </c>
    </row>
    <row r="891" spans="1:1">
      <c r="A891">
        <v>72.5</v>
      </c>
    </row>
    <row r="892" spans="1:1">
      <c r="A892" t="s">
        <v>5455</v>
      </c>
    </row>
    <row r="893" spans="1:1">
      <c r="A893">
        <v>72</v>
      </c>
    </row>
    <row r="894" spans="1:1">
      <c r="A894">
        <v>0.7022</v>
      </c>
    </row>
    <row r="895" spans="1:1">
      <c r="A895">
        <v>-0.5800999999999999</v>
      </c>
    </row>
    <row r="896" spans="1:1">
      <c r="A896">
        <v>0</v>
      </c>
    </row>
    <row r="897" spans="1:1">
      <c r="A897">
        <v>8</v>
      </c>
    </row>
    <row r="898" spans="1:1">
      <c r="A898">
        <v>60.3</v>
      </c>
    </row>
    <row r="899" spans="1:1">
      <c r="A899" t="s">
        <v>5455</v>
      </c>
    </row>
    <row r="900" spans="1:1">
      <c r="A900">
        <v>40</v>
      </c>
    </row>
    <row r="901" spans="1:1">
      <c r="A901">
        <v>0.5854</v>
      </c>
    </row>
    <row r="902" spans="1:1">
      <c r="A902">
        <v>0.3472</v>
      </c>
    </row>
    <row r="903" spans="1:1">
      <c r="A903">
        <v>0</v>
      </c>
    </row>
    <row r="905" spans="1:1">
      <c r="A905">
        <v>72.5</v>
      </c>
    </row>
    <row r="906" spans="1:1">
      <c r="A906" t="s">
        <v>5455</v>
      </c>
    </row>
    <row r="907" spans="1:1">
      <c r="A907">
        <v>72</v>
      </c>
    </row>
    <row r="908" spans="1:1">
      <c r="A908">
        <v>0.6249</v>
      </c>
    </row>
    <row r="909" spans="1:1">
      <c r="A909">
        <v>-0.1193</v>
      </c>
    </row>
    <row r="910" spans="1:1">
      <c r="A910">
        <v>0</v>
      </c>
    </row>
    <row r="911" spans="1:1">
      <c r="A911">
        <v>10</v>
      </c>
    </row>
    <row r="912" spans="1:1">
      <c r="A912">
        <v>72.5</v>
      </c>
    </row>
    <row r="913" spans="1:1">
      <c r="A913" t="s">
        <v>5455</v>
      </c>
    </row>
    <row r="914" spans="1:1">
      <c r="A914">
        <v>72</v>
      </c>
    </row>
    <row r="915" spans="1:1">
      <c r="A915">
        <v>0.9265</v>
      </c>
    </row>
    <row r="916" spans="1:1">
      <c r="A916">
        <v>-0.1382</v>
      </c>
    </row>
    <row r="917" spans="1:1">
      <c r="A917">
        <v>0</v>
      </c>
    </row>
    <row r="918" spans="1:1">
      <c r="A918">
        <v>8.5</v>
      </c>
    </row>
    <row r="919" spans="1:1">
      <c r="A919">
        <v>75.3</v>
      </c>
    </row>
    <row r="920" spans="1:1">
      <c r="A920" t="s">
        <v>5456</v>
      </c>
    </row>
    <row r="921" spans="1:1">
      <c r="A921">
        <v>93</v>
      </c>
    </row>
    <row r="922" spans="1:1">
      <c r="A922">
        <v>0.6840000000000001</v>
      </c>
    </row>
    <row r="923" spans="1:1">
      <c r="A923">
        <v>0.0931</v>
      </c>
    </row>
    <row r="924" spans="1:1">
      <c r="A924">
        <v>0</v>
      </c>
    </row>
    <row r="926" spans="1:1">
      <c r="A926">
        <v>75</v>
      </c>
    </row>
    <row r="927" spans="1:1">
      <c r="A927" t="s">
        <v>5456</v>
      </c>
    </row>
    <row r="928" spans="1:1">
      <c r="A928">
        <v>84</v>
      </c>
    </row>
    <row r="929" spans="1:1">
      <c r="A929">
        <v>0.3195</v>
      </c>
    </row>
    <row r="930" spans="1:1">
      <c r="A930">
        <v>-0.2401</v>
      </c>
    </row>
    <row r="931" spans="1:1">
      <c r="A931">
        <v>0</v>
      </c>
    </row>
    <row r="932" spans="1:1">
      <c r="A932">
        <v>9</v>
      </c>
    </row>
    <row r="933" spans="1:1">
      <c r="A933">
        <v>55</v>
      </c>
    </row>
    <row r="934" spans="1:1">
      <c r="A934" t="s">
        <v>5455</v>
      </c>
    </row>
    <row r="935" spans="1:1">
      <c r="A935">
        <v>28</v>
      </c>
    </row>
    <row r="936" spans="1:1">
      <c r="A936">
        <v>0.7069</v>
      </c>
    </row>
    <row r="937" spans="1:1">
      <c r="A937">
        <v>-0.0987</v>
      </c>
    </row>
    <row r="938" spans="1:1">
      <c r="A938">
        <v>0</v>
      </c>
    </row>
    <row r="940" spans="1:1">
      <c r="A940">
        <v>68.8</v>
      </c>
    </row>
    <row r="941" spans="1:1">
      <c r="A941" t="s">
        <v>5455</v>
      </c>
    </row>
    <row r="942" spans="1:1">
      <c r="A942">
        <v>61</v>
      </c>
    </row>
    <row r="943" spans="1:1">
      <c r="A943">
        <v>0.8</v>
      </c>
    </row>
    <row r="944" spans="1:1">
      <c r="A944">
        <v>-0.3749</v>
      </c>
    </row>
    <row r="945" spans="1:1">
      <c r="A945">
        <v>0</v>
      </c>
    </row>
    <row r="947" spans="1:1">
      <c r="A947">
        <v>65</v>
      </c>
    </row>
    <row r="948" spans="1:1">
      <c r="A948" t="s">
        <v>5455</v>
      </c>
    </row>
    <row r="949" spans="1:1">
      <c r="A949">
        <v>50</v>
      </c>
    </row>
    <row r="950" spans="1:1">
      <c r="A950">
        <v>0.3239</v>
      </c>
    </row>
    <row r="951" spans="1:1">
      <c r="A951">
        <v>0.0074</v>
      </c>
    </row>
    <row r="952" spans="1:1">
      <c r="A952">
        <v>0</v>
      </c>
    </row>
    <row r="953" spans="1:1">
      <c r="A953">
        <v>5.5</v>
      </c>
    </row>
    <row r="954" spans="1:1">
      <c r="A954">
        <v>55.5</v>
      </c>
    </row>
    <row r="955" spans="1:1">
      <c r="A955" t="s">
        <v>5455</v>
      </c>
    </row>
    <row r="956" spans="1:1">
      <c r="A956">
        <v>29</v>
      </c>
    </row>
    <row r="957" spans="1:1">
      <c r="A957">
        <v>0.6723</v>
      </c>
    </row>
    <row r="958" spans="1:1">
      <c r="A958">
        <v>-0.034</v>
      </c>
    </row>
    <row r="959" spans="1:1">
      <c r="A959">
        <v>0</v>
      </c>
    </row>
    <row r="961" spans="1:1">
      <c r="A961">
        <v>68.8</v>
      </c>
    </row>
    <row r="962" spans="1:1">
      <c r="A962" t="s">
        <v>5455</v>
      </c>
    </row>
    <row r="963" spans="1:1">
      <c r="A963">
        <v>61</v>
      </c>
    </row>
    <row r="964" spans="1:1">
      <c r="A964">
        <v>0.64</v>
      </c>
    </row>
    <row r="965" spans="1:1">
      <c r="A965">
        <v>0.1003</v>
      </c>
    </row>
    <row r="966" spans="1:1">
      <c r="A966">
        <v>0</v>
      </c>
    </row>
    <row r="967" spans="1:1">
      <c r="A967">
        <v>8</v>
      </c>
    </row>
    <row r="968" spans="1:1">
      <c r="A968">
        <v>85.3</v>
      </c>
    </row>
    <row r="969" spans="1:1">
      <c r="A969" t="s">
        <v>5456</v>
      </c>
    </row>
    <row r="970" spans="1:1">
      <c r="A970">
        <v>119</v>
      </c>
    </row>
    <row r="971" spans="1:1">
      <c r="A971">
        <v>0.6522</v>
      </c>
    </row>
    <row r="972" spans="1:1">
      <c r="A972">
        <v>-0.2371</v>
      </c>
    </row>
    <row r="973" spans="1:1">
      <c r="A973">
        <v>0</v>
      </c>
    </row>
    <row r="974" spans="1:1">
      <c r="A974">
        <v>6</v>
      </c>
    </row>
    <row r="975" spans="1:1">
      <c r="A975">
        <v>60.5</v>
      </c>
    </row>
    <row r="976" spans="1:1">
      <c r="A976" t="s">
        <v>5455</v>
      </c>
    </row>
    <row r="977" spans="1:1">
      <c r="A977">
        <v>41</v>
      </c>
    </row>
    <row r="978" spans="1:1">
      <c r="A978">
        <v>0.9318</v>
      </c>
    </row>
    <row r="979" spans="1:1">
      <c r="A979">
        <v>-0.3758</v>
      </c>
    </row>
    <row r="980" spans="1:1">
      <c r="A980">
        <v>0</v>
      </c>
    </row>
    <row r="981" spans="1:1">
      <c r="A981">
        <v>10</v>
      </c>
    </row>
    <row r="982" spans="1:1">
      <c r="A982">
        <v>75</v>
      </c>
    </row>
    <row r="983" spans="1:1">
      <c r="A983" t="s">
        <v>5456</v>
      </c>
    </row>
    <row r="984" spans="1:1">
      <c r="A984">
        <v>84</v>
      </c>
    </row>
    <row r="985" spans="1:1">
      <c r="A985">
        <v>0.5652</v>
      </c>
    </row>
    <row r="986" spans="1:1">
      <c r="A986">
        <v>-0.0468</v>
      </c>
    </row>
    <row r="987" spans="1:1">
      <c r="A987">
        <v>0</v>
      </c>
    </row>
    <row r="989" spans="1:1">
      <c r="A989">
        <v>60</v>
      </c>
    </row>
    <row r="990" spans="1:1">
      <c r="A990" t="s">
        <v>5455</v>
      </c>
    </row>
    <row r="991" spans="1:1">
      <c r="A991">
        <v>38</v>
      </c>
    </row>
    <row r="992" spans="1:1">
      <c r="A992">
        <v>0.75</v>
      </c>
    </row>
    <row r="993" spans="1:1">
      <c r="A993">
        <v>-0.3763</v>
      </c>
    </row>
    <row r="994" spans="1:1">
      <c r="A994">
        <v>0</v>
      </c>
    </row>
    <row r="996" spans="1:1">
      <c r="A996">
        <v>56.3</v>
      </c>
    </row>
    <row r="997" spans="1:1">
      <c r="A997" t="s">
        <v>5455</v>
      </c>
    </row>
    <row r="998" spans="1:1">
      <c r="A998">
        <v>31</v>
      </c>
    </row>
    <row r="999" spans="1:1">
      <c r="A999">
        <v>0.6091</v>
      </c>
    </row>
    <row r="1000" spans="1:1">
      <c r="A1000">
        <v>0.7279</v>
      </c>
    </row>
    <row r="1001" spans="1:1">
      <c r="A1001">
        <v>0</v>
      </c>
    </row>
    <row r="1002" spans="1:1">
      <c r="A1002">
        <v>6</v>
      </c>
    </row>
    <row r="1003" spans="1:1">
      <c r="A1003">
        <v>79.3</v>
      </c>
    </row>
    <row r="1004" spans="1:1">
      <c r="A1004" t="s">
        <v>5456</v>
      </c>
    </row>
    <row r="1005" spans="1:1">
      <c r="A1005">
        <v>103</v>
      </c>
    </row>
    <row r="1006" spans="1:1">
      <c r="A1006">
        <v>0.7365</v>
      </c>
    </row>
    <row r="1007" spans="1:1">
      <c r="A1007">
        <v>0.0307</v>
      </c>
    </row>
    <row r="1008" spans="1:1">
      <c r="A1008">
        <v>0</v>
      </c>
    </row>
    <row r="1009" spans="1:1">
      <c r="A1009">
        <v>8</v>
      </c>
    </row>
    <row r="1010" spans="1:1">
      <c r="A1010">
        <v>79</v>
      </c>
    </row>
    <row r="1011" spans="1:1">
      <c r="A1011" t="s">
        <v>5456</v>
      </c>
    </row>
    <row r="1012" spans="1:1">
      <c r="A1012">
        <v>99</v>
      </c>
    </row>
    <row r="1013" spans="1:1">
      <c r="A1013">
        <v>0.3237</v>
      </c>
    </row>
    <row r="1014" spans="1:1">
      <c r="A1014">
        <v>-0.1221</v>
      </c>
    </row>
    <row r="1015" spans="1:1">
      <c r="A1015">
        <v>0</v>
      </c>
    </row>
    <row r="1016" spans="1:1">
      <c r="A1016">
        <v>2.333333333333333</v>
      </c>
    </row>
    <row r="1017" spans="1:1">
      <c r="A1017">
        <v>37</v>
      </c>
    </row>
    <row r="1018" spans="1:1">
      <c r="A1018" t="s">
        <v>5457</v>
      </c>
    </row>
    <row r="1019" spans="1:1">
      <c r="A1019">
        <v>8</v>
      </c>
    </row>
    <row r="1020" spans="1:1">
      <c r="A1020">
        <v>0.6471</v>
      </c>
    </row>
    <row r="1021" spans="1:1">
      <c r="A1021">
        <v>-0.2156</v>
      </c>
    </row>
    <row r="1022" spans="1:1">
      <c r="A1022">
        <v>0</v>
      </c>
    </row>
    <row r="1024" spans="1:1">
      <c r="A1024">
        <v>62.5</v>
      </c>
    </row>
    <row r="1025" spans="1:1">
      <c r="A1025" t="s">
        <v>5455</v>
      </c>
    </row>
    <row r="1026" spans="1:1">
      <c r="A1026">
        <v>42</v>
      </c>
    </row>
    <row r="1027" spans="1:1">
      <c r="A1027">
        <v>0.6886</v>
      </c>
    </row>
    <row r="1028" spans="1:1">
      <c r="A1028">
        <v>0.3916</v>
      </c>
    </row>
    <row r="1029" spans="1:1">
      <c r="A1029">
        <v>0</v>
      </c>
    </row>
    <row r="1031" spans="1:1">
      <c r="A1031">
        <v>81.3</v>
      </c>
    </row>
    <row r="1032" spans="1:1">
      <c r="A1032" t="s">
        <v>5456</v>
      </c>
    </row>
    <row r="1033" spans="1:1">
      <c r="A1033">
        <v>106</v>
      </c>
    </row>
    <row r="1034" spans="1:1">
      <c r="A1034">
        <v>0.6850000000000001</v>
      </c>
    </row>
    <row r="1035" spans="1:1">
      <c r="A1035">
        <v>1.2269</v>
      </c>
    </row>
    <row r="1036" spans="1:1">
      <c r="A1036">
        <v>0</v>
      </c>
    </row>
    <row r="1037" spans="1:1">
      <c r="A1037">
        <v>10</v>
      </c>
    </row>
    <row r="1038" spans="1:1">
      <c r="A1038">
        <v>91.3</v>
      </c>
    </row>
    <row r="1039" spans="1:1">
      <c r="A1039" t="s">
        <v>5456</v>
      </c>
    </row>
    <row r="1040" spans="1:1">
      <c r="A1040">
        <v>128</v>
      </c>
    </row>
    <row r="1041" spans="1:1">
      <c r="A1041">
        <v>0.1854</v>
      </c>
    </row>
    <row r="1042" spans="1:1">
      <c r="A1042">
        <v>-0.0418</v>
      </c>
    </row>
    <row r="1043" spans="1:1">
      <c r="A1043">
        <v>0</v>
      </c>
    </row>
    <row r="1044" spans="1:1">
      <c r="A1044">
        <v>5</v>
      </c>
    </row>
    <row r="1045" spans="1:1">
      <c r="A1045">
        <v>40.5</v>
      </c>
    </row>
    <row r="1046" spans="1:1">
      <c r="A1046" t="s">
        <v>5457</v>
      </c>
    </row>
    <row r="1047" spans="1:1">
      <c r="A1047">
        <v>12</v>
      </c>
    </row>
    <row r="1048" spans="1:1">
      <c r="A1048">
        <v>0.5758</v>
      </c>
    </row>
    <row r="1049" spans="1:1">
      <c r="A1049">
        <v>-0.3414</v>
      </c>
    </row>
    <row r="1050" spans="1:1">
      <c r="A1050">
        <v>0</v>
      </c>
    </row>
    <row r="1052" spans="1:1">
      <c r="A1052">
        <v>47.5</v>
      </c>
    </row>
    <row r="1053" spans="1:1">
      <c r="A1053" t="s">
        <v>5457</v>
      </c>
    </row>
    <row r="1054" spans="1:1">
      <c r="A1054">
        <v>18</v>
      </c>
    </row>
    <row r="1055" spans="1:1">
      <c r="A1055">
        <v>0.6957</v>
      </c>
    </row>
    <row r="1056" spans="1:1">
      <c r="A1056">
        <v>0.1864</v>
      </c>
    </row>
    <row r="1057" spans="1:1">
      <c r="A1057">
        <v>0</v>
      </c>
    </row>
    <row r="1059" spans="1:1">
      <c r="A1059">
        <v>81.3</v>
      </c>
    </row>
    <row r="1060" spans="1:1">
      <c r="A1060" t="s">
        <v>5456</v>
      </c>
    </row>
    <row r="1061" spans="1:1">
      <c r="A1061">
        <v>106</v>
      </c>
    </row>
    <row r="1062" spans="1:1">
      <c r="A1062">
        <v>0.3486</v>
      </c>
    </row>
    <row r="1063" spans="1:1">
      <c r="A1063">
        <v>-0.1113</v>
      </c>
    </row>
    <row r="1064" spans="1:1">
      <c r="A1064">
        <v>0</v>
      </c>
    </row>
    <row r="1066" spans="1:1">
      <c r="A1066">
        <v>45</v>
      </c>
    </row>
    <row r="1067" spans="1:1">
      <c r="A1067" t="s">
        <v>5457</v>
      </c>
    </row>
    <row r="1068" spans="1:1">
      <c r="A1068">
        <v>16</v>
      </c>
    </row>
    <row r="1069" spans="1:1">
      <c r="A1069">
        <v>0.642</v>
      </c>
    </row>
    <row r="1070" spans="1:1">
      <c r="A1070">
        <v>0.0147</v>
      </c>
    </row>
    <row r="1071" spans="1:1">
      <c r="A1071">
        <v>0</v>
      </c>
    </row>
    <row r="1073" spans="1:1">
      <c r="A1073">
        <v>75</v>
      </c>
    </row>
    <row r="1074" spans="1:1">
      <c r="A1074" t="s">
        <v>5456</v>
      </c>
    </row>
    <row r="1075" spans="1:1">
      <c r="A1075">
        <v>84</v>
      </c>
    </row>
    <row r="1076" spans="1:1">
      <c r="A1076">
        <v>0.7886</v>
      </c>
    </row>
    <row r="1077" spans="1:1">
      <c r="A1077">
        <v>0.008200000000000001</v>
      </c>
    </row>
    <row r="1078" spans="1:1">
      <c r="A1078">
        <v>0</v>
      </c>
    </row>
    <row r="1080" spans="1:1">
      <c r="A1080">
        <v>75</v>
      </c>
    </row>
    <row r="1081" spans="1:1">
      <c r="A1081" t="s">
        <v>5456</v>
      </c>
    </row>
    <row r="1082" spans="1:1">
      <c r="A1082">
        <v>84</v>
      </c>
    </row>
    <row r="1083" spans="1:1">
      <c r="A1083">
        <v>0.2917</v>
      </c>
    </row>
    <row r="1084" spans="1:1">
      <c r="A1084">
        <v>-0.1737</v>
      </c>
    </row>
    <row r="1085" spans="1:1">
      <c r="A1085">
        <v>0</v>
      </c>
    </row>
    <row r="1087" spans="1:1">
      <c r="A1087">
        <v>45</v>
      </c>
    </row>
    <row r="1088" spans="1:1">
      <c r="A1088" t="s">
        <v>5457</v>
      </c>
    </row>
    <row r="1089" spans="1:1">
      <c r="A1089">
        <v>16</v>
      </c>
    </row>
    <row r="1090" spans="1:1">
      <c r="A1090">
        <v>0.1951</v>
      </c>
    </row>
    <row r="1091" spans="1:1">
      <c r="A1091">
        <v>-0.5043</v>
      </c>
    </row>
    <row r="1092" spans="1:1">
      <c r="A1092">
        <v>0</v>
      </c>
    </row>
    <row r="1094" spans="1:1">
      <c r="A1094">
        <v>30</v>
      </c>
    </row>
    <row r="1095" spans="1:1">
      <c r="A1095" t="s">
        <v>5457</v>
      </c>
    </row>
    <row r="1096" spans="1:1">
      <c r="A1096">
        <v>2</v>
      </c>
    </row>
    <row r="1097" spans="1:1">
      <c r="A1097">
        <v>0.5498</v>
      </c>
    </row>
    <row r="1098" spans="1:1">
      <c r="A1098">
        <v>0.07149999999999999</v>
      </c>
    </row>
    <row r="1099" spans="1:1">
      <c r="A1099">
        <v>0</v>
      </c>
    </row>
    <row r="1100" spans="1:1">
      <c r="A1100">
        <v>7</v>
      </c>
    </row>
    <row r="1101" spans="1:1">
      <c r="A1101">
        <v>70.3</v>
      </c>
    </row>
    <row r="1102" spans="1:1">
      <c r="A1102" t="s">
        <v>5455</v>
      </c>
    </row>
    <row r="1103" spans="1:1">
      <c r="A1103">
        <v>65</v>
      </c>
    </row>
    <row r="1104" spans="1:1">
      <c r="A1104">
        <v>0.5816</v>
      </c>
    </row>
    <row r="1105" spans="1:1">
      <c r="A1105">
        <v>0.3652</v>
      </c>
    </row>
    <row r="1106" spans="1:1">
      <c r="A1106">
        <v>0</v>
      </c>
    </row>
    <row r="1107" spans="1:1">
      <c r="A1107">
        <v>7.5</v>
      </c>
    </row>
    <row r="1108" spans="1:1">
      <c r="A1108">
        <v>76.5</v>
      </c>
    </row>
    <row r="1109" spans="1:1">
      <c r="A1109" t="s">
        <v>5456</v>
      </c>
    </row>
    <row r="1110" spans="1:1">
      <c r="A1110">
        <v>95</v>
      </c>
    </row>
    <row r="1111" spans="1:1">
      <c r="A1111">
        <v>0.6182</v>
      </c>
    </row>
    <row r="1112" spans="1:1">
      <c r="A1112">
        <v>-0.044</v>
      </c>
    </row>
    <row r="1113" spans="1:1">
      <c r="A1113">
        <v>0</v>
      </c>
    </row>
    <row r="1114" spans="1:1">
      <c r="A1114">
        <v>8</v>
      </c>
    </row>
    <row r="1115" spans="1:1">
      <c r="A1115">
        <v>72.8</v>
      </c>
    </row>
    <row r="1116" spans="1:1">
      <c r="A1116" t="s">
        <v>5455</v>
      </c>
    </row>
    <row r="1117" spans="1:1">
      <c r="A1117">
        <v>81</v>
      </c>
    </row>
    <row r="1118" spans="1:1">
      <c r="A1118">
        <v>0.8667</v>
      </c>
    </row>
    <row r="1119" spans="1:1">
      <c r="A1119">
        <v>-0.0322</v>
      </c>
    </row>
    <row r="1120" spans="1:1">
      <c r="A1120">
        <v>0</v>
      </c>
    </row>
    <row r="1121" spans="1:1">
      <c r="A1121">
        <v>6</v>
      </c>
    </row>
    <row r="1122" spans="1:1">
      <c r="A1122">
        <v>75.5</v>
      </c>
    </row>
    <row r="1123" spans="1:1">
      <c r="A1123" t="s">
        <v>5456</v>
      </c>
    </row>
    <row r="1124" spans="1:1">
      <c r="A1124">
        <v>94</v>
      </c>
    </row>
    <row r="1125" spans="1:1">
      <c r="A1125">
        <v>0.715</v>
      </c>
    </row>
    <row r="1126" spans="1:1">
      <c r="A1126">
        <v>0.6967</v>
      </c>
    </row>
    <row r="1127" spans="1:1">
      <c r="A1127">
        <v>0</v>
      </c>
    </row>
    <row r="1128" spans="1:1">
      <c r="A1128">
        <v>8</v>
      </c>
    </row>
    <row r="1129" spans="1:1">
      <c r="A1129">
        <v>85.3</v>
      </c>
    </row>
    <row r="1130" spans="1:1">
      <c r="A1130" t="s">
        <v>5456</v>
      </c>
    </row>
    <row r="1131" spans="1:1">
      <c r="A1131">
        <v>119</v>
      </c>
    </row>
    <row r="1132" spans="1:1">
      <c r="A1132">
        <v>0.8235</v>
      </c>
    </row>
    <row r="1133" spans="1:1">
      <c r="A1133">
        <v>0.0034</v>
      </c>
    </row>
    <row r="1134" spans="1:1">
      <c r="A1134">
        <v>0</v>
      </c>
    </row>
    <row r="1135" spans="1:1">
      <c r="A1135">
        <v>10</v>
      </c>
    </row>
    <row r="1136" spans="1:1">
      <c r="A1136">
        <v>93.8</v>
      </c>
    </row>
    <row r="1137" spans="1:1">
      <c r="A1137" t="s">
        <v>5456</v>
      </c>
    </row>
    <row r="1138" spans="1:1">
      <c r="A1138">
        <v>133</v>
      </c>
    </row>
    <row r="1139" spans="1:1">
      <c r="A1139">
        <v>0.8636</v>
      </c>
    </row>
    <row r="1140" spans="1:1">
      <c r="A1140">
        <v>-0.1956</v>
      </c>
    </row>
    <row r="1141" spans="1:1">
      <c r="A1141">
        <v>0</v>
      </c>
    </row>
    <row r="1142" spans="1:1">
      <c r="A1142">
        <v>9</v>
      </c>
    </row>
    <row r="1143" spans="1:1">
      <c r="A1143">
        <v>81.3</v>
      </c>
    </row>
    <row r="1144" spans="1:1">
      <c r="A1144" t="s">
        <v>5456</v>
      </c>
    </row>
    <row r="1145" spans="1:1">
      <c r="A1145">
        <v>106</v>
      </c>
    </row>
    <row r="1146" spans="1:1">
      <c r="A1146">
        <v>0.4431</v>
      </c>
    </row>
    <row r="1147" spans="1:1">
      <c r="A1147">
        <v>-0.013</v>
      </c>
    </row>
    <row r="1148" spans="1:1">
      <c r="A1148">
        <v>0</v>
      </c>
    </row>
    <row r="1150" spans="1:1">
      <c r="A1150">
        <v>60</v>
      </c>
    </row>
    <row r="1151" spans="1:1">
      <c r="A1151" t="s">
        <v>5455</v>
      </c>
    </row>
    <row r="1152" spans="1:1">
      <c r="A1152">
        <v>38</v>
      </c>
    </row>
    <row r="1153" spans="1:1">
      <c r="A1153">
        <v>0.5725</v>
      </c>
    </row>
    <row r="1154" spans="1:1">
      <c r="A1154">
        <v>0.3612</v>
      </c>
    </row>
    <row r="1155" spans="1:1">
      <c r="A1155">
        <v>0</v>
      </c>
    </row>
    <row r="1157" spans="1:1">
      <c r="A1157">
        <v>72.5</v>
      </c>
    </row>
    <row r="1158" spans="1:1">
      <c r="A1158" t="s">
        <v>5455</v>
      </c>
    </row>
    <row r="1159" spans="1:1">
      <c r="A1159">
        <v>72</v>
      </c>
    </row>
    <row r="1160" spans="1:1">
      <c r="A1160">
        <v>0.5185</v>
      </c>
    </row>
    <row r="1161" spans="1:1">
      <c r="A1161">
        <v>0.3205</v>
      </c>
    </row>
    <row r="1162" spans="1:1">
      <c r="A1162">
        <v>0</v>
      </c>
    </row>
    <row r="1164" spans="1:1">
      <c r="A1164">
        <v>72.5</v>
      </c>
    </row>
    <row r="1165" spans="1:1">
      <c r="A1165" t="s">
        <v>5455</v>
      </c>
    </row>
    <row r="1166" spans="1:1">
      <c r="A1166">
        <v>72</v>
      </c>
    </row>
    <row r="1167" spans="1:1">
      <c r="A1167">
        <v>0.8378</v>
      </c>
    </row>
    <row r="1168" spans="1:1">
      <c r="A1168">
        <v>0.8798</v>
      </c>
    </row>
    <row r="1169" spans="1:1">
      <c r="A1169">
        <v>0</v>
      </c>
    </row>
    <row r="1170" spans="1:1">
      <c r="A1170">
        <v>8</v>
      </c>
    </row>
    <row r="1171" spans="1:1">
      <c r="A1171">
        <v>94</v>
      </c>
    </row>
    <row r="1172" spans="1:1">
      <c r="A1172" t="s">
        <v>5456</v>
      </c>
    </row>
    <row r="1173" spans="1:1">
      <c r="A1173">
        <v>135</v>
      </c>
    </row>
    <row r="1174" spans="1:1">
      <c r="A1174">
        <v>0.7143</v>
      </c>
    </row>
    <row r="1175" spans="1:1">
      <c r="A1175">
        <v>0.0538</v>
      </c>
    </row>
    <row r="1176" spans="1:1">
      <c r="A1176">
        <v>0</v>
      </c>
    </row>
    <row r="1178" spans="1:1">
      <c r="A1178">
        <v>75</v>
      </c>
    </row>
    <row r="1179" spans="1:1">
      <c r="A1179" t="s">
        <v>5456</v>
      </c>
    </row>
    <row r="1180" spans="1:1">
      <c r="A1180">
        <v>84</v>
      </c>
    </row>
    <row r="1181" spans="1:1">
      <c r="A1181">
        <v>0.5600000000000001</v>
      </c>
    </row>
    <row r="1182" spans="1:1">
      <c r="A1182">
        <v>-0.5431</v>
      </c>
    </row>
    <row r="1183" spans="1:1">
      <c r="A1183">
        <v>0</v>
      </c>
    </row>
    <row r="1184" spans="1:1">
      <c r="A1184">
        <v>7</v>
      </c>
    </row>
    <row r="1185" spans="1:1">
      <c r="A1185">
        <v>51.5</v>
      </c>
    </row>
    <row r="1186" spans="1:1">
      <c r="A1186" t="s">
        <v>5455</v>
      </c>
    </row>
    <row r="1187" spans="1:1">
      <c r="A1187">
        <v>23</v>
      </c>
    </row>
    <row r="1188" spans="1:1">
      <c r="A1188">
        <v>55</v>
      </c>
    </row>
    <row r="1189" spans="1:1">
      <c r="A1189">
        <v>7534700</v>
      </c>
    </row>
    <row r="1190" spans="1:1">
      <c r="A1190">
        <v>61</v>
      </c>
    </row>
    <row r="1191" spans="1:1">
      <c r="A1191">
        <v>6249100</v>
      </c>
    </row>
    <row r="1192" spans="1:1">
      <c r="A1192">
        <v>22</v>
      </c>
    </row>
    <row r="1193" spans="1:1">
      <c r="A1193">
        <v>1736300</v>
      </c>
    </row>
    <row r="1194" spans="1:1">
      <c r="A1194">
        <v>68.02608695652174</v>
      </c>
    </row>
    <row r="1195" spans="1:1">
      <c r="A1195">
        <v>70.04811502503206</v>
      </c>
    </row>
    <row r="1196" spans="1:1">
      <c r="A1196">
        <v>13</v>
      </c>
    </row>
    <row r="1197" spans="1:1">
      <c r="A1197">
        <v>1319900</v>
      </c>
    </row>
    <row r="1198" spans="1:1">
      <c r="A1198">
        <v>243</v>
      </c>
    </row>
    <row r="1199" spans="1:1">
      <c r="A1199">
        <v>74</v>
      </c>
    </row>
    <row r="1200" spans="1:1">
      <c r="A1200">
        <v>13</v>
      </c>
    </row>
    <row r="1201" spans="1:1">
      <c r="A1201">
        <v>46295</v>
      </c>
    </row>
    <row r="1202" spans="1:1">
      <c r="A1202">
        <v>125</v>
      </c>
    </row>
    <row r="1203" spans="1:1">
      <c r="A1203">
        <v>6.91358024691358</v>
      </c>
    </row>
    <row r="1204" spans="1:1">
      <c r="A1204" t="s">
        <v>5486</v>
      </c>
    </row>
    <row r="1205" spans="1:1">
      <c r="A1205">
        <v>213</v>
      </c>
    </row>
    <row r="1206" spans="1:1">
      <c r="A1206">
        <v>75</v>
      </c>
    </row>
    <row r="1207" spans="1:1">
      <c r="A1207">
        <v>16</v>
      </c>
    </row>
    <row r="1208" spans="1:1">
      <c r="A1208">
        <v>46295</v>
      </c>
    </row>
    <row r="1209" spans="1:1">
      <c r="A1209">
        <v>88</v>
      </c>
    </row>
    <row r="1210" spans="1:1">
      <c r="A1210">
        <v>1.47887323943662</v>
      </c>
    </row>
    <row r="1211" spans="1:1">
      <c r="A1211" t="s">
        <v>5486</v>
      </c>
    </row>
    <row r="1212" spans="1:1">
      <c r="A1212">
        <v>182</v>
      </c>
    </row>
    <row r="1213" spans="1:1">
      <c r="A1213">
        <v>59</v>
      </c>
    </row>
    <row r="1214" spans="1:1">
      <c r="A1214">
        <v>12</v>
      </c>
    </row>
    <row r="1215" spans="1:1">
      <c r="A1215">
        <v>46295</v>
      </c>
    </row>
    <row r="1216" spans="1:1">
      <c r="A1216">
        <v>88</v>
      </c>
    </row>
    <row r="1217" spans="1:1">
      <c r="A1217">
        <v>1.730769230769231</v>
      </c>
    </row>
    <row r="1218" spans="1:1">
      <c r="A1218" t="s">
        <v>5486</v>
      </c>
    </row>
    <row r="1219" spans="1:1">
      <c r="A1219">
        <v>64</v>
      </c>
    </row>
    <row r="1220" spans="1:1">
      <c r="A1220">
        <v>17</v>
      </c>
    </row>
    <row r="1221" spans="1:1">
      <c r="A1221">
        <v>16</v>
      </c>
    </row>
    <row r="1222" spans="1:1">
      <c r="A1222">
        <v>46293</v>
      </c>
    </row>
    <row r="1223" spans="1:1">
      <c r="A1223">
        <v>27</v>
      </c>
    </row>
    <row r="1224" spans="1:1">
      <c r="A1224">
        <v>1.640625</v>
      </c>
    </row>
    <row r="1225" spans="1:1">
      <c r="A1225" t="s">
        <v>5486</v>
      </c>
    </row>
    <row r="1226" spans="1:1">
      <c r="A1226">
        <v>53</v>
      </c>
    </row>
    <row r="1227" spans="1:1">
      <c r="A1227">
        <v>14</v>
      </c>
    </row>
    <row r="1228" spans="1:1">
      <c r="A1228">
        <v>13</v>
      </c>
    </row>
    <row r="1229" spans="1:1">
      <c r="A1229">
        <v>46295</v>
      </c>
    </row>
    <row r="1230" spans="1:1">
      <c r="A1230">
        <v>31</v>
      </c>
    </row>
    <row r="1231" spans="1:1">
      <c r="A1231">
        <v>23.77358490566038</v>
      </c>
    </row>
    <row r="1232" spans="1:1">
      <c r="A1232" t="s">
        <v>5486</v>
      </c>
    </row>
    <row r="1233" spans="1:1">
      <c r="A1233">
        <v>223</v>
      </c>
    </row>
    <row r="1234" spans="1:1">
      <c r="A1234">
        <v>63</v>
      </c>
    </row>
    <row r="1235" spans="1:1">
      <c r="A1235">
        <v>16</v>
      </c>
    </row>
    <row r="1236" spans="1:1">
      <c r="A1236">
        <v>46295</v>
      </c>
    </row>
    <row r="1237" spans="1:1">
      <c r="A1237">
        <v>108</v>
      </c>
    </row>
    <row r="1238" spans="1:1">
      <c r="A1238">
        <v>0.4708520179372198</v>
      </c>
    </row>
    <row r="1239" spans="1:1">
      <c r="A1239" t="s">
        <v>5486</v>
      </c>
    </row>
    <row r="1240" spans="1:1">
      <c r="A1240">
        <v>92</v>
      </c>
    </row>
    <row r="1241" spans="1:1">
      <c r="A1241">
        <v>20</v>
      </c>
    </row>
    <row r="1242" spans="1:1">
      <c r="A1242">
        <v>5</v>
      </c>
    </row>
    <row r="1243" spans="1:1">
      <c r="A1243">
        <v>46292</v>
      </c>
    </row>
    <row r="1244" spans="1:1">
      <c r="A1244">
        <v>53</v>
      </c>
    </row>
    <row r="1245" spans="1:1">
      <c r="A1245">
        <v>1.141304347826087</v>
      </c>
    </row>
    <row r="1246" spans="1:1">
      <c r="A1246" t="s">
        <v>5486</v>
      </c>
    </row>
    <row r="1247" spans="1:1">
      <c r="A1247">
        <v>0</v>
      </c>
    </row>
    <row r="1248" spans="1:1">
      <c r="A1248">
        <v>0</v>
      </c>
    </row>
    <row r="1249" spans="1:1">
      <c r="A1249">
        <v>0</v>
      </c>
    </row>
    <row r="1251" spans="1:1">
      <c r="A1251">
        <v>0</v>
      </c>
    </row>
    <row r="1253" spans="1:1">
      <c r="A1253" t="s">
        <v>5487</v>
      </c>
    </row>
    <row r="1254" spans="1:1">
      <c r="A1254">
        <v>72</v>
      </c>
    </row>
    <row r="1255" spans="1:1">
      <c r="A1255">
        <v>21</v>
      </c>
    </row>
    <row r="1256" spans="1:1">
      <c r="A1256">
        <v>15</v>
      </c>
    </row>
    <row r="1257" spans="1:1">
      <c r="A1257">
        <v>46294</v>
      </c>
    </row>
    <row r="1258" spans="1:1">
      <c r="A1258">
        <v>33</v>
      </c>
    </row>
    <row r="1259" spans="1:1">
      <c r="A1259">
        <v>8.75</v>
      </c>
    </row>
    <row r="1260" spans="1:1">
      <c r="A1260" t="s">
        <v>5486</v>
      </c>
    </row>
    <row r="1261" spans="1:1">
      <c r="A1261">
        <v>15</v>
      </c>
    </row>
    <row r="1262" spans="1:1">
      <c r="A1262">
        <v>1</v>
      </c>
    </row>
    <row r="1263" spans="1:1">
      <c r="A1263">
        <v>3</v>
      </c>
    </row>
    <row r="1264" spans="1:1">
      <c r="A1264">
        <v>46293</v>
      </c>
    </row>
    <row r="1265" spans="1:1">
      <c r="A1265">
        <v>7</v>
      </c>
    </row>
    <row r="1266" spans="1:1">
      <c r="A1266">
        <v>14</v>
      </c>
    </row>
    <row r="1267" spans="1:1">
      <c r="A1267" t="s">
        <v>5488</v>
      </c>
    </row>
    <row r="1268" spans="1:1">
      <c r="A1268">
        <v>71</v>
      </c>
    </row>
    <row r="1269" spans="1:1">
      <c r="A1269">
        <v>24</v>
      </c>
    </row>
    <row r="1270" spans="1:1">
      <c r="A1270">
        <v>10</v>
      </c>
    </row>
    <row r="1271" spans="1:1">
      <c r="A1271">
        <v>46294</v>
      </c>
    </row>
    <row r="1272" spans="1:1">
      <c r="A1272">
        <v>37</v>
      </c>
    </row>
    <row r="1273" spans="1:1">
      <c r="A1273">
        <v>23.66197183098592</v>
      </c>
    </row>
    <row r="1274" spans="1:1">
      <c r="A1274" t="s">
        <v>5489</v>
      </c>
    </row>
    <row r="1275" spans="1:1">
      <c r="A1275">
        <v>6</v>
      </c>
    </row>
    <row r="1276" spans="1:1">
      <c r="A1276">
        <v>2</v>
      </c>
    </row>
    <row r="1277" spans="1:1">
      <c r="A1277">
        <v>5</v>
      </c>
    </row>
    <row r="1278" spans="1:1">
      <c r="A1278">
        <v>46295</v>
      </c>
    </row>
    <row r="1279" spans="1:1">
      <c r="A1279">
        <v>6</v>
      </c>
    </row>
    <row r="1280" spans="1:1">
      <c r="A1280">
        <v>280</v>
      </c>
    </row>
    <row r="1281" spans="1:1">
      <c r="A1281" t="s">
        <v>5489</v>
      </c>
    </row>
    <row r="1282" spans="1:1">
      <c r="A1282">
        <v>86</v>
      </c>
    </row>
    <row r="1283" spans="1:1">
      <c r="A1283">
        <v>34</v>
      </c>
    </row>
    <row r="1284" spans="1:1">
      <c r="A1284">
        <v>13</v>
      </c>
    </row>
    <row r="1285" spans="1:1">
      <c r="A1285">
        <v>46295</v>
      </c>
    </row>
    <row r="1286" spans="1:1">
      <c r="A1286">
        <v>43</v>
      </c>
    </row>
    <row r="1287" spans="1:1">
      <c r="A1287">
        <v>14.65116279069767</v>
      </c>
    </row>
    <row r="1288" spans="1:1">
      <c r="A1288" t="s">
        <v>5486</v>
      </c>
    </row>
    <row r="1289" spans="1:1">
      <c r="A1289">
        <v>11</v>
      </c>
    </row>
    <row r="1290" spans="1:1">
      <c r="A1290">
        <v>1</v>
      </c>
    </row>
    <row r="1291" spans="1:1">
      <c r="A1291">
        <v>7</v>
      </c>
    </row>
    <row r="1292" spans="1:1">
      <c r="A1292">
        <v>46192</v>
      </c>
    </row>
    <row r="1293" spans="1:1">
      <c r="A1293">
        <v>0</v>
      </c>
    </row>
    <row r="1294" spans="1:1">
      <c r="A1294">
        <v>28.63636363636364</v>
      </c>
    </row>
    <row r="1295" spans="1:1">
      <c r="A1295" t="s">
        <v>5487</v>
      </c>
    </row>
    <row r="1296" spans="1:1">
      <c r="A1296">
        <v>250</v>
      </c>
    </row>
    <row r="1297" spans="1:1">
      <c r="A1297">
        <v>56</v>
      </c>
    </row>
    <row r="1298" spans="1:1">
      <c r="A1298">
        <v>16</v>
      </c>
    </row>
    <row r="1299" spans="1:1">
      <c r="A1299">
        <v>46295</v>
      </c>
    </row>
    <row r="1300" spans="1:1">
      <c r="A1300">
        <v>119</v>
      </c>
    </row>
    <row r="1301" spans="1:1">
      <c r="A1301">
        <v>5.04</v>
      </c>
    </row>
    <row r="1302" spans="1:1">
      <c r="A1302" t="s">
        <v>5486</v>
      </c>
    </row>
    <row r="1303" spans="1:1">
      <c r="A1303">
        <v>69</v>
      </c>
    </row>
    <row r="1304" spans="1:1">
      <c r="A1304">
        <v>28</v>
      </c>
    </row>
    <row r="1305" spans="1:1">
      <c r="A1305">
        <v>15</v>
      </c>
    </row>
    <row r="1306" spans="1:1">
      <c r="A1306">
        <v>46294</v>
      </c>
    </row>
    <row r="1307" spans="1:1">
      <c r="A1307">
        <v>34</v>
      </c>
    </row>
    <row r="1308" spans="1:1">
      <c r="A1308">
        <v>24.34782608695652</v>
      </c>
    </row>
    <row r="1309" spans="1:1">
      <c r="A1309" t="s">
        <v>5486</v>
      </c>
    </row>
    <row r="1310" spans="1:1">
      <c r="A1310">
        <v>12</v>
      </c>
    </row>
    <row r="1311" spans="1:1">
      <c r="A1311">
        <v>5</v>
      </c>
    </row>
    <row r="1312" spans="1:1">
      <c r="A1312">
        <v>7</v>
      </c>
    </row>
    <row r="1313" spans="1:1">
      <c r="A1313">
        <v>46294</v>
      </c>
    </row>
    <row r="1314" spans="1:1">
      <c r="A1314">
        <v>5</v>
      </c>
    </row>
    <row r="1315" spans="1:1">
      <c r="A1315">
        <v>26.25</v>
      </c>
    </row>
    <row r="1316" spans="1:1">
      <c r="A1316" t="s">
        <v>5488</v>
      </c>
    </row>
    <row r="1317" spans="1:1">
      <c r="A1317">
        <v>267</v>
      </c>
    </row>
    <row r="1318" spans="1:1">
      <c r="A1318">
        <v>82</v>
      </c>
    </row>
    <row r="1319" spans="1:1">
      <c r="A1319">
        <v>9</v>
      </c>
    </row>
    <row r="1320" spans="1:1">
      <c r="A1320">
        <v>46295</v>
      </c>
    </row>
    <row r="1321" spans="1:1">
      <c r="A1321">
        <v>150</v>
      </c>
    </row>
    <row r="1322" spans="1:1">
      <c r="A1322">
        <v>6.292134831460674</v>
      </c>
    </row>
    <row r="1323" spans="1:1">
      <c r="A1323" t="s">
        <v>5490</v>
      </c>
    </row>
    <row r="1324" spans="1:1">
      <c r="A1324">
        <v>191</v>
      </c>
    </row>
    <row r="1325" spans="1:1">
      <c r="A1325">
        <v>46</v>
      </c>
    </row>
    <row r="1326" spans="1:1">
      <c r="A1326">
        <v>8</v>
      </c>
    </row>
    <row r="1327" spans="1:1">
      <c r="A1327">
        <v>46295</v>
      </c>
    </row>
    <row r="1328" spans="1:1">
      <c r="A1328">
        <v>98</v>
      </c>
    </row>
    <row r="1329" spans="1:1">
      <c r="A1329">
        <v>2.198952879581152</v>
      </c>
    </row>
    <row r="1330" spans="1:1">
      <c r="A1330" t="s">
        <v>5490</v>
      </c>
    </row>
    <row r="1331" spans="1:1">
      <c r="A1331">
        <v>0</v>
      </c>
    </row>
    <row r="1332" spans="1:1">
      <c r="A1332">
        <v>0</v>
      </c>
    </row>
    <row r="1333" spans="1:1">
      <c r="A1333">
        <v>0</v>
      </c>
    </row>
    <row r="1335" spans="1:1">
      <c r="A1335">
        <v>0</v>
      </c>
    </row>
    <row r="1337" spans="1:1">
      <c r="A1337" t="s">
        <v>5487</v>
      </c>
    </row>
    <row r="1338" spans="1:1">
      <c r="A1338">
        <v>16</v>
      </c>
    </row>
    <row r="1339" spans="1:1">
      <c r="A1339">
        <v>4</v>
      </c>
    </row>
    <row r="1340" spans="1:1">
      <c r="A1340">
        <v>10</v>
      </c>
    </row>
    <row r="1341" spans="1:1">
      <c r="A1341">
        <v>46193</v>
      </c>
    </row>
    <row r="1342" spans="1:1">
      <c r="A1342">
        <v>0</v>
      </c>
    </row>
    <row r="1343" spans="1:1">
      <c r="A1343">
        <v>6.5625</v>
      </c>
    </row>
    <row r="1344" spans="1:1">
      <c r="A1344" t="s">
        <v>5487</v>
      </c>
    </row>
    <row r="1345" spans="1:1">
      <c r="A1345">
        <v>6</v>
      </c>
    </row>
    <row r="1346" spans="1:1">
      <c r="A1346">
        <v>2</v>
      </c>
    </row>
    <row r="1347" spans="1:1">
      <c r="A1347">
        <v>3</v>
      </c>
    </row>
    <row r="1348" spans="1:1">
      <c r="A1348">
        <v>46248</v>
      </c>
    </row>
    <row r="1349" spans="1:1">
      <c r="A1349">
        <v>3</v>
      </c>
    </row>
    <row r="1350" spans="1:1">
      <c r="A1350">
        <v>210</v>
      </c>
    </row>
    <row r="1351" spans="1:1">
      <c r="A1351" t="s">
        <v>5488</v>
      </c>
    </row>
    <row r="1352" spans="1:1">
      <c r="A1352">
        <v>88</v>
      </c>
    </row>
    <row r="1353" spans="1:1">
      <c r="A1353">
        <v>18</v>
      </c>
    </row>
    <row r="1354" spans="1:1">
      <c r="A1354">
        <v>12</v>
      </c>
    </row>
    <row r="1355" spans="1:1">
      <c r="A1355">
        <v>46295</v>
      </c>
    </row>
    <row r="1356" spans="1:1">
      <c r="A1356">
        <v>39</v>
      </c>
    </row>
    <row r="1357" spans="1:1">
      <c r="A1357">
        <v>1.193181818181818</v>
      </c>
    </row>
    <row r="1358" spans="1:1">
      <c r="A1358" t="s">
        <v>5486</v>
      </c>
    </row>
    <row r="1359" spans="1:1">
      <c r="A1359">
        <v>98</v>
      </c>
    </row>
    <row r="1360" spans="1:1">
      <c r="A1360">
        <v>31</v>
      </c>
    </row>
    <row r="1361" spans="1:1">
      <c r="A1361">
        <v>8</v>
      </c>
    </row>
    <row r="1362" spans="1:1">
      <c r="A1362">
        <v>46291</v>
      </c>
    </row>
    <row r="1363" spans="1:1">
      <c r="A1363">
        <v>49</v>
      </c>
    </row>
    <row r="1364" spans="1:1">
      <c r="A1364">
        <v>6.428571428571429</v>
      </c>
    </row>
    <row r="1365" spans="1:1">
      <c r="A1365" t="s">
        <v>5486</v>
      </c>
    </row>
    <row r="1366" spans="1:1">
      <c r="A1366">
        <v>10</v>
      </c>
    </row>
    <row r="1367" spans="1:1">
      <c r="A1367">
        <v>10</v>
      </c>
    </row>
    <row r="1368" spans="1:1">
      <c r="A1368">
        <v>9</v>
      </c>
    </row>
    <row r="1369" spans="1:1">
      <c r="A1369">
        <v>46294</v>
      </c>
    </row>
    <row r="1370" spans="1:1">
      <c r="A1370">
        <v>4</v>
      </c>
    </row>
    <row r="1371" spans="1:1">
      <c r="A1371">
        <v>63</v>
      </c>
    </row>
    <row r="1372" spans="1:1">
      <c r="A1372" t="s">
        <v>5488</v>
      </c>
    </row>
    <row r="1373" spans="1:1">
      <c r="A1373">
        <v>83</v>
      </c>
    </row>
    <row r="1374" spans="1:1">
      <c r="A1374">
        <v>28</v>
      </c>
    </row>
    <row r="1375" spans="1:1">
      <c r="A1375">
        <v>15</v>
      </c>
    </row>
    <row r="1376" spans="1:1">
      <c r="A1376">
        <v>46295</v>
      </c>
    </row>
    <row r="1377" spans="1:1">
      <c r="A1377">
        <v>38</v>
      </c>
    </row>
    <row r="1378" spans="1:1">
      <c r="A1378">
        <v>15.18072289156627</v>
      </c>
    </row>
    <row r="1379" spans="1:1">
      <c r="A1379" t="s">
        <v>5486</v>
      </c>
    </row>
    <row r="1380" spans="1:1">
      <c r="A1380">
        <v>7</v>
      </c>
    </row>
    <row r="1381" spans="1:1">
      <c r="A1381">
        <v>9</v>
      </c>
    </row>
    <row r="1382" spans="1:1">
      <c r="A1382">
        <v>2</v>
      </c>
    </row>
    <row r="1383" spans="1:1">
      <c r="A1383">
        <v>46283</v>
      </c>
    </row>
    <row r="1384" spans="1:1">
      <c r="A1384">
        <v>2</v>
      </c>
    </row>
    <row r="1385" spans="1:1">
      <c r="A1385">
        <v>45</v>
      </c>
    </row>
    <row r="1386" spans="1:1">
      <c r="A1386" t="s">
        <v>5488</v>
      </c>
    </row>
    <row r="1387" spans="1:1">
      <c r="A1387">
        <v>9</v>
      </c>
    </row>
    <row r="1388" spans="1:1">
      <c r="A1388">
        <v>6</v>
      </c>
    </row>
    <row r="1389" spans="1:1">
      <c r="A1389">
        <v>7</v>
      </c>
    </row>
    <row r="1390" spans="1:1">
      <c r="A1390">
        <v>46191</v>
      </c>
    </row>
    <row r="1391" spans="1:1">
      <c r="A1391">
        <v>0</v>
      </c>
    </row>
    <row r="1392" spans="1:1">
      <c r="A1392">
        <v>70</v>
      </c>
    </row>
    <row r="1393" spans="1:1">
      <c r="A1393" t="s">
        <v>5487</v>
      </c>
    </row>
    <row r="1394" spans="1:1">
      <c r="A1394">
        <v>0</v>
      </c>
    </row>
    <row r="1395" spans="1:1">
      <c r="A1395">
        <v>0</v>
      </c>
    </row>
    <row r="1396" spans="1:1">
      <c r="A1396">
        <v>0</v>
      </c>
    </row>
    <row r="1398" spans="1:1">
      <c r="A1398">
        <v>0</v>
      </c>
    </row>
    <row r="1400" spans="1:1">
      <c r="A1400" t="s">
        <v>5487</v>
      </c>
    </row>
    <row r="1401" spans="1:1">
      <c r="A1401">
        <v>20</v>
      </c>
    </row>
    <row r="1402" spans="1:1">
      <c r="A1402">
        <v>2</v>
      </c>
    </row>
    <row r="1403" spans="1:1">
      <c r="A1403">
        <v>11</v>
      </c>
    </row>
    <row r="1404" spans="1:1">
      <c r="A1404">
        <v>46294</v>
      </c>
    </row>
    <row r="1405" spans="1:1">
      <c r="A1405">
        <v>10</v>
      </c>
    </row>
    <row r="1406" spans="1:1">
      <c r="A1406">
        <v>10.5</v>
      </c>
    </row>
    <row r="1407" spans="1:1">
      <c r="A1407" t="s">
        <v>5486</v>
      </c>
    </row>
    <row r="1408" spans="1:1">
      <c r="A1408">
        <v>0</v>
      </c>
    </row>
    <row r="1409" spans="1:1">
      <c r="A1409">
        <v>0</v>
      </c>
    </row>
    <row r="1410" spans="1:1">
      <c r="A1410">
        <v>0</v>
      </c>
    </row>
    <row r="1412" spans="1:1">
      <c r="A1412">
        <v>0</v>
      </c>
    </row>
    <row r="1414" spans="1:1">
      <c r="A1414" t="s">
        <v>5489</v>
      </c>
    </row>
    <row r="1415" spans="1:1">
      <c r="A1415">
        <v>22</v>
      </c>
    </row>
    <row r="1416" spans="1:1">
      <c r="A1416">
        <v>5</v>
      </c>
    </row>
    <row r="1417" spans="1:1">
      <c r="A1417">
        <v>5</v>
      </c>
    </row>
    <row r="1418" spans="1:1">
      <c r="A1418">
        <v>46195</v>
      </c>
    </row>
    <row r="1419" spans="1:1">
      <c r="A1419">
        <v>0</v>
      </c>
    </row>
    <row r="1420" spans="1:1">
      <c r="A1420">
        <v>14.31818181818182</v>
      </c>
    </row>
    <row r="1421" spans="1:1">
      <c r="A1421" t="s">
        <v>5487</v>
      </c>
    </row>
    <row r="1422" spans="1:1">
      <c r="A1422">
        <v>89</v>
      </c>
    </row>
    <row r="1423" spans="1:1">
      <c r="A1423">
        <v>22</v>
      </c>
    </row>
    <row r="1424" spans="1:1">
      <c r="A1424">
        <v>12</v>
      </c>
    </row>
    <row r="1425" spans="1:1">
      <c r="A1425">
        <v>46295</v>
      </c>
    </row>
    <row r="1426" spans="1:1">
      <c r="A1426">
        <v>47</v>
      </c>
    </row>
    <row r="1427" spans="1:1">
      <c r="A1427">
        <v>4.719101123595506</v>
      </c>
    </row>
    <row r="1428" spans="1:1">
      <c r="A1428" t="s">
        <v>5486</v>
      </c>
    </row>
    <row r="1429" spans="1:1">
      <c r="A1429">
        <v>79</v>
      </c>
    </row>
    <row r="1430" spans="1:1">
      <c r="A1430">
        <v>18</v>
      </c>
    </row>
    <row r="1431" spans="1:1">
      <c r="A1431">
        <v>12</v>
      </c>
    </row>
    <row r="1432" spans="1:1">
      <c r="A1432">
        <v>46293</v>
      </c>
    </row>
    <row r="1433" spans="1:1">
      <c r="A1433">
        <v>38</v>
      </c>
    </row>
    <row r="1434" spans="1:1">
      <c r="A1434">
        <v>5.316455696202532</v>
      </c>
    </row>
    <row r="1435" spans="1:1">
      <c r="A1435" t="s">
        <v>5486</v>
      </c>
    </row>
    <row r="1436" spans="1:1">
      <c r="A1436">
        <v>13</v>
      </c>
    </row>
    <row r="1437" spans="1:1">
      <c r="A1437">
        <v>7</v>
      </c>
    </row>
    <row r="1438" spans="1:1">
      <c r="A1438">
        <v>2</v>
      </c>
    </row>
    <row r="1439" spans="1:1">
      <c r="A1439">
        <v>46294</v>
      </c>
    </row>
    <row r="1440" spans="1:1">
      <c r="A1440">
        <v>5</v>
      </c>
    </row>
    <row r="1441" spans="1:1">
      <c r="A1441">
        <v>64.61538461538461</v>
      </c>
    </row>
    <row r="1442" spans="1:1">
      <c r="A1442" t="s">
        <v>5488</v>
      </c>
    </row>
    <row r="1443" spans="1:1">
      <c r="A1443">
        <v>15</v>
      </c>
    </row>
    <row r="1444" spans="1:1">
      <c r="A1444">
        <v>4</v>
      </c>
    </row>
    <row r="1445" spans="1:1">
      <c r="A1445">
        <v>5</v>
      </c>
    </row>
    <row r="1446" spans="1:1">
      <c r="A1446">
        <v>46289</v>
      </c>
    </row>
    <row r="1447" spans="1:1">
      <c r="A1447">
        <v>5</v>
      </c>
    </row>
    <row r="1448" spans="1:1">
      <c r="A1448">
        <v>42</v>
      </c>
    </row>
    <row r="1449" spans="1:1">
      <c r="A1449" t="s">
        <v>5488</v>
      </c>
    </row>
    <row r="1450" spans="1:1">
      <c r="A1450">
        <v>7</v>
      </c>
    </row>
    <row r="1451" spans="1:1">
      <c r="A1451">
        <v>14</v>
      </c>
    </row>
    <row r="1452" spans="1:1">
      <c r="A1452">
        <v>7</v>
      </c>
    </row>
    <row r="1453" spans="1:1">
      <c r="A1453">
        <v>20</v>
      </c>
    </row>
    <row r="1454" spans="1:1">
      <c r="A1454">
        <v>2</v>
      </c>
    </row>
    <row r="1455" spans="1:1">
      <c r="A1455">
        <v>10</v>
      </c>
    </row>
    <row r="1456" spans="1:1">
      <c r="A1456">
        <v>17</v>
      </c>
    </row>
    <row r="1457" spans="1:1">
      <c r="A1457">
        <v>56</v>
      </c>
    </row>
    <row r="1458" spans="1:1">
      <c r="A1458">
        <v>3</v>
      </c>
    </row>
    <row r="1459" spans="1:1">
      <c r="A1459">
        <v>20</v>
      </c>
    </row>
    <row r="1460" spans="1:1">
      <c r="A1460">
        <v>5880</v>
      </c>
    </row>
    <row r="1461" spans="1:1">
      <c r="A1461">
        <v>0.2222222222222222</v>
      </c>
    </row>
    <row r="1462" spans="1:1">
      <c r="A1462">
        <v>1085</v>
      </c>
    </row>
    <row r="1463" spans="1:1">
      <c r="A1463">
        <v>390</v>
      </c>
    </row>
    <row r="1464" spans="1:1">
      <c r="A1464">
        <v>601</v>
      </c>
    </row>
    <row r="1465" spans="1:1">
      <c r="A1465">
        <v>214</v>
      </c>
    </row>
    <row r="1466" spans="1:1">
      <c r="A1466">
        <v>82</v>
      </c>
    </row>
    <row r="1467" spans="1:1">
      <c r="A1467">
        <v>20</v>
      </c>
    </row>
    <row r="1468" spans="1:1">
      <c r="A1468">
        <v>30</v>
      </c>
    </row>
    <row r="1469" spans="1:1">
      <c r="A1469">
        <v>253</v>
      </c>
    </row>
    <row r="1470" spans="1:1">
      <c r="A1470" t="s">
        <v>192</v>
      </c>
    </row>
    <row r="1471" spans="1:1">
      <c r="A1471" t="s">
        <v>193</v>
      </c>
    </row>
    <row r="1472" spans="1:1">
      <c r="A1472" t="s">
        <v>25</v>
      </c>
    </row>
    <row r="1473" spans="1:1">
      <c r="A1473">
        <v>80100</v>
      </c>
    </row>
    <row r="1474" spans="1:1">
      <c r="A1474">
        <v>46311</v>
      </c>
    </row>
    <row r="1475" spans="1:1">
      <c r="A1475" t="s">
        <v>358</v>
      </c>
    </row>
    <row r="1477" spans="1:1">
      <c r="A1477" t="s">
        <v>5545</v>
      </c>
    </row>
    <row r="1478" spans="1:1">
      <c r="A1478">
        <v>10000</v>
      </c>
    </row>
    <row r="1479" spans="1:1">
      <c r="A1479">
        <v>1</v>
      </c>
    </row>
    <row r="1480" spans="1:1">
      <c r="A1480" t="s">
        <v>138</v>
      </c>
    </row>
    <row r="1481" spans="1:1">
      <c r="A1481" t="s">
        <v>139</v>
      </c>
    </row>
    <row r="1482" spans="1:1">
      <c r="A1482" t="s">
        <v>37</v>
      </c>
    </row>
    <row r="1483" spans="1:1">
      <c r="A1483">
        <v>38200</v>
      </c>
    </row>
    <row r="1484" spans="1:1">
      <c r="A1484">
        <v>46380</v>
      </c>
    </row>
    <row r="1487" spans="1:1">
      <c r="A1487" t="s">
        <v>5545</v>
      </c>
    </row>
    <row r="1488" spans="1:1">
      <c r="A1488">
        <v>0</v>
      </c>
    </row>
    <row r="1489" spans="1:1">
      <c r="A1489">
        <v>1</v>
      </c>
    </row>
    <row r="1490" spans="1:1">
      <c r="A1490" t="s">
        <v>344</v>
      </c>
    </row>
    <row r="1491" spans="1:1">
      <c r="A1491" t="s">
        <v>345</v>
      </c>
    </row>
    <row r="1492" spans="1:1">
      <c r="A1492" t="s">
        <v>37</v>
      </c>
    </row>
    <row r="1493" spans="1:1">
      <c r="A1493">
        <v>12500</v>
      </c>
    </row>
    <row r="1494" spans="1:1">
      <c r="A1494">
        <v>46519</v>
      </c>
    </row>
    <row r="1495" spans="1:1">
      <c r="A1495" t="s">
        <v>369</v>
      </c>
    </row>
    <row r="1497" spans="1:1">
      <c r="A1497" t="s">
        <v>5545</v>
      </c>
    </row>
    <row r="1498" spans="1:1">
      <c r="A1498">
        <v>-5000</v>
      </c>
    </row>
    <row r="1499" spans="1:1">
      <c r="A1499">
        <v>1</v>
      </c>
    </row>
    <row r="1500" spans="1:1">
      <c r="A1500" t="s">
        <v>304</v>
      </c>
    </row>
    <row r="1501" spans="1:1">
      <c r="A1501" t="s">
        <v>305</v>
      </c>
    </row>
    <row r="1502" spans="1:1">
      <c r="A1502" t="s">
        <v>25</v>
      </c>
    </row>
    <row r="1503" spans="1:1">
      <c r="A1503">
        <v>84000</v>
      </c>
    </row>
    <row r="1504" spans="1:1">
      <c r="A1504">
        <v>46024</v>
      </c>
    </row>
    <row r="1505" spans="1:1">
      <c r="A1505" t="s">
        <v>363</v>
      </c>
    </row>
    <row r="1507" spans="1:1">
      <c r="A1507" t="s">
        <v>5545</v>
      </c>
    </row>
    <row r="1508" spans="1:1">
      <c r="A1508">
        <v>-5000</v>
      </c>
    </row>
    <row r="1509" spans="1:1">
      <c r="A1509">
        <v>1</v>
      </c>
    </row>
    <row r="1510" spans="1:1">
      <c r="A1510" t="s">
        <v>188</v>
      </c>
    </row>
    <row r="1511" spans="1:1">
      <c r="A1511" t="s">
        <v>189</v>
      </c>
    </row>
    <row r="1512" spans="1:1">
      <c r="A1512" t="s">
        <v>37</v>
      </c>
    </row>
    <row r="1513" spans="1:1">
      <c r="A1513">
        <v>36000</v>
      </c>
    </row>
    <row r="1514" spans="1:1">
      <c r="A1514">
        <v>46585</v>
      </c>
    </row>
    <row r="1517" spans="1:1">
      <c r="A1517" t="s">
        <v>5545</v>
      </c>
    </row>
    <row r="1518" spans="1:1">
      <c r="A1518">
        <v>0</v>
      </c>
    </row>
    <row r="1519" spans="1:1">
      <c r="A1519">
        <v>1</v>
      </c>
    </row>
    <row r="1520" spans="1:1">
      <c r="A1520" t="s">
        <v>234</v>
      </c>
    </row>
    <row r="1521" spans="1:1">
      <c r="A1521" t="s">
        <v>235</v>
      </c>
    </row>
    <row r="1522" spans="1:1">
      <c r="A1522" t="s">
        <v>37</v>
      </c>
    </row>
    <row r="1523" spans="1:1">
      <c r="A1523">
        <v>9400</v>
      </c>
    </row>
    <row r="1524" spans="1:1">
      <c r="A1524">
        <v>46482</v>
      </c>
    </row>
    <row r="1525" spans="1:1">
      <c r="A1525" t="s">
        <v>367</v>
      </c>
    </row>
    <row r="1527" spans="1:1">
      <c r="A1527" t="s">
        <v>5545</v>
      </c>
    </row>
    <row r="1528" spans="1:1">
      <c r="A1528">
        <v>0</v>
      </c>
    </row>
    <row r="1529" spans="1:1">
      <c r="A1529">
        <v>0</v>
      </c>
    </row>
    <row r="1530" spans="1:1">
      <c r="A1530" t="s">
        <v>90</v>
      </c>
    </row>
    <row r="1531" spans="1:1">
      <c r="A1531" t="s">
        <v>91</v>
      </c>
    </row>
    <row r="1532" spans="1:1">
      <c r="A1532" t="s">
        <v>25</v>
      </c>
    </row>
    <row r="1533" spans="1:1">
      <c r="A1533">
        <v>112500</v>
      </c>
    </row>
    <row r="1534" spans="1:1">
      <c r="A1534">
        <v>46524</v>
      </c>
    </row>
    <row r="1535" spans="1:1">
      <c r="A1535" t="s">
        <v>358</v>
      </c>
    </row>
    <row r="1537" spans="1:1">
      <c r="A1537" t="s">
        <v>5545</v>
      </c>
    </row>
    <row r="1538" spans="1:1">
      <c r="A1538">
        <v>0</v>
      </c>
    </row>
    <row r="1539" spans="1:1">
      <c r="A1539">
        <v>0</v>
      </c>
    </row>
    <row r="1540" spans="1:1">
      <c r="A1540" t="s">
        <v>184</v>
      </c>
    </row>
    <row r="1541" spans="1:1">
      <c r="A1541" t="s">
        <v>185</v>
      </c>
    </row>
    <row r="1542" spans="1:1">
      <c r="A1542" t="s">
        <v>25</v>
      </c>
    </row>
    <row r="1543" spans="1:1">
      <c r="A1543">
        <v>136500</v>
      </c>
    </row>
    <row r="1544" spans="1:1">
      <c r="A1544">
        <v>46607</v>
      </c>
    </row>
    <row r="1545" spans="1:1">
      <c r="A1545" t="s">
        <v>363</v>
      </c>
    </row>
    <row r="1547" spans="1:1">
      <c r="A1547" t="s">
        <v>5545</v>
      </c>
    </row>
    <row r="1548" spans="1:1">
      <c r="A1548">
        <v>0</v>
      </c>
    </row>
    <row r="1549" spans="1:1">
      <c r="A1549">
        <v>0</v>
      </c>
    </row>
    <row r="1550" spans="1:1">
      <c r="A1550" t="s">
        <v>5580</v>
      </c>
    </row>
    <row r="1551" spans="1:1">
      <c r="A1551" t="s">
        <v>5581</v>
      </c>
    </row>
    <row r="1552" spans="1:1">
      <c r="A1552" t="s">
        <v>25</v>
      </c>
    </row>
    <row r="1553" spans="1:1">
      <c r="A1553">
        <v>68000</v>
      </c>
    </row>
    <row r="1554" spans="1:1">
      <c r="A1554">
        <v>46470</v>
      </c>
    </row>
    <row r="1557" spans="1:1">
      <c r="A1557" t="s">
        <v>5582</v>
      </c>
    </row>
    <row r="1559" spans="1:1">
      <c r="A1559">
        <v>2</v>
      </c>
    </row>
    <row r="1560" spans="1:1">
      <c r="A1560" t="s">
        <v>114</v>
      </c>
    </row>
    <row r="1561" spans="1:1">
      <c r="A1561" t="s">
        <v>115</v>
      </c>
    </row>
    <row r="1562" spans="1:1">
      <c r="A1562" t="s">
        <v>25</v>
      </c>
    </row>
    <row r="1563" spans="1:1">
      <c r="A1563">
        <v>125200</v>
      </c>
    </row>
    <row r="1564" spans="1:1">
      <c r="A1564">
        <v>46533</v>
      </c>
    </row>
    <row r="1565" spans="1:1">
      <c r="A1565" t="s">
        <v>363</v>
      </c>
    </row>
    <row r="1567" spans="1:1">
      <c r="A1567" t="s">
        <v>5545</v>
      </c>
    </row>
    <row r="1568" spans="1:1">
      <c r="A1568">
        <v>0</v>
      </c>
    </row>
    <row r="1569" spans="1:1">
      <c r="A1569">
        <v>0</v>
      </c>
    </row>
    <row r="1570" spans="1:1">
      <c r="A1570" t="s">
        <v>296</v>
      </c>
    </row>
    <row r="1571" spans="1:1">
      <c r="A1571" t="s">
        <v>297</v>
      </c>
    </row>
    <row r="1572" spans="1:1">
      <c r="A1572" t="s">
        <v>16</v>
      </c>
    </row>
    <row r="1573" spans="1:1">
      <c r="A1573">
        <v>189000</v>
      </c>
    </row>
    <row r="1574" spans="1:1">
      <c r="A1574">
        <v>46610</v>
      </c>
    </row>
    <row r="1577" spans="1:1">
      <c r="A1577" t="s">
        <v>5545</v>
      </c>
    </row>
    <row r="1578" spans="1:1">
      <c r="A1578">
        <v>0</v>
      </c>
    </row>
    <row r="1579" spans="1:1">
      <c r="A1579">
        <v>1</v>
      </c>
    </row>
    <row r="1580" spans="1:1">
      <c r="A1580" t="s">
        <v>230</v>
      </c>
    </row>
    <row r="1581" spans="1:1">
      <c r="A1581" t="s">
        <v>231</v>
      </c>
    </row>
    <row r="1582" spans="1:1">
      <c r="A1582" t="s">
        <v>25</v>
      </c>
    </row>
    <row r="1583" spans="1:1">
      <c r="A1583">
        <v>100400</v>
      </c>
    </row>
    <row r="1584" spans="1:1">
      <c r="A1584">
        <v>46613</v>
      </c>
    </row>
    <row r="1585" spans="1:1">
      <c r="A1585" t="s">
        <v>358</v>
      </c>
    </row>
    <row r="1587" spans="1:1">
      <c r="A1587" t="s">
        <v>5545</v>
      </c>
    </row>
    <row r="1588" spans="1:1">
      <c r="A1588">
        <v>0</v>
      </c>
    </row>
    <row r="1589" spans="1:1">
      <c r="A1589">
        <v>0</v>
      </c>
    </row>
    <row r="1590" spans="1:1">
      <c r="A1590" t="s">
        <v>346</v>
      </c>
    </row>
    <row r="1591" spans="1:1">
      <c r="A1591" t="s">
        <v>347</v>
      </c>
    </row>
    <row r="1592" spans="1:1">
      <c r="A1592" t="s">
        <v>16</v>
      </c>
    </row>
    <row r="1593" spans="1:1">
      <c r="A1593">
        <v>209600</v>
      </c>
    </row>
    <row r="1594" spans="1:1">
      <c r="A1594">
        <v>46244</v>
      </c>
    </row>
    <row r="1595" spans="1:1">
      <c r="A1595" t="s">
        <v>353</v>
      </c>
    </row>
    <row r="1597" spans="1:1">
      <c r="A1597" t="s">
        <v>5545</v>
      </c>
    </row>
    <row r="1598" spans="1:1">
      <c r="A1598">
        <v>0</v>
      </c>
    </row>
    <row r="1599" spans="1:1">
      <c r="A1599">
        <v>0</v>
      </c>
    </row>
    <row r="1600" spans="1:1">
      <c r="A1600" t="s">
        <v>182</v>
      </c>
    </row>
    <row r="1601" spans="1:1">
      <c r="A1601" t="s">
        <v>183</v>
      </c>
    </row>
    <row r="1602" spans="1:1">
      <c r="A1602" t="s">
        <v>37</v>
      </c>
    </row>
    <row r="1603" spans="1:1">
      <c r="A1603">
        <v>20100</v>
      </c>
    </row>
    <row r="1604" spans="1:1">
      <c r="A1604">
        <v>46335</v>
      </c>
    </row>
    <row r="1605" spans="1:1">
      <c r="A1605" t="s">
        <v>365</v>
      </c>
    </row>
    <row r="1607" spans="1:1">
      <c r="A1607" t="s">
        <v>5545</v>
      </c>
    </row>
    <row r="1608" spans="1:1">
      <c r="A1608">
        <v>10000</v>
      </c>
    </row>
    <row r="1609" spans="1:1">
      <c r="A1609">
        <v>1</v>
      </c>
    </row>
    <row r="1610" spans="1:1">
      <c r="A1610" t="s">
        <v>166</v>
      </c>
    </row>
    <row r="1611" spans="1:1">
      <c r="A1611" t="s">
        <v>167</v>
      </c>
    </row>
    <row r="1612" spans="1:1">
      <c r="A1612" t="s">
        <v>25</v>
      </c>
    </row>
    <row r="1613" spans="1:1">
      <c r="A1613">
        <v>41500</v>
      </c>
    </row>
    <row r="1614" spans="1:1">
      <c r="A1614">
        <v>46643</v>
      </c>
    </row>
    <row r="1615" spans="1:1">
      <c r="A1615" t="s">
        <v>360</v>
      </c>
    </row>
    <row r="1617" spans="1:1">
      <c r="A1617" t="s">
        <v>5545</v>
      </c>
    </row>
    <row r="1618" spans="1:1">
      <c r="A1618">
        <v>0</v>
      </c>
    </row>
    <row r="1619" spans="1:1">
      <c r="A1619">
        <v>0</v>
      </c>
    </row>
    <row r="1620" spans="1:1">
      <c r="A1620" t="s">
        <v>272</v>
      </c>
    </row>
    <row r="1621" spans="1:1">
      <c r="A1621" t="s">
        <v>273</v>
      </c>
    </row>
    <row r="1622" spans="1:1">
      <c r="A1622" t="s">
        <v>37</v>
      </c>
    </row>
    <row r="1623" spans="1:1">
      <c r="A1623">
        <v>22300</v>
      </c>
    </row>
    <row r="1624" spans="1:1">
      <c r="A1624">
        <v>46471</v>
      </c>
    </row>
    <row r="1625" spans="1:1">
      <c r="A1625" t="s">
        <v>365</v>
      </c>
    </row>
    <row r="1627" spans="1:1">
      <c r="A1627" t="s">
        <v>5545</v>
      </c>
    </row>
    <row r="1628" spans="1:1">
      <c r="A1628">
        <v>-5000</v>
      </c>
    </row>
    <row r="1629" spans="1:1">
      <c r="A1629">
        <v>1</v>
      </c>
    </row>
    <row r="1630" spans="1:1">
      <c r="A1630" t="s">
        <v>238</v>
      </c>
    </row>
    <row r="1631" spans="1:1">
      <c r="A1631" t="s">
        <v>239</v>
      </c>
    </row>
    <row r="1632" spans="1:1">
      <c r="A1632" t="s">
        <v>37</v>
      </c>
    </row>
    <row r="1633" spans="1:1">
      <c r="A1633">
        <v>18100</v>
      </c>
    </row>
    <row r="1634" spans="1:1">
      <c r="A1634">
        <v>46316</v>
      </c>
    </row>
    <row r="1635" spans="1:1">
      <c r="A1635" t="s">
        <v>365</v>
      </c>
    </row>
    <row r="1637" spans="1:1">
      <c r="A1637" t="s">
        <v>5545</v>
      </c>
    </row>
    <row r="1638" spans="1:1">
      <c r="A1638">
        <v>0</v>
      </c>
    </row>
    <row r="1639" spans="1:1">
      <c r="A1639">
        <v>0</v>
      </c>
    </row>
    <row r="1640" spans="1:1">
      <c r="A1640" t="s">
        <v>304</v>
      </c>
    </row>
    <row r="1641" spans="1:1">
      <c r="A1641" t="s">
        <v>305</v>
      </c>
    </row>
    <row r="1642" spans="1:1">
      <c r="A1642" t="s">
        <v>25</v>
      </c>
    </row>
    <row r="1643" spans="1:1">
      <c r="A1643">
        <v>89000</v>
      </c>
    </row>
    <row r="1644" spans="1:1">
      <c r="A1644">
        <v>46024</v>
      </c>
    </row>
    <row r="1645" spans="1:1">
      <c r="A1645" t="s">
        <v>363</v>
      </c>
    </row>
    <row r="1646" spans="1:1">
      <c r="A1646" t="s">
        <v>5620</v>
      </c>
    </row>
    <row r="1647" spans="1:1">
      <c r="A1647" t="s">
        <v>5545</v>
      </c>
    </row>
    <row r="1648" spans="1:1">
      <c r="A1648">
        <v>0</v>
      </c>
    </row>
    <row r="1649" spans="1:1">
      <c r="A1649">
        <v>1</v>
      </c>
    </row>
    <row r="1650" spans="1:1">
      <c r="A1650" t="s">
        <v>130</v>
      </c>
    </row>
    <row r="1651" spans="1:1">
      <c r="A1651" t="s">
        <v>131</v>
      </c>
    </row>
    <row r="1652" spans="1:1">
      <c r="A1652" t="s">
        <v>25</v>
      </c>
    </row>
    <row r="1653" spans="1:1">
      <c r="A1653">
        <v>71700</v>
      </c>
    </row>
    <row r="1654" spans="1:1">
      <c r="A1654">
        <v>46507</v>
      </c>
    </row>
    <row r="1657" spans="1:1">
      <c r="A1657" t="s">
        <v>5545</v>
      </c>
    </row>
    <row r="1658" spans="1:1">
      <c r="A1658">
        <v>0</v>
      </c>
    </row>
    <row r="1659" spans="1:1">
      <c r="A1659">
        <v>1</v>
      </c>
    </row>
    <row r="1660" spans="1:1">
      <c r="A1660" t="s">
        <v>5628</v>
      </c>
    </row>
    <row r="1661" spans="1:1">
      <c r="A1661" t="s">
        <v>5629</v>
      </c>
    </row>
    <row r="1662" spans="1:1">
      <c r="A1662" t="s">
        <v>37</v>
      </c>
    </row>
    <row r="1663" spans="1:1">
      <c r="A1663">
        <v>80000</v>
      </c>
    </row>
    <row r="1664" spans="1:1">
      <c r="A1664">
        <v>46442</v>
      </c>
    </row>
    <row r="1665" spans="1:1">
      <c r="A1665" t="s">
        <v>365</v>
      </c>
    </row>
    <row r="1667" spans="1:1">
      <c r="A1667" t="s">
        <v>5582</v>
      </c>
    </row>
    <row r="1669" spans="1:1">
      <c r="A1669">
        <v>1</v>
      </c>
    </row>
    <row r="1670" spans="1:1">
      <c r="A1670" t="s">
        <v>302</v>
      </c>
    </row>
    <row r="1671" spans="1:1">
      <c r="A1671" t="s">
        <v>303</v>
      </c>
    </row>
    <row r="1672" spans="1:1">
      <c r="A1672" t="s">
        <v>37</v>
      </c>
    </row>
    <row r="1673" spans="1:1">
      <c r="A1673">
        <v>24900</v>
      </c>
    </row>
    <row r="1674" spans="1:1">
      <c r="A1674">
        <v>46646</v>
      </c>
    </row>
    <row r="1675" spans="1:1">
      <c r="A1675" t="s">
        <v>367</v>
      </c>
    </row>
    <row r="1677" spans="1:1">
      <c r="A1677" t="s">
        <v>5545</v>
      </c>
    </row>
    <row r="1678" spans="1:1">
      <c r="A1678">
        <v>0</v>
      </c>
    </row>
    <row r="1679" spans="1:1">
      <c r="A1679">
        <v>0</v>
      </c>
    </row>
    <row r="1680" spans="1:1">
      <c r="A1680" t="s">
        <v>336</v>
      </c>
    </row>
    <row r="1681" spans="1:1">
      <c r="A1681" t="s">
        <v>337</v>
      </c>
    </row>
    <row r="1682" spans="1:1">
      <c r="A1682" t="s">
        <v>16</v>
      </c>
    </row>
    <row r="1683" spans="1:1">
      <c r="A1683">
        <v>320700</v>
      </c>
    </row>
    <row r="1684" spans="1:1">
      <c r="A1684">
        <v>46632</v>
      </c>
    </row>
    <row r="1685" spans="1:1">
      <c r="A1685" t="s">
        <v>356</v>
      </c>
    </row>
    <row r="1687" spans="1:1">
      <c r="A1687" t="s">
        <v>5545</v>
      </c>
    </row>
    <row r="1688" spans="1:1">
      <c r="A1688">
        <v>0</v>
      </c>
    </row>
    <row r="1689" spans="1:1">
      <c r="A1689">
        <v>0</v>
      </c>
    </row>
    <row r="1690" spans="1:1">
      <c r="A1690" t="s">
        <v>326</v>
      </c>
    </row>
    <row r="1691" spans="1:1">
      <c r="A1691" t="s">
        <v>327</v>
      </c>
    </row>
    <row r="1692" spans="1:1">
      <c r="A1692" t="s">
        <v>37</v>
      </c>
    </row>
    <row r="1693" spans="1:1">
      <c r="A1693">
        <v>8500</v>
      </c>
    </row>
    <row r="1694" spans="1:1">
      <c r="A1694">
        <v>46509</v>
      </c>
    </row>
    <row r="1695" spans="1:1">
      <c r="A1695" t="s">
        <v>365</v>
      </c>
    </row>
    <row r="1697" spans="1:1">
      <c r="A1697" t="s">
        <v>5545</v>
      </c>
    </row>
    <row r="1698" spans="1:1">
      <c r="A1698">
        <v>0</v>
      </c>
    </row>
    <row r="1699" spans="1:1">
      <c r="A1699">
        <v>0</v>
      </c>
    </row>
    <row r="1700" spans="1:1">
      <c r="A1700" t="s">
        <v>306</v>
      </c>
    </row>
    <row r="1701" spans="1:1">
      <c r="A1701" t="s">
        <v>307</v>
      </c>
    </row>
    <row r="1702" spans="1:1">
      <c r="A1702" t="s">
        <v>25</v>
      </c>
    </row>
    <row r="1703" spans="1:1">
      <c r="A1703">
        <v>45000</v>
      </c>
    </row>
    <row r="1704" spans="1:1">
      <c r="A1704">
        <v>46500</v>
      </c>
    </row>
    <row r="1707" spans="1:1">
      <c r="A1707" t="s">
        <v>5545</v>
      </c>
    </row>
    <row r="1708" spans="1:1">
      <c r="A1708">
        <v>0</v>
      </c>
    </row>
    <row r="1709" spans="1:1">
      <c r="A1709">
        <v>1</v>
      </c>
    </row>
    <row r="1710" spans="1:1">
      <c r="A1710" t="s">
        <v>51</v>
      </c>
    </row>
    <row r="1711" spans="1:1">
      <c r="A1711" t="s">
        <v>52</v>
      </c>
    </row>
    <row r="1712" spans="1:1">
      <c r="A1712" t="s">
        <v>16</v>
      </c>
    </row>
    <row r="1713" spans="1:1">
      <c r="A1713">
        <v>224800</v>
      </c>
    </row>
    <row r="1714" spans="1:1">
      <c r="A1714">
        <v>46348</v>
      </c>
    </row>
    <row r="1717" spans="1:1">
      <c r="A1717" t="s">
        <v>5545</v>
      </c>
    </row>
    <row r="1718" spans="1:1">
      <c r="A1718">
        <v>0</v>
      </c>
    </row>
    <row r="1719" spans="1:1">
      <c r="A1719">
        <v>1</v>
      </c>
    </row>
    <row r="1720" spans="1:1">
      <c r="A1720" t="s">
        <v>302</v>
      </c>
    </row>
    <row r="1721" spans="1:1">
      <c r="A1721" t="s">
        <v>303</v>
      </c>
    </row>
    <row r="1722" spans="1:1">
      <c r="A1722" t="s">
        <v>37</v>
      </c>
    </row>
    <row r="1723" spans="1:1">
      <c r="A1723">
        <v>24900</v>
      </c>
    </row>
    <row r="1724" spans="1:1">
      <c r="A1724">
        <v>46646</v>
      </c>
    </row>
    <row r="1725" spans="1:1">
      <c r="A1725" t="s">
        <v>367</v>
      </c>
    </row>
    <row r="1726" spans="1:1">
      <c r="A1726" t="s">
        <v>5620</v>
      </c>
    </row>
    <row r="1727" spans="1:1">
      <c r="A1727" t="s">
        <v>5545</v>
      </c>
    </row>
    <row r="1728" spans="1:1">
      <c r="A1728">
        <v>0</v>
      </c>
    </row>
    <row r="1729" spans="1:1">
      <c r="A1729">
        <v>1</v>
      </c>
    </row>
    <row r="1730" spans="1:1">
      <c r="A1730" t="s">
        <v>274</v>
      </c>
    </row>
    <row r="1731" spans="1:1">
      <c r="A1731" t="s">
        <v>275</v>
      </c>
    </row>
    <row r="1732" spans="1:1">
      <c r="A1732" t="s">
        <v>16</v>
      </c>
    </row>
    <row r="1733" spans="1:1">
      <c r="A1733">
        <v>595800</v>
      </c>
    </row>
    <row r="1734" spans="1:1">
      <c r="A1734">
        <v>46561</v>
      </c>
    </row>
    <row r="1735" spans="1:1">
      <c r="A1735" t="s">
        <v>356</v>
      </c>
    </row>
    <row r="1737" spans="1:1">
      <c r="A1737" t="s">
        <v>5545</v>
      </c>
    </row>
    <row r="1738" spans="1:1">
      <c r="A1738">
        <v>0</v>
      </c>
    </row>
    <row r="1739" spans="1:1">
      <c r="A1739">
        <v>0</v>
      </c>
    </row>
    <row r="1740" spans="1:1">
      <c r="A1740" t="s">
        <v>134</v>
      </c>
    </row>
    <row r="1741" spans="1:1">
      <c r="A1741" t="s">
        <v>135</v>
      </c>
    </row>
    <row r="1742" spans="1:1">
      <c r="A1742" t="s">
        <v>25</v>
      </c>
    </row>
    <row r="1743" spans="1:1">
      <c r="A1743">
        <v>105800</v>
      </c>
    </row>
    <row r="1744" spans="1:1">
      <c r="A1744">
        <v>46656</v>
      </c>
    </row>
    <row r="1745" spans="1:1">
      <c r="A1745" t="s">
        <v>358</v>
      </c>
    </row>
    <row r="1747" spans="1:1">
      <c r="A1747" t="s">
        <v>5545</v>
      </c>
    </row>
    <row r="1748" spans="1:1">
      <c r="A1748">
        <v>0</v>
      </c>
    </row>
    <row r="1749" spans="1:1">
      <c r="A1749">
        <v>0</v>
      </c>
    </row>
    <row r="1750" spans="1:1">
      <c r="A1750" t="s">
        <v>198</v>
      </c>
    </row>
    <row r="1751" spans="1:1">
      <c r="A1751" t="s">
        <v>199</v>
      </c>
    </row>
    <row r="1752" spans="1:1">
      <c r="A1752" t="s">
        <v>16</v>
      </c>
    </row>
    <row r="1753" spans="1:1">
      <c r="A1753">
        <v>486200</v>
      </c>
    </row>
    <row r="1754" spans="1:1">
      <c r="A1754">
        <v>46368</v>
      </c>
    </row>
    <row r="1755" spans="1:1">
      <c r="A1755" t="s">
        <v>356</v>
      </c>
    </row>
    <row r="1757" spans="1:1">
      <c r="A1757" t="s">
        <v>5545</v>
      </c>
    </row>
    <row r="1758" spans="1:1">
      <c r="A1758">
        <v>0</v>
      </c>
    </row>
    <row r="1759" spans="1:1">
      <c r="A1759">
        <v>0</v>
      </c>
    </row>
    <row r="1760" spans="1:1">
      <c r="A1760" t="s">
        <v>98</v>
      </c>
    </row>
    <row r="1761" spans="1:1">
      <c r="A1761" t="s">
        <v>99</v>
      </c>
    </row>
    <row r="1762" spans="1:1">
      <c r="A1762" t="s">
        <v>16</v>
      </c>
    </row>
    <row r="1763" spans="1:1">
      <c r="A1763">
        <v>301100</v>
      </c>
    </row>
    <row r="1764" spans="1:1">
      <c r="A1764">
        <v>46618</v>
      </c>
    </row>
    <row r="1765" spans="1:1">
      <c r="A1765" t="s">
        <v>356</v>
      </c>
    </row>
    <row r="1767" spans="1:1">
      <c r="A1767" t="s">
        <v>5545</v>
      </c>
    </row>
    <row r="1768" spans="1:1">
      <c r="A1768">
        <v>0</v>
      </c>
    </row>
    <row r="1769" spans="1:1">
      <c r="A1769">
        <v>0</v>
      </c>
    </row>
    <row r="1770" spans="1:1">
      <c r="A1770" t="s">
        <v>5665</v>
      </c>
    </row>
    <row r="1771" spans="1:1">
      <c r="A1771" t="s">
        <v>5670</v>
      </c>
    </row>
    <row r="1772" spans="1:1">
      <c r="A1772" t="s">
        <v>16</v>
      </c>
    </row>
    <row r="1773" spans="1:1">
      <c r="A1773">
        <v>27000</v>
      </c>
    </row>
    <row r="1774" spans="1:1">
      <c r="A1774">
        <v>46491</v>
      </c>
    </row>
    <row r="1775" spans="1:1">
      <c r="A1775" t="s">
        <v>353</v>
      </c>
    </row>
    <row r="1777" spans="1:1">
      <c r="A1777" t="s">
        <v>5582</v>
      </c>
    </row>
    <row r="1779" spans="1:1">
      <c r="A1779">
        <v>1</v>
      </c>
    </row>
    <row r="1780" spans="1:1">
      <c r="A1780" t="s">
        <v>104</v>
      </c>
    </row>
    <row r="1781" spans="1:1">
      <c r="A1781" t="s">
        <v>105</v>
      </c>
    </row>
    <row r="1782" spans="1:1">
      <c r="A1782" t="s">
        <v>37</v>
      </c>
    </row>
    <row r="1783" spans="1:1">
      <c r="A1783">
        <v>21700</v>
      </c>
    </row>
    <row r="1784" spans="1:1">
      <c r="A1784">
        <v>46601</v>
      </c>
    </row>
    <row r="1785" spans="1:1">
      <c r="A1785" t="s">
        <v>369</v>
      </c>
    </row>
    <row r="1787" spans="1:1">
      <c r="A1787" t="s">
        <v>5545</v>
      </c>
    </row>
    <row r="1788" spans="1:1">
      <c r="A1788">
        <v>0</v>
      </c>
    </row>
    <row r="1789" spans="1:1">
      <c r="A1789">
        <v>0</v>
      </c>
    </row>
    <row r="1790" spans="1:1">
      <c r="A1790" t="s">
        <v>106</v>
      </c>
    </row>
    <row r="1791" spans="1:1">
      <c r="A1791" t="s">
        <v>107</v>
      </c>
    </row>
    <row r="1792" spans="1:1">
      <c r="A1792" t="s">
        <v>25</v>
      </c>
    </row>
    <row r="1793" spans="1:1">
      <c r="A1793">
        <v>45700</v>
      </c>
    </row>
    <row r="1794" spans="1:1">
      <c r="A1794">
        <v>46513</v>
      </c>
    </row>
    <row r="1795" spans="1:1">
      <c r="A1795" t="s">
        <v>363</v>
      </c>
    </row>
    <row r="1797" spans="1:1">
      <c r="A1797" t="s">
        <v>5545</v>
      </c>
    </row>
    <row r="1798" spans="1:1">
      <c r="A1798">
        <v>0</v>
      </c>
    </row>
    <row r="1799" spans="1:1">
      <c r="A1799">
        <v>0</v>
      </c>
    </row>
    <row r="1800" spans="1:1">
      <c r="A1800" t="s">
        <v>312</v>
      </c>
    </row>
    <row r="1801" spans="1:1">
      <c r="A1801" t="s">
        <v>313</v>
      </c>
    </row>
    <row r="1802" spans="1:1">
      <c r="A1802" t="s">
        <v>25</v>
      </c>
    </row>
    <row r="1803" spans="1:1">
      <c r="A1803">
        <v>86100</v>
      </c>
    </row>
    <row r="1804" spans="1:1">
      <c r="A1804">
        <v>46533</v>
      </c>
    </row>
    <row r="1807" spans="1:1">
      <c r="A1807" t="s">
        <v>5545</v>
      </c>
    </row>
    <row r="1808" spans="1:1">
      <c r="A1808">
        <v>0</v>
      </c>
    </row>
    <row r="1809" spans="1:1">
      <c r="A1809">
        <v>1</v>
      </c>
    </row>
    <row r="1810" spans="1:1">
      <c r="A1810" t="s">
        <v>204</v>
      </c>
    </row>
    <row r="1811" spans="1:1">
      <c r="A1811" t="s">
        <v>205</v>
      </c>
    </row>
    <row r="1812" spans="1:1">
      <c r="A1812" t="s">
        <v>37</v>
      </c>
    </row>
    <row r="1813" spans="1:1">
      <c r="A1813">
        <v>12700</v>
      </c>
    </row>
    <row r="1814" spans="1:1">
      <c r="A1814">
        <v>46476</v>
      </c>
    </row>
    <row r="1817" spans="1:1">
      <c r="A1817" t="s">
        <v>5545</v>
      </c>
    </row>
    <row r="1818" spans="1:1">
      <c r="A1818">
        <v>0</v>
      </c>
    </row>
    <row r="1819" spans="1:1">
      <c r="A1819">
        <v>1</v>
      </c>
    </row>
    <row r="1820" spans="1:1">
      <c r="A1820" t="s">
        <v>238</v>
      </c>
    </row>
    <row r="1821" spans="1:1">
      <c r="A1821" t="s">
        <v>239</v>
      </c>
    </row>
    <row r="1822" spans="1:1">
      <c r="A1822" t="s">
        <v>37</v>
      </c>
    </row>
    <row r="1823" spans="1:1">
      <c r="A1823">
        <v>18100</v>
      </c>
    </row>
    <row r="1824" spans="1:1">
      <c r="A1824">
        <v>46316</v>
      </c>
    </row>
    <row r="1825" spans="1:1">
      <c r="A1825" t="s">
        <v>365</v>
      </c>
    </row>
    <row r="1826" spans="1:1">
      <c r="A1826" t="s">
        <v>5620</v>
      </c>
    </row>
    <row r="1827" spans="1:1">
      <c r="A1827" t="s">
        <v>5545</v>
      </c>
    </row>
    <row r="1828" spans="1:1">
      <c r="A1828">
        <v>0</v>
      </c>
    </row>
    <row r="1829" spans="1:1">
      <c r="A1829">
        <v>1</v>
      </c>
    </row>
    <row r="1830" spans="1:1">
      <c r="A1830" t="s">
        <v>180</v>
      </c>
    </row>
    <row r="1831" spans="1:1">
      <c r="A1831" t="s">
        <v>181</v>
      </c>
    </row>
    <row r="1832" spans="1:1">
      <c r="A1832" t="s">
        <v>16</v>
      </c>
    </row>
    <row r="1833" spans="1:1">
      <c r="A1833">
        <v>479800</v>
      </c>
    </row>
    <row r="1834" spans="1:1">
      <c r="A1834">
        <v>46560</v>
      </c>
    </row>
    <row r="1835" spans="1:1">
      <c r="A1835" t="s">
        <v>353</v>
      </c>
    </row>
    <row r="1837" spans="1:1">
      <c r="A1837" t="s">
        <v>5545</v>
      </c>
    </row>
    <row r="1838" spans="1:1">
      <c r="A1838">
        <v>2500</v>
      </c>
    </row>
    <row r="1839" spans="1:1">
      <c r="A1839">
        <v>1</v>
      </c>
    </row>
    <row r="1840" spans="1:1">
      <c r="A1840" t="s">
        <v>212</v>
      </c>
    </row>
    <row r="1841" spans="1:1">
      <c r="A1841" t="s">
        <v>213</v>
      </c>
    </row>
    <row r="1842" spans="1:1">
      <c r="A1842" t="s">
        <v>37</v>
      </c>
    </row>
    <row r="1843" spans="1:1">
      <c r="A1843">
        <v>37400</v>
      </c>
    </row>
    <row r="1844" spans="1:1">
      <c r="A1844">
        <v>46566</v>
      </c>
    </row>
    <row r="1845" spans="1:1">
      <c r="A1845" t="s">
        <v>367</v>
      </c>
    </row>
    <row r="1847" spans="1:1">
      <c r="A1847" t="s">
        <v>5545</v>
      </c>
    </row>
    <row r="1848" spans="1:1">
      <c r="A1848">
        <v>0</v>
      </c>
    </row>
    <row r="1849" spans="1:1">
      <c r="A1849">
        <v>0</v>
      </c>
    </row>
    <row r="1850" spans="1:1">
      <c r="A1850" t="s">
        <v>152</v>
      </c>
    </row>
    <row r="1851" spans="1:1">
      <c r="A1851" t="s">
        <v>153</v>
      </c>
    </row>
    <row r="1852" spans="1:1">
      <c r="A1852" t="s">
        <v>37</v>
      </c>
    </row>
    <row r="1853" spans="1:1">
      <c r="A1853">
        <v>36400</v>
      </c>
    </row>
    <row r="1854" spans="1:1">
      <c r="A1854">
        <v>46571</v>
      </c>
    </row>
    <row r="1857" spans="1:1">
      <c r="A1857" t="s">
        <v>5545</v>
      </c>
    </row>
    <row r="1858" spans="1:1">
      <c r="A1858">
        <v>0</v>
      </c>
    </row>
    <row r="1859" spans="1:1">
      <c r="A1859">
        <v>1</v>
      </c>
    </row>
    <row r="1860" spans="1:1">
      <c r="A1860" t="s">
        <v>170</v>
      </c>
    </row>
    <row r="1861" spans="1:1">
      <c r="A1861" t="s">
        <v>171</v>
      </c>
    </row>
    <row r="1862" spans="1:1">
      <c r="A1862" t="s">
        <v>37</v>
      </c>
    </row>
    <row r="1863" spans="1:1">
      <c r="A1863">
        <v>20400</v>
      </c>
    </row>
    <row r="1864" spans="1:1">
      <c r="A1864">
        <v>46550</v>
      </c>
    </row>
    <row r="1867" spans="1:1">
      <c r="A1867" t="s">
        <v>5545</v>
      </c>
    </row>
    <row r="1868" spans="1:1">
      <c r="A1868">
        <v>0</v>
      </c>
    </row>
    <row r="1869" spans="1:1">
      <c r="A1869">
        <v>1</v>
      </c>
    </row>
    <row r="1870" spans="1:1">
      <c r="A1870" t="s">
        <v>208</v>
      </c>
    </row>
    <row r="1871" spans="1:1">
      <c r="A1871" t="s">
        <v>209</v>
      </c>
    </row>
    <row r="1872" spans="1:1">
      <c r="A1872" t="s">
        <v>37</v>
      </c>
    </row>
    <row r="1873" spans="1:1">
      <c r="A1873">
        <v>35700</v>
      </c>
    </row>
    <row r="1874" spans="1:1">
      <c r="A1874">
        <v>46327</v>
      </c>
    </row>
    <row r="1875" spans="1:1">
      <c r="A1875" t="s">
        <v>369</v>
      </c>
    </row>
    <row r="1877" spans="1:1">
      <c r="A1877" t="s">
        <v>5545</v>
      </c>
    </row>
    <row r="1878" spans="1:1">
      <c r="A1878">
        <v>0</v>
      </c>
    </row>
    <row r="1879" spans="1:1">
      <c r="A1879">
        <v>0</v>
      </c>
    </row>
    <row r="1880" spans="1:1">
      <c r="A1880" t="s">
        <v>208</v>
      </c>
    </row>
    <row r="1881" spans="1:1">
      <c r="A1881" t="s">
        <v>209</v>
      </c>
    </row>
    <row r="1882" spans="1:1">
      <c r="A1882" t="s">
        <v>37</v>
      </c>
    </row>
    <row r="1883" spans="1:1">
      <c r="A1883">
        <v>35700</v>
      </c>
    </row>
    <row r="1884" spans="1:1">
      <c r="A1884">
        <v>46327</v>
      </c>
    </row>
    <row r="1885" spans="1:1">
      <c r="A1885" t="s">
        <v>369</v>
      </c>
    </row>
    <row r="1886" spans="1:1">
      <c r="A1886" t="s">
        <v>5620</v>
      </c>
    </row>
    <row r="1887" spans="1:1">
      <c r="A1887" t="s">
        <v>5545</v>
      </c>
    </row>
    <row r="1888" spans="1:1">
      <c r="A1888">
        <v>0</v>
      </c>
    </row>
    <row r="1889" spans="1:1">
      <c r="A1889">
        <v>1</v>
      </c>
    </row>
    <row r="1890" spans="1:1">
      <c r="A1890" t="s">
        <v>81</v>
      </c>
    </row>
    <row r="1891" spans="1:1">
      <c r="A1891" t="s">
        <v>82</v>
      </c>
    </row>
    <row r="1892" spans="1:1">
      <c r="A1892" t="s">
        <v>37</v>
      </c>
    </row>
    <row r="1893" spans="1:1">
      <c r="A1893">
        <v>18600</v>
      </c>
    </row>
    <row r="1894" spans="1:1">
      <c r="A1894">
        <v>46477</v>
      </c>
    </row>
    <row r="1895" spans="1:1">
      <c r="A1895" t="s">
        <v>369</v>
      </c>
    </row>
    <row r="1897" spans="1:1">
      <c r="A1897" t="s">
        <v>5545</v>
      </c>
    </row>
    <row r="1898" spans="1:1">
      <c r="A1898">
        <v>0</v>
      </c>
    </row>
    <row r="1899" spans="1:1">
      <c r="A1899">
        <v>0</v>
      </c>
    </row>
    <row r="1900" spans="1:1">
      <c r="A1900" t="s">
        <v>118</v>
      </c>
    </row>
    <row r="1901" spans="1:1">
      <c r="A1901" t="s">
        <v>119</v>
      </c>
    </row>
    <row r="1902" spans="1:1">
      <c r="A1902" t="s">
        <v>37</v>
      </c>
    </row>
    <row r="1903" spans="1:1">
      <c r="A1903">
        <v>30100</v>
      </c>
    </row>
    <row r="1904" spans="1:1">
      <c r="A1904">
        <v>46421</v>
      </c>
    </row>
    <row r="1905" spans="1:1">
      <c r="A1905" t="s">
        <v>365</v>
      </c>
    </row>
    <row r="1907" spans="1:1">
      <c r="A1907" t="s">
        <v>5545</v>
      </c>
    </row>
    <row r="1908" spans="1:1">
      <c r="A1908">
        <v>0</v>
      </c>
    </row>
    <row r="1909" spans="1:1">
      <c r="A1909">
        <v>0</v>
      </c>
    </row>
    <row r="1910" spans="1:1">
      <c r="A1910" t="s">
        <v>342</v>
      </c>
    </row>
    <row r="1911" spans="1:1">
      <c r="A1911" t="s">
        <v>343</v>
      </c>
    </row>
    <row r="1912" spans="1:1">
      <c r="A1912" t="s">
        <v>37</v>
      </c>
    </row>
    <row r="1913" spans="1:1">
      <c r="A1913">
        <v>22000</v>
      </c>
    </row>
    <row r="1914" spans="1:1">
      <c r="A1914">
        <v>46554</v>
      </c>
    </row>
    <row r="1917" spans="1:1">
      <c r="A1917" t="s">
        <v>5545</v>
      </c>
    </row>
    <row r="1918" spans="1:1">
      <c r="A1918">
        <v>0</v>
      </c>
    </row>
    <row r="1919" spans="1:1">
      <c r="A1919">
        <v>1</v>
      </c>
    </row>
    <row r="1920" spans="1:1">
      <c r="A1920" t="s">
        <v>178</v>
      </c>
    </row>
    <row r="1921" spans="1:1">
      <c r="A1921" t="s">
        <v>179</v>
      </c>
    </row>
    <row r="1922" spans="1:1">
      <c r="A1922" t="s">
        <v>37</v>
      </c>
    </row>
    <row r="1923" spans="1:1">
      <c r="A1923">
        <v>18400</v>
      </c>
    </row>
    <row r="1924" spans="1:1">
      <c r="A1924">
        <v>46311</v>
      </c>
    </row>
    <row r="1927" spans="1:1">
      <c r="A1927" t="s">
        <v>5545</v>
      </c>
    </row>
    <row r="1928" spans="1:1">
      <c r="A1928">
        <v>0</v>
      </c>
    </row>
    <row r="1929" spans="1:1">
      <c r="A1929">
        <v>1</v>
      </c>
    </row>
    <row r="1930" spans="1:1">
      <c r="A1930" t="s">
        <v>110</v>
      </c>
    </row>
    <row r="1931" spans="1:1">
      <c r="A1931" t="s">
        <v>111</v>
      </c>
    </row>
    <row r="1932" spans="1:1">
      <c r="A1932" t="s">
        <v>25</v>
      </c>
    </row>
    <row r="1933" spans="1:1">
      <c r="A1933">
        <v>114500</v>
      </c>
    </row>
    <row r="1934" spans="1:1">
      <c r="A1934">
        <v>46381</v>
      </c>
    </row>
    <row r="1935" spans="1:1">
      <c r="A1935" t="s">
        <v>363</v>
      </c>
    </row>
    <row r="1937" spans="1:1">
      <c r="A1937" t="s">
        <v>5545</v>
      </c>
    </row>
    <row r="1938" spans="1:1">
      <c r="A1938">
        <v>0</v>
      </c>
    </row>
    <row r="1939" spans="1:1">
      <c r="A1939">
        <v>0</v>
      </c>
    </row>
    <row r="1940" spans="1:1">
      <c r="A1940" t="s">
        <v>172</v>
      </c>
    </row>
    <row r="1941" spans="1:1">
      <c r="A1941" t="s">
        <v>173</v>
      </c>
    </row>
    <row r="1942" spans="1:1">
      <c r="A1942" t="s">
        <v>37</v>
      </c>
    </row>
    <row r="1943" spans="1:1">
      <c r="A1943">
        <v>19900</v>
      </c>
    </row>
    <row r="1944" spans="1:1">
      <c r="A1944">
        <v>46613</v>
      </c>
    </row>
    <row r="1945" spans="1:1">
      <c r="A1945" t="s">
        <v>369</v>
      </c>
    </row>
    <row r="1947" spans="1:1">
      <c r="A1947" t="s">
        <v>5545</v>
      </c>
    </row>
    <row r="1948" spans="1:1">
      <c r="A1948">
        <v>0</v>
      </c>
    </row>
    <row r="1949" spans="1:1">
      <c r="A1949">
        <v>0</v>
      </c>
    </row>
    <row r="1950" spans="1:1">
      <c r="A1950" t="s">
        <v>214</v>
      </c>
    </row>
    <row r="1951" spans="1:1">
      <c r="A1951" t="s">
        <v>215</v>
      </c>
    </row>
    <row r="1952" spans="1:1">
      <c r="A1952" t="s">
        <v>25</v>
      </c>
    </row>
    <row r="1953" spans="1:1">
      <c r="A1953">
        <v>104100</v>
      </c>
    </row>
    <row r="1954" spans="1:1">
      <c r="A1954">
        <v>46583</v>
      </c>
    </row>
    <row r="1955" spans="1:1">
      <c r="A1955" t="s">
        <v>358</v>
      </c>
    </row>
    <row r="1957" spans="1:1">
      <c r="A1957" t="s">
        <v>5545</v>
      </c>
    </row>
    <row r="1958" spans="1:1">
      <c r="A1958">
        <v>0</v>
      </c>
    </row>
    <row r="1959" spans="1:1">
      <c r="A1959">
        <v>0</v>
      </c>
    </row>
    <row r="1960" spans="1:1">
      <c r="A1960" t="s">
        <v>5730</v>
      </c>
    </row>
    <row r="1961" spans="1:1">
      <c r="A1961" t="s">
        <v>5629</v>
      </c>
    </row>
    <row r="1962" spans="1:1">
      <c r="A1962" t="s">
        <v>16</v>
      </c>
    </row>
    <row r="1963" spans="1:1">
      <c r="A1963">
        <v>10000</v>
      </c>
    </row>
    <row r="1964" spans="1:1">
      <c r="A1964">
        <v>46475</v>
      </c>
    </row>
    <row r="1967" spans="1:1">
      <c r="A1967" t="s">
        <v>5582</v>
      </c>
    </row>
    <row r="1969" spans="1:1">
      <c r="A1969">
        <v>2</v>
      </c>
    </row>
    <row r="1970" spans="1:1">
      <c r="A1970" t="s">
        <v>330</v>
      </c>
    </row>
    <row r="1971" spans="1:1">
      <c r="A1971" t="s">
        <v>331</v>
      </c>
    </row>
    <row r="1972" spans="1:1">
      <c r="A1972" t="s">
        <v>25</v>
      </c>
    </row>
    <row r="1973" spans="1:1">
      <c r="A1973">
        <v>45300</v>
      </c>
    </row>
    <row r="1974" spans="1:1">
      <c r="A1974">
        <v>46575</v>
      </c>
    </row>
    <row r="1975" spans="1:1">
      <c r="A1975" t="s">
        <v>363</v>
      </c>
    </row>
    <row r="1977" spans="1:1">
      <c r="A1977" t="s">
        <v>5545</v>
      </c>
    </row>
    <row r="1978" spans="1:1">
      <c r="A1978">
        <v>0</v>
      </c>
    </row>
    <row r="1979" spans="1:1">
      <c r="A1979">
        <v>0</v>
      </c>
    </row>
    <row r="1980" spans="1:1">
      <c r="A1980" t="s">
        <v>180</v>
      </c>
    </row>
    <row r="1981" spans="1:1">
      <c r="A1981" t="s">
        <v>181</v>
      </c>
    </row>
    <row r="1982" spans="1:1">
      <c r="A1982" t="s">
        <v>16</v>
      </c>
    </row>
    <row r="1983" spans="1:1">
      <c r="A1983">
        <v>477300</v>
      </c>
    </row>
    <row r="1984" spans="1:1">
      <c r="A1984">
        <v>46560</v>
      </c>
    </row>
    <row r="1985" spans="1:1">
      <c r="A1985" t="s">
        <v>353</v>
      </c>
    </row>
    <row r="1986" spans="1:1">
      <c r="A1986" t="s">
        <v>5620</v>
      </c>
    </row>
    <row r="1987" spans="1:1">
      <c r="A1987" t="s">
        <v>5545</v>
      </c>
    </row>
    <row r="1988" spans="1:1">
      <c r="A1988">
        <v>0</v>
      </c>
    </row>
    <row r="1989" spans="1:1">
      <c r="A1989">
        <v>1</v>
      </c>
    </row>
    <row r="1990" spans="1:1">
      <c r="A1990" t="s">
        <v>274</v>
      </c>
    </row>
    <row r="1991" spans="1:1">
      <c r="A1991" t="s">
        <v>275</v>
      </c>
    </row>
    <row r="1992" spans="1:1">
      <c r="A1992" t="s">
        <v>16</v>
      </c>
    </row>
    <row r="1993" spans="1:1">
      <c r="A1993">
        <v>595800</v>
      </c>
    </row>
    <row r="1994" spans="1:1">
      <c r="A1994">
        <v>46561</v>
      </c>
    </row>
    <row r="1995" spans="1:1">
      <c r="A1995" t="s">
        <v>356</v>
      </c>
    </row>
    <row r="1996" spans="1:1">
      <c r="A1996" t="s">
        <v>5620</v>
      </c>
    </row>
    <row r="1997" spans="1:1">
      <c r="A1997" t="s">
        <v>5545</v>
      </c>
    </row>
    <row r="1998" spans="1:1">
      <c r="A1998">
        <v>0</v>
      </c>
    </row>
    <row r="1999" spans="1:1">
      <c r="A1999">
        <v>1</v>
      </c>
    </row>
    <row r="2000" spans="1:1">
      <c r="A2000" t="s">
        <v>236</v>
      </c>
    </row>
    <row r="2001" spans="1:1">
      <c r="A2001" t="s">
        <v>237</v>
      </c>
    </row>
    <row r="2002" spans="1:1">
      <c r="A2002" t="s">
        <v>25</v>
      </c>
    </row>
    <row r="2003" spans="1:1">
      <c r="A2003">
        <v>131300</v>
      </c>
    </row>
    <row r="2004" spans="1:1">
      <c r="A2004">
        <v>46468</v>
      </c>
    </row>
    <row r="2005" spans="1:1">
      <c r="A2005" t="s">
        <v>358</v>
      </c>
    </row>
    <row r="2007" spans="1:1">
      <c r="A2007" t="s">
        <v>5545</v>
      </c>
    </row>
    <row r="2008" spans="1:1">
      <c r="A2008">
        <v>0</v>
      </c>
    </row>
    <row r="2009" spans="1:1">
      <c r="A2009">
        <v>0</v>
      </c>
    </row>
    <row r="2010" spans="1:1">
      <c r="A2010" t="s">
        <v>242</v>
      </c>
    </row>
    <row r="2011" spans="1:1">
      <c r="A2011" t="s">
        <v>243</v>
      </c>
    </row>
    <row r="2012" spans="1:1">
      <c r="A2012" t="s">
        <v>16</v>
      </c>
    </row>
    <row r="2013" spans="1:1">
      <c r="A2013">
        <v>186000</v>
      </c>
    </row>
    <row r="2014" spans="1:1">
      <c r="A2014">
        <v>46606</v>
      </c>
    </row>
    <row r="2017" spans="1:1">
      <c r="A2017" t="s">
        <v>5545</v>
      </c>
    </row>
    <row r="2018" spans="1:1">
      <c r="A2018">
        <v>0</v>
      </c>
    </row>
    <row r="2019" spans="1:1">
      <c r="A2019">
        <v>1</v>
      </c>
    </row>
    <row r="2020" spans="1:1">
      <c r="A2020" t="s">
        <v>280</v>
      </c>
    </row>
    <row r="2021" spans="1:1">
      <c r="A2021" t="s">
        <v>281</v>
      </c>
    </row>
    <row r="2022" spans="1:1">
      <c r="A2022" t="s">
        <v>37</v>
      </c>
    </row>
    <row r="2023" spans="1:1">
      <c r="A2023">
        <v>21200</v>
      </c>
    </row>
    <row r="2024" spans="1:1">
      <c r="A2024">
        <v>46395</v>
      </c>
    </row>
    <row r="2025" spans="1:1">
      <c r="A2025" t="s">
        <v>365</v>
      </c>
    </row>
    <row r="2027" spans="1:1">
      <c r="A2027" t="s">
        <v>5545</v>
      </c>
    </row>
    <row r="2028" spans="1:1">
      <c r="A2028">
        <v>0</v>
      </c>
    </row>
    <row r="2029" spans="1:1">
      <c r="A2029">
        <v>0</v>
      </c>
    </row>
    <row r="2030" spans="1:1">
      <c r="A2030" t="s">
        <v>35</v>
      </c>
    </row>
    <row r="2031" spans="1:1">
      <c r="A2031" t="s">
        <v>36</v>
      </c>
    </row>
    <row r="2032" spans="1:1">
      <c r="A2032" t="s">
        <v>37</v>
      </c>
    </row>
    <row r="2033" spans="1:1">
      <c r="A2033">
        <v>23200</v>
      </c>
    </row>
    <row r="2034" spans="1:1">
      <c r="A2034">
        <v>46333</v>
      </c>
    </row>
    <row r="2035" spans="1:1">
      <c r="A2035" t="s">
        <v>369</v>
      </c>
    </row>
    <row r="2037" spans="1:1">
      <c r="A2037" t="s">
        <v>5545</v>
      </c>
    </row>
    <row r="2038" spans="1:1">
      <c r="A2038">
        <v>0</v>
      </c>
    </row>
    <row r="2039" spans="1:1">
      <c r="A2039">
        <v>0</v>
      </c>
    </row>
    <row r="2040" spans="1:1">
      <c r="A2040" t="s">
        <v>254</v>
      </c>
    </row>
    <row r="2041" spans="1:1">
      <c r="A2041" t="s">
        <v>255</v>
      </c>
    </row>
    <row r="2042" spans="1:1">
      <c r="A2042" t="s">
        <v>25</v>
      </c>
    </row>
    <row r="2043" spans="1:1">
      <c r="A2043">
        <v>119100</v>
      </c>
    </row>
    <row r="2044" spans="1:1">
      <c r="A2044">
        <v>46364</v>
      </c>
    </row>
    <row r="2045" spans="1:1">
      <c r="A2045" t="s">
        <v>363</v>
      </c>
    </row>
    <row r="2047" spans="1:1">
      <c r="A2047" t="s">
        <v>5545</v>
      </c>
    </row>
    <row r="2048" spans="1:1">
      <c r="A2048">
        <v>0</v>
      </c>
    </row>
    <row r="2049" spans="1:1">
      <c r="A2049">
        <v>0</v>
      </c>
    </row>
    <row r="2050" spans="1:1">
      <c r="A2050">
        <v>58</v>
      </c>
    </row>
    <row r="2051" spans="1:1">
      <c r="A2051">
        <v>52</v>
      </c>
    </row>
    <row r="2052" spans="1:1">
      <c r="A2052">
        <v>6</v>
      </c>
    </row>
    <row r="2053" spans="1:1">
      <c r="A2053">
        <v>4</v>
      </c>
    </row>
    <row r="2054" spans="1:1">
      <c r="A2054">
        <v>6</v>
      </c>
    </row>
    <row r="2055" spans="1:1">
      <c r="A2055">
        <v>15</v>
      </c>
    </row>
    <row r="2056" spans="1:1">
      <c r="A2056">
        <v>0.5</v>
      </c>
    </row>
    <row r="2057" spans="1:1">
      <c r="A2057">
        <v>25</v>
      </c>
    </row>
    <row r="2058" spans="1:1">
      <c r="A2058">
        <v>2681100</v>
      </c>
    </row>
    <row r="2059" spans="1:1">
      <c r="A2059">
        <v>0.1727501755787656</v>
      </c>
    </row>
    <row r="2060" spans="1:1">
      <c r="A2060">
        <v>24</v>
      </c>
    </row>
    <row r="2061" spans="1:1">
      <c r="A2061">
        <v>2985700</v>
      </c>
    </row>
    <row r="2062" spans="1:1">
      <c r="A2062">
        <v>0.1923763377813287</v>
      </c>
    </row>
    <row r="2063" spans="1:1">
      <c r="A2063">
        <v>25</v>
      </c>
    </row>
    <row r="2064" spans="1:1">
      <c r="A2064">
        <v>2743900</v>
      </c>
    </row>
    <row r="2065" spans="1:1">
      <c r="A2065">
        <v>0.1767965412593991</v>
      </c>
    </row>
    <row r="2066" spans="1:1">
      <c r="A2066">
        <v>21</v>
      </c>
    </row>
    <row r="2067" spans="1:1">
      <c r="A2067">
        <v>2761700</v>
      </c>
    </row>
    <row r="2068" spans="1:1">
      <c r="A2068">
        <v>0.1779434410860755</v>
      </c>
    </row>
    <row r="2069" spans="1:1">
      <c r="A2069">
        <v>24</v>
      </c>
    </row>
    <row r="2070" spans="1:1">
      <c r="A2070">
        <v>2968500</v>
      </c>
    </row>
    <row r="2071" spans="1:1">
      <c r="A2071">
        <v>0.1912680974993718</v>
      </c>
    </row>
    <row r="2072" spans="1:1">
      <c r="A2072">
        <v>19</v>
      </c>
    </row>
    <row r="2073" spans="1:1">
      <c r="A2073">
        <v>1379200</v>
      </c>
    </row>
    <row r="2074" spans="1:1">
      <c r="A2074">
        <v>0.0888654067950593</v>
      </c>
    </row>
    <row r="2075" spans="1:1">
      <c r="A2075">
        <v>15682</v>
      </c>
    </row>
    <row r="2076" spans="1:1">
      <c r="A2076">
        <v>7537</v>
      </c>
    </row>
    <row r="2077" spans="1:1">
      <c r="A2077">
        <v>1265</v>
      </c>
    </row>
    <row r="2078" spans="1:1">
      <c r="A2078">
        <v>15945</v>
      </c>
    </row>
    <row r="2079" spans="1:1">
      <c r="A2079">
        <v>7492</v>
      </c>
    </row>
    <row r="2080" spans="1:1">
      <c r="A2080">
        <v>1246</v>
      </c>
    </row>
    <row r="2081" spans="1:1">
      <c r="A2081">
        <v>15296</v>
      </c>
    </row>
    <row r="2082" spans="1:1">
      <c r="A2082">
        <v>7506</v>
      </c>
    </row>
    <row r="2083" spans="1:1">
      <c r="A2083">
        <v>1242</v>
      </c>
    </row>
    <row r="2084" spans="1:1">
      <c r="A2084">
        <v>15838</v>
      </c>
    </row>
    <row r="2085" spans="1:1">
      <c r="A2085">
        <v>7444</v>
      </c>
    </row>
    <row r="2086" spans="1:1">
      <c r="A2086">
        <v>1246</v>
      </c>
    </row>
    <row r="2087" spans="1:1">
      <c r="A2087">
        <v>15050</v>
      </c>
    </row>
    <row r="2088" spans="1:1">
      <c r="A2088">
        <v>7362</v>
      </c>
    </row>
    <row r="2089" spans="1:1">
      <c r="A2089">
        <v>1246</v>
      </c>
    </row>
    <row r="2090" spans="1:1">
      <c r="A2090">
        <v>15463</v>
      </c>
    </row>
    <row r="2091" spans="1:1">
      <c r="A2091">
        <v>7152</v>
      </c>
    </row>
    <row r="2092" spans="1:1">
      <c r="A2092">
        <v>1222</v>
      </c>
    </row>
    <row r="2093" spans="1:1">
      <c r="A2093">
        <v>15326</v>
      </c>
    </row>
    <row r="2094" spans="1:1">
      <c r="A2094">
        <v>7139</v>
      </c>
    </row>
    <row r="2095" spans="1:1">
      <c r="A2095">
        <v>1234</v>
      </c>
    </row>
    <row r="2096" spans="1:1">
      <c r="A2096">
        <v>14847</v>
      </c>
    </row>
    <row r="2097" spans="1:1">
      <c r="A2097">
        <v>7143</v>
      </c>
    </row>
    <row r="2098" spans="1:1">
      <c r="A2098">
        <v>1221</v>
      </c>
    </row>
    <row r="2099" spans="1:1">
      <c r="A2099">
        <v>14948</v>
      </c>
    </row>
    <row r="2100" spans="1:1">
      <c r="A2100">
        <v>7180</v>
      </c>
    </row>
    <row r="2101" spans="1:1">
      <c r="A2101">
        <v>1220</v>
      </c>
    </row>
    <row r="2102" spans="1:1">
      <c r="A2102">
        <v>15162</v>
      </c>
    </row>
    <row r="2103" spans="1:1">
      <c r="A2103">
        <v>6892</v>
      </c>
    </row>
    <row r="2104" spans="1:1">
      <c r="A2104">
        <v>1222</v>
      </c>
    </row>
    <row r="2105" spans="1:1">
      <c r="A2105">
        <v>15247</v>
      </c>
    </row>
    <row r="2106" spans="1:1">
      <c r="A2106">
        <v>6871</v>
      </c>
    </row>
    <row r="2107" spans="1:1">
      <c r="A2107">
        <v>1192</v>
      </c>
    </row>
    <row r="2108" spans="1:1">
      <c r="A2108">
        <v>14666</v>
      </c>
    </row>
    <row r="2109" spans="1:1">
      <c r="A2109">
        <v>6717</v>
      </c>
    </row>
    <row r="2110" spans="1:1">
      <c r="A2110">
        <v>1202</v>
      </c>
    </row>
    <row r="2111" spans="1:1">
      <c r="A2111">
        <v>4</v>
      </c>
    </row>
    <row r="2112" spans="1:1">
      <c r="A2112">
        <v>19</v>
      </c>
    </row>
    <row r="2113" spans="1:1">
      <c r="A2113">
        <v>50</v>
      </c>
    </row>
    <row r="2114" spans="1:1">
      <c r="A2114">
        <v>19</v>
      </c>
    </row>
    <row r="2115" spans="1:1">
      <c r="A2115">
        <v>3.729166666666667</v>
      </c>
    </row>
    <row r="2116" spans="1:1">
      <c r="A2116">
        <v>13</v>
      </c>
    </row>
    <row r="2117" spans="1:1">
      <c r="A2117">
        <v>19</v>
      </c>
    </row>
    <row r="2118" spans="1:1">
      <c r="A2118">
        <v>44</v>
      </c>
    </row>
    <row r="2119" spans="1:1">
      <c r="A2119">
        <v>33</v>
      </c>
    </row>
    <row r="2120" spans="1:1">
      <c r="A2120">
        <v>3.492063492063492</v>
      </c>
    </row>
    <row r="2121" spans="1:1">
      <c r="A2121">
        <v>2</v>
      </c>
    </row>
    <row r="2122" spans="1:1">
      <c r="A2122">
        <v>24</v>
      </c>
    </row>
    <row r="2123" spans="1:1">
      <c r="A2123">
        <v>45</v>
      </c>
    </row>
    <row r="2124" spans="1:1">
      <c r="A2124">
        <v>26</v>
      </c>
    </row>
    <row r="2125" spans="1:1">
      <c r="A2125">
        <v>3.5625</v>
      </c>
    </row>
    <row r="2126" spans="1:1">
      <c r="A2126">
        <v>8</v>
      </c>
    </row>
    <row r="2127" spans="1:1">
      <c r="A2127">
        <v>32</v>
      </c>
    </row>
    <row r="2128" spans="1:1">
      <c r="A2128">
        <v>44</v>
      </c>
    </row>
    <row r="2129" spans="1:1">
      <c r="A2129">
        <v>40</v>
      </c>
    </row>
    <row r="2130" spans="1:1">
      <c r="A2130">
        <v>3.553846153846154</v>
      </c>
    </row>
    <row r="2131" spans="1:1">
      <c r="A2131">
        <v>11</v>
      </c>
    </row>
    <row r="2132" spans="1:1">
      <c r="A2132">
        <v>24</v>
      </c>
    </row>
    <row r="2133" spans="1:1">
      <c r="A2133">
        <v>44</v>
      </c>
    </row>
    <row r="2134" spans="1:1">
      <c r="A2134">
        <v>41</v>
      </c>
    </row>
    <row r="2135" spans="1:1">
      <c r="A2135">
        <v>3.421052631578947</v>
      </c>
    </row>
    <row r="2136" spans="1:1">
      <c r="A2136">
        <v>6</v>
      </c>
    </row>
    <row r="2137" spans="1:1">
      <c r="A2137">
        <v>16</v>
      </c>
    </row>
    <row r="2138" spans="1:1">
      <c r="A2138">
        <v>62</v>
      </c>
    </row>
    <row r="2139" spans="1:1">
      <c r="A2139">
        <v>33</v>
      </c>
    </row>
    <row r="2140" spans="1:1">
      <c r="A2140">
        <v>3.841269841269841</v>
      </c>
    </row>
    <row r="2141" spans="1:1">
      <c r="A2141">
        <v>14</v>
      </c>
    </row>
    <row r="2142" spans="1:1">
      <c r="A2142">
        <v>20</v>
      </c>
    </row>
    <row r="2143" spans="1:1">
      <c r="A2143">
        <v>54</v>
      </c>
    </row>
    <row r="2144" spans="1:1">
      <c r="A2144">
        <v>27</v>
      </c>
    </row>
    <row r="2145" spans="1:1">
      <c r="A2145">
        <v>3.672413793103448</v>
      </c>
    </row>
    <row r="2146" spans="1:1">
      <c r="A2146">
        <v>267</v>
      </c>
    </row>
    <row r="2147" spans="1:1">
      <c r="A2147">
        <v>267</v>
      </c>
    </row>
    <row r="2148" spans="1:1">
      <c r="A2148">
        <v>250</v>
      </c>
    </row>
    <row r="2149" spans="1:1">
      <c r="A2149">
        <v>250</v>
      </c>
    </row>
    <row r="2150" spans="1:1">
      <c r="A2150">
        <v>243</v>
      </c>
    </row>
    <row r="2151" spans="1:1">
      <c r="A2151">
        <v>243</v>
      </c>
    </row>
    <row r="2152" spans="1:1">
      <c r="A2152">
        <v>223</v>
      </c>
    </row>
    <row r="2153" spans="1:1">
      <c r="A2153">
        <v>223</v>
      </c>
    </row>
    <row r="2154" spans="1:1">
      <c r="A2154">
        <v>213</v>
      </c>
    </row>
    <row r="2155" spans="1:1">
      <c r="A2155">
        <v>213</v>
      </c>
    </row>
    <row r="2156" spans="1:1">
      <c r="A2156">
        <v>1085</v>
      </c>
    </row>
    <row r="2157" spans="1:1">
      <c r="A2157">
        <v>390</v>
      </c>
    </row>
    <row r="2158" spans="1:1">
      <c r="A2158">
        <v>601</v>
      </c>
    </row>
    <row r="2159" spans="1:1">
      <c r="A2159">
        <v>214</v>
      </c>
    </row>
    <row r="2160" spans="1:1">
      <c r="A2160">
        <v>82</v>
      </c>
    </row>
    <row r="2161" spans="1:1">
      <c r="A2161">
        <v>20</v>
      </c>
    </row>
    <row r="2162" spans="1:1">
      <c r="A2162">
        <v>30</v>
      </c>
    </row>
    <row r="2163" spans="1:1">
      <c r="A2163">
        <v>253</v>
      </c>
    </row>
    <row r="2164" spans="1:1">
      <c r="A2164">
        <v>11</v>
      </c>
    </row>
    <row r="2165" spans="1:1">
      <c r="A2165">
        <v>9</v>
      </c>
    </row>
    <row r="2166" spans="1:1">
      <c r="A2166">
        <v>8</v>
      </c>
    </row>
    <row r="2167" spans="1:1">
      <c r="A2167">
        <v>10.71428571428571</v>
      </c>
    </row>
    <row r="2168" spans="1:1">
      <c r="A2168">
        <v>15</v>
      </c>
    </row>
    <row r="2169" spans="1:1">
      <c r="A2169">
        <v>34</v>
      </c>
    </row>
    <row r="2170" spans="1:1">
      <c r="A2170">
        <v>26</v>
      </c>
    </row>
    <row r="2171" spans="1:1">
      <c r="A2171">
        <v>-14.66666666666667</v>
      </c>
    </row>
    <row r="2172" spans="1:1">
      <c r="A2172">
        <v>20</v>
      </c>
    </row>
    <row r="2173" spans="1:1">
      <c r="A2173">
        <v>25</v>
      </c>
    </row>
    <row r="2174" spans="1:1">
      <c r="A2174">
        <v>30</v>
      </c>
    </row>
    <row r="2175" spans="1:1">
      <c r="A2175">
        <v>-13.33333333333333</v>
      </c>
    </row>
    <row r="2176" spans="1:1">
      <c r="A2176">
        <v>8</v>
      </c>
    </row>
    <row r="2177" spans="1:1">
      <c r="A2177">
        <v>19</v>
      </c>
    </row>
    <row r="2178" spans="1:1">
      <c r="A2178" t="s">
        <v>5812</v>
      </c>
    </row>
    <row r="2179" spans="1:1">
      <c r="A2179">
        <v>-10.1123595505618</v>
      </c>
    </row>
    <row r="2180" spans="1:1">
      <c r="A2180">
        <v>150</v>
      </c>
    </row>
    <row r="2181" spans="1:1">
      <c r="A2181">
        <v>24484</v>
      </c>
    </row>
    <row r="2182" spans="1:1">
      <c r="A2182">
        <v>271919</v>
      </c>
    </row>
    <row r="2183" spans="1:1">
      <c r="A2183">
        <v>5.853333333333333</v>
      </c>
    </row>
    <row r="2184" spans="1:1">
      <c r="A2184">
        <v>0</v>
      </c>
    </row>
    <row r="2185" spans="1:1">
      <c r="A2185">
        <v>0</v>
      </c>
    </row>
    <row r="2186" spans="1:1">
      <c r="A2186">
        <v>150</v>
      </c>
    </row>
    <row r="2187" spans="1:1">
      <c r="A2187">
        <v>24683</v>
      </c>
    </row>
    <row r="2188" spans="1:1">
      <c r="A2188">
        <v>0.008127756902466921</v>
      </c>
    </row>
    <row r="2189" spans="1:1">
      <c r="A2189">
        <v>290434</v>
      </c>
    </row>
    <row r="2190" spans="1:1">
      <c r="A2190">
        <v>5.76</v>
      </c>
    </row>
    <row r="2191" spans="1:1">
      <c r="A2191">
        <v>1</v>
      </c>
    </row>
    <row r="2192" spans="1:1">
      <c r="A2192">
        <v>163100</v>
      </c>
    </row>
    <row r="2193" spans="1:1">
      <c r="A2193">
        <v>149</v>
      </c>
    </row>
    <row r="2194" spans="1:1">
      <c r="A2194">
        <v>24044</v>
      </c>
    </row>
    <row r="2195" spans="1:1">
      <c r="A2195">
        <v>-0.02588826317708548</v>
      </c>
    </row>
    <row r="2196" spans="1:1">
      <c r="A2196">
        <v>273030</v>
      </c>
    </row>
    <row r="2197" spans="1:1">
      <c r="A2197">
        <v>5.718120805369128</v>
      </c>
    </row>
    <row r="2198" spans="1:1">
      <c r="A2198">
        <v>24403.66666666667</v>
      </c>
    </row>
    <row r="2199" spans="1:1">
      <c r="A2199">
        <v>0</v>
      </c>
    </row>
    <row r="2200" spans="1:1">
      <c r="A2200">
        <v>0</v>
      </c>
    </row>
    <row r="2201" spans="1:1">
      <c r="A2201">
        <v>149</v>
      </c>
    </row>
    <row r="2202" spans="1:1">
      <c r="A2202">
        <v>24528</v>
      </c>
    </row>
    <row r="2203" spans="1:1">
      <c r="A2203">
        <v>0.02012976210281159</v>
      </c>
    </row>
    <row r="2204" spans="1:1">
      <c r="A2204">
        <v>273018</v>
      </c>
    </row>
    <row r="2205" spans="1:1">
      <c r="A2205">
        <v>5.805369127516778</v>
      </c>
    </row>
    <row r="2206" spans="1:1">
      <c r="A2206">
        <v>24418.33333333333</v>
      </c>
    </row>
    <row r="2207" spans="1:1">
      <c r="A2207">
        <v>2</v>
      </c>
    </row>
    <row r="2208" spans="1:1">
      <c r="A2208">
        <v>194200</v>
      </c>
    </row>
    <row r="2209" spans="1:1">
      <c r="A2209">
        <v>147</v>
      </c>
    </row>
    <row r="2210" spans="1:1">
      <c r="A2210">
        <v>23658</v>
      </c>
    </row>
    <row r="2211" spans="1:1">
      <c r="A2211">
        <v>-0.03546966731898238</v>
      </c>
    </row>
    <row r="2212" spans="1:1">
      <c r="A2212">
        <v>267990</v>
      </c>
    </row>
    <row r="2213" spans="1:1">
      <c r="A2213">
        <v>5.809523809523809</v>
      </c>
    </row>
    <row r="2214" spans="1:1">
      <c r="A2214">
        <v>24076.66666666667</v>
      </c>
    </row>
    <row r="2215" spans="1:1">
      <c r="A2215">
        <v>1</v>
      </c>
    </row>
    <row r="2216" spans="1:1">
      <c r="A2216">
        <v>103100</v>
      </c>
    </row>
    <row r="2217" spans="1:1">
      <c r="A2217">
        <v>146</v>
      </c>
    </row>
    <row r="2218" spans="1:1">
      <c r="A2218">
        <v>23837</v>
      </c>
    </row>
    <row r="2219" spans="1:1">
      <c r="A2219">
        <v>0.007566150984867681</v>
      </c>
    </row>
    <row r="2220" spans="1:1">
      <c r="A2220">
        <v>264848</v>
      </c>
    </row>
    <row r="2221" spans="1:1">
      <c r="A2221">
        <v>5.931506849315069</v>
      </c>
    </row>
    <row r="2222" spans="1:1">
      <c r="A2222">
        <v>24007.66666666667</v>
      </c>
    </row>
    <row r="2223" spans="1:1">
      <c r="A2223">
        <v>1</v>
      </c>
    </row>
    <row r="2224" spans="1:1">
      <c r="A2224">
        <v>456100</v>
      </c>
    </row>
    <row r="2225" spans="1:1">
      <c r="A2225">
        <v>145</v>
      </c>
    </row>
    <row r="2226" spans="1:1">
      <c r="A2226">
        <v>23699</v>
      </c>
    </row>
    <row r="2227" spans="1:1">
      <c r="A2227">
        <v>-0.005789319125728887</v>
      </c>
    </row>
    <row r="2228" spans="1:1">
      <c r="A2228">
        <v>274102</v>
      </c>
    </row>
    <row r="2229" spans="1:1">
      <c r="A2229">
        <v>5.855172413793103</v>
      </c>
    </row>
    <row r="2230" spans="1:1">
      <c r="A2230">
        <v>23731.33333333333</v>
      </c>
    </row>
    <row r="2231" spans="1:1">
      <c r="A2231">
        <v>0</v>
      </c>
    </row>
    <row r="2232" spans="1:1">
      <c r="A2232">
        <v>0</v>
      </c>
    </row>
    <row r="2233" spans="1:1">
      <c r="A2233">
        <v>145</v>
      </c>
    </row>
    <row r="2234" spans="1:1">
      <c r="A2234">
        <v>23211</v>
      </c>
    </row>
    <row r="2235" spans="1:1">
      <c r="A2235">
        <v>-0.02059158614287526</v>
      </c>
    </row>
    <row r="2236" spans="1:1">
      <c r="A2236">
        <v>261744</v>
      </c>
    </row>
    <row r="2237" spans="1:1">
      <c r="A2237">
        <v>5.937931034482759</v>
      </c>
    </row>
    <row r="2238" spans="1:1">
      <c r="A2238">
        <v>23582.33333333333</v>
      </c>
    </row>
    <row r="2239" spans="1:1">
      <c r="A2239">
        <v>1</v>
      </c>
    </row>
    <row r="2240" spans="1:1">
      <c r="A2240">
        <v>38300</v>
      </c>
    </row>
    <row r="2241" spans="1:1">
      <c r="A2241">
        <v>144</v>
      </c>
    </row>
    <row r="2242" spans="1:1">
      <c r="A2242">
        <v>23348</v>
      </c>
    </row>
    <row r="2243" spans="1:1">
      <c r="A2243">
        <v>0.005902373874456135</v>
      </c>
    </row>
    <row r="2244" spans="1:1">
      <c r="A2244">
        <v>240045</v>
      </c>
    </row>
    <row r="2245" spans="1:1">
      <c r="A2245">
        <v>5.916666666666667</v>
      </c>
    </row>
    <row r="2246" spans="1:1">
      <c r="A2246">
        <v>23419.33333333333</v>
      </c>
    </row>
    <row r="2247" spans="1:1">
      <c r="A2247">
        <v>2</v>
      </c>
    </row>
    <row r="2248" spans="1:1">
      <c r="A2248">
        <v>150300</v>
      </c>
    </row>
    <row r="2249" spans="1:1">
      <c r="A2249">
        <v>142</v>
      </c>
    </row>
    <row r="2250" spans="1:1">
      <c r="A2250">
        <v>23276</v>
      </c>
    </row>
    <row r="2251" spans="1:1">
      <c r="A2251">
        <v>-0.003083775912283704</v>
      </c>
    </row>
    <row r="2252" spans="1:1">
      <c r="A2252">
        <v>271174</v>
      </c>
    </row>
    <row r="2253" spans="1:1">
      <c r="A2253">
        <v>6.063380281690141</v>
      </c>
    </row>
    <row r="2254" spans="1:1">
      <c r="A2254">
        <v>23278.33333333333</v>
      </c>
    </row>
    <row r="2255" spans="1:1">
      <c r="A2255">
        <v>1</v>
      </c>
    </row>
    <row r="2256" spans="1:1">
      <c r="A2256">
        <v>35200</v>
      </c>
    </row>
    <row r="2257" spans="1:1">
      <c r="A2257">
        <v>141</v>
      </c>
    </row>
    <row r="2258" spans="1:1">
      <c r="A2258">
        <v>23310</v>
      </c>
    </row>
    <row r="2259" spans="1:1">
      <c r="A2259">
        <v>0.001460732084550553</v>
      </c>
    </row>
    <row r="2260" spans="1:1">
      <c r="A2260">
        <v>283497</v>
      </c>
    </row>
    <row r="2261" spans="1:1">
      <c r="A2261">
        <v>6.127659574468085</v>
      </c>
    </row>
    <row r="2262" spans="1:1">
      <c r="A2262">
        <v>23311.33333333333</v>
      </c>
    </row>
    <row r="2263" spans="1:1">
      <c r="A2263">
        <v>1</v>
      </c>
    </row>
    <row r="2264" spans="1:1">
      <c r="A2264">
        <v>209600</v>
      </c>
    </row>
    <row r="2265" spans="1:1">
      <c r="A2265">
        <v>140</v>
      </c>
    </row>
    <row r="2266" spans="1:1">
      <c r="A2266">
        <v>22585</v>
      </c>
    </row>
    <row r="2267" spans="1:1">
      <c r="A2267">
        <v>-0.03110253110253114</v>
      </c>
    </row>
    <row r="2268" spans="1:1">
      <c r="A2268">
        <v>235554</v>
      </c>
    </row>
    <row r="2269" spans="1:1">
      <c r="A2269">
        <v>5.978571428571429</v>
      </c>
    </row>
    <row r="2270" spans="1:1">
      <c r="A2270">
        <v>23057</v>
      </c>
    </row>
    <row r="2271" spans="1:1">
      <c r="A2271">
        <v>2</v>
      </c>
    </row>
    <row r="2272" spans="1:1">
      <c r="A2272">
        <v>118400</v>
      </c>
    </row>
    <row r="2273" spans="1:1">
      <c r="A2273">
        <v>0.9135704362977091</v>
      </c>
    </row>
    <row r="2274" spans="1:1">
      <c r="A2274">
        <v>9</v>
      </c>
    </row>
    <row r="2275" spans="1:1">
      <c r="A2275">
        <v>492600</v>
      </c>
    </row>
    <row r="2276" spans="1:1">
      <c r="A2276">
        <v>2</v>
      </c>
    </row>
    <row r="2277" spans="1:1">
      <c r="A2277">
        <v>88800</v>
      </c>
    </row>
    <row r="2278" spans="1:1">
      <c r="A2278">
        <v>0.1802679658952497</v>
      </c>
    </row>
    <row r="2279" spans="1:1">
      <c r="A2279">
        <v>13</v>
      </c>
    </row>
    <row r="2280" spans="1:1">
      <c r="A2280">
        <v>2092800</v>
      </c>
    </row>
    <row r="2281" spans="1:1">
      <c r="A2281">
        <v>4</v>
      </c>
    </row>
    <row r="2282" spans="1:1">
      <c r="A2282">
        <v>748100</v>
      </c>
    </row>
    <row r="2283" spans="1:1">
      <c r="A2283">
        <v>0.3574636850152905</v>
      </c>
    </row>
    <row r="2284" spans="1:1">
      <c r="A2284">
        <v>12</v>
      </c>
    </row>
    <row r="2285" spans="1:1">
      <c r="A2285">
        <v>1357600</v>
      </c>
    </row>
    <row r="2286" spans="1:1">
      <c r="A2286">
        <v>4</v>
      </c>
    </row>
    <row r="2287" spans="1:1">
      <c r="A2287">
        <v>218300</v>
      </c>
    </row>
    <row r="2288" spans="1:1">
      <c r="A2288">
        <v>0.1607984678845021</v>
      </c>
    </row>
    <row r="2289" spans="1:1">
      <c r="A2289">
        <v>6</v>
      </c>
    </row>
    <row r="2290" spans="1:1">
      <c r="A2290">
        <v>877600</v>
      </c>
    </row>
    <row r="2291" spans="1:1">
      <c r="A2291">
        <v>0</v>
      </c>
    </row>
    <row r="2292" spans="1:1">
      <c r="A2292">
        <v>0</v>
      </c>
    </row>
    <row r="2293" spans="1:1">
      <c r="A2293">
        <v>0</v>
      </c>
    </row>
    <row r="2294" spans="1:1">
      <c r="A2294">
        <v>7</v>
      </c>
    </row>
    <row r="2295" spans="1:1">
      <c r="A2295">
        <v>566100</v>
      </c>
    </row>
    <row r="2296" spans="1:1">
      <c r="A2296">
        <v>1</v>
      </c>
    </row>
    <row r="2297" spans="1:1">
      <c r="A2297">
        <v>111700</v>
      </c>
    </row>
    <row r="2298" spans="1:1">
      <c r="A2298">
        <v>0.1973149620208444</v>
      </c>
    </row>
    <row r="2299" spans="1:1">
      <c r="A2299">
        <v>16</v>
      </c>
    </row>
    <row r="2300" spans="1:1">
      <c r="A2300">
        <v>2065700</v>
      </c>
    </row>
    <row r="2301" spans="1:1">
      <c r="A2301">
        <v>2</v>
      </c>
    </row>
    <row r="2302" spans="1:1">
      <c r="A2302">
        <v>153000</v>
      </c>
    </row>
    <row r="2303" spans="1:1">
      <c r="A2303">
        <v>0.07406690226073485</v>
      </c>
    </row>
    <row r="2304" spans="1:1">
      <c r="A2304" t="s">
        <v>20</v>
      </c>
    </row>
    <row r="2305" spans="1:1">
      <c r="A2305" t="s">
        <v>5859</v>
      </c>
    </row>
    <row r="2306" spans="1:1">
      <c r="A2306">
        <v>11</v>
      </c>
    </row>
    <row r="2307" spans="1:1">
      <c r="A2307">
        <v>3903800</v>
      </c>
    </row>
    <row r="2308" spans="1:1">
      <c r="A2308">
        <v>71.26363636363637</v>
      </c>
    </row>
    <row r="2309" spans="1:1">
      <c r="A2309">
        <v>7</v>
      </c>
    </row>
    <row r="2310" spans="1:1">
      <c r="A2310">
        <v>3</v>
      </c>
    </row>
    <row r="2311" spans="1:1">
      <c r="A2311">
        <v>1</v>
      </c>
    </row>
    <row r="2312" spans="1:1">
      <c r="A2312">
        <v>2</v>
      </c>
    </row>
    <row r="2313" spans="1:1">
      <c r="A2313">
        <v>462300</v>
      </c>
    </row>
    <row r="2314" spans="1:1">
      <c r="A2314">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20</vt:i4>
      </vt:variant>
      <vt:variant>
        <vt:lpstr>Named Ranges</vt:lpstr>
      </vt:variant>
      <vt:variant>
        <vt:i4>12</vt:i4>
      </vt:variant>
    </vt:vector>
  </HeadingPairs>
  <TitlesOfParts>
    <vt:vector size="32" baseType="lpstr">
      <vt:lpstr>LEEME</vt:lpstr>
      <vt:lpstr>Diccionario</vt:lpstr>
      <vt:lpstr>E1_Lookups</vt:lpstr>
      <vt:lpstr>E2_Agregaciones</vt:lpstr>
      <vt:lpstr>E3_Health_Score</vt:lpstr>
      <vt:lpstr>E4_Auditoria_Reportes</vt:lpstr>
      <vt:lpstr>E5_Limpieza_Datos</vt:lpstr>
      <vt:lpstr>E6_Pivots</vt:lpstr>
      <vt:lpstr>E7_Dinamicas_365</vt:lpstr>
      <vt:lpstr>E8_Tendencias</vt:lpstr>
      <vt:lpstr>E9_Dashboard_CSM</vt:lpstr>
      <vt:lpstr>E10_PowerQuery</vt:lpstr>
      <vt:lpstr>Entrevista</vt:lpstr>
      <vt:lpstr>Accounts</vt:lpstr>
      <vt:lpstr>CSMs</vt:lpstr>
      <vt:lpstr>Usage_Monthly</vt:lpstr>
      <vt:lpstr>Support_Tickets</vt:lpstr>
      <vt:lpstr>NPS</vt:lpstr>
      <vt:lpstr>Report_Catalog</vt:lpstr>
      <vt:lpstr>Report_Usage_Log</vt:lpstr>
      <vt:lpstr>AsOfDate</vt:lpstr>
      <vt:lpstr>CostPerHour</vt:lpstr>
      <vt:lpstr>HS_ARR</vt:lpstr>
      <vt:lpstr>HS_Cat</vt:lpstr>
      <vt:lpstr>HS_CSM</vt:lpstr>
      <vt:lpstr>HS_Days</vt:lpstr>
      <vt:lpstr>HS_ID</vt:lpstr>
      <vt:lpstr>HS_Name</vt:lpstr>
      <vt:lpstr>HS_Score</vt:lpstr>
      <vt:lpstr>HS_Segment</vt:lpstr>
      <vt:lpstr>HS_Tickets</vt:lpstr>
      <vt:lpstr>LastMonth</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2026-10-11T21:48:45Z</dcterms:created>
  <dcterms:modified xsi:type="dcterms:W3CDTF">2026-10-11T21:48:45Z</dcterms:modified>
</cp:coreProperties>
</file>